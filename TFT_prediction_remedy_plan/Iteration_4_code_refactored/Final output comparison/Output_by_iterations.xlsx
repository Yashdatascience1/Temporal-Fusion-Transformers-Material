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0004878\Desktop\TFT_Data\Daily_forecasting_model\Iterations in September\Final output comparison\"/>
    </mc:Choice>
  </mc:AlternateContent>
  <bookViews>
    <workbookView xWindow="0" yWindow="0" windowWidth="19200" windowHeight="693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1" l="1"/>
  <c r="F19" i="1"/>
  <c r="F11" i="1"/>
  <c r="F12" i="1"/>
  <c r="F13" i="1"/>
  <c r="F10" i="1"/>
  <c r="G13" i="1"/>
  <c r="G9" i="1"/>
</calcChain>
</file>

<file path=xl/sharedStrings.xml><?xml version="1.0" encoding="utf-8"?>
<sst xmlns="http://schemas.openxmlformats.org/spreadsheetml/2006/main" count="52" uniqueCount="22">
  <si>
    <t xml:space="preserve">Iteration 1 </t>
  </si>
  <si>
    <t>1. Loss function changed to Negative Likelihood
2. 85% of series
3. N-1 features kept as is</t>
  </si>
  <si>
    <t>Forecast by Segment : Iteration 1</t>
  </si>
  <si>
    <t>Segment</t>
  </si>
  <si>
    <t>Forecast</t>
  </si>
  <si>
    <t>100 CC</t>
  </si>
  <si>
    <t>125 CC</t>
  </si>
  <si>
    <t>PREMIUM</t>
  </si>
  <si>
    <t>SCOOTER</t>
  </si>
  <si>
    <t>Forecast by Month : Iteration 1</t>
  </si>
  <si>
    <t>September</t>
  </si>
  <si>
    <t>October</t>
  </si>
  <si>
    <t>November</t>
  </si>
  <si>
    <t>December</t>
  </si>
  <si>
    <t>Iteration 2</t>
  </si>
  <si>
    <t>Forecast by Segment : Iteration 2</t>
  </si>
  <si>
    <t>Forecast by Month : Iteration 2</t>
  </si>
  <si>
    <t>Iteration 3</t>
  </si>
  <si>
    <t>1. Loss function changed to Negative Likelihood
2. 85% of series
3. Feature engineered and no festive penalty</t>
  </si>
  <si>
    <t>1. Loss function changed to Negative Likelihood
2. 100% of series
3. Feature engineered and Festive penalty</t>
  </si>
  <si>
    <t>Forecast by Segment : Iteration 3</t>
  </si>
  <si>
    <t>Forecast by Month : Iteration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</si>
</sst>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3" fontId="0" fillId="0" borderId="0" xfId="0" applyNumberFormat="1"/>
    <xf numFmtId="3" fontId="0" fillId="0" borderId="1" xfId="0" applyNumberFormat="1" applyBorder="1"/>
    <xf numFmtId="0" fontId="2" fillId="2" borderId="2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7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W20"/>
  <sheetViews>
    <sheetView tabSelected="1" topLeftCell="A6" workbookViewId="0">
      <selection activeCell="F18" sqref="F18"/>
    </sheetView>
  </sheetViews>
  <sheetFormatPr defaultRowHeight="14.5" x14ac:dyDescent="0.35"/>
  <cols>
    <col min="4" max="4" width="9.90625" bestFit="1" customWidth="1"/>
    <col min="5" max="5" width="19.7265625" customWidth="1"/>
    <col min="6" max="6" width="15.453125" customWidth="1"/>
    <col min="7" max="7" width="8.1796875" customWidth="1"/>
    <col min="11" max="11" width="15.08984375" customWidth="1"/>
    <col min="12" max="12" width="15.90625" customWidth="1"/>
    <col min="14" max="14" width="27.36328125" customWidth="1"/>
    <col min="20" max="20" width="13" customWidth="1"/>
    <col min="21" max="21" width="21.90625" customWidth="1"/>
    <col min="23" max="23" width="25.08984375" customWidth="1"/>
  </cols>
  <sheetData>
    <row r="2" spans="4:23" ht="15" thickBot="1" x14ac:dyDescent="0.4"/>
    <row r="3" spans="4:23" ht="15" thickBot="1" x14ac:dyDescent="0.4">
      <c r="D3" s="7" t="s">
        <v>0</v>
      </c>
      <c r="E3" s="8"/>
      <c r="F3" s="8"/>
      <c r="G3" s="9"/>
      <c r="K3" s="7" t="s">
        <v>14</v>
      </c>
      <c r="L3" s="8"/>
      <c r="M3" s="8"/>
      <c r="N3" s="9"/>
      <c r="T3" s="7" t="s">
        <v>17</v>
      </c>
      <c r="U3" s="8"/>
      <c r="V3" s="8"/>
      <c r="W3" s="9"/>
    </row>
    <row r="4" spans="4:23" ht="14.5" customHeight="1" x14ac:dyDescent="0.35">
      <c r="D4" s="10" t="s">
        <v>1</v>
      </c>
      <c r="E4" s="11"/>
      <c r="F4" s="11"/>
      <c r="G4" s="12"/>
      <c r="K4" s="10" t="s">
        <v>18</v>
      </c>
      <c r="L4" s="11"/>
      <c r="M4" s="11"/>
      <c r="N4" s="12"/>
      <c r="T4" s="10" t="s">
        <v>19</v>
      </c>
      <c r="U4" s="11"/>
      <c r="V4" s="11"/>
      <c r="W4" s="12"/>
    </row>
    <row r="5" spans="4:23" x14ac:dyDescent="0.35">
      <c r="D5" s="13"/>
      <c r="E5" s="14"/>
      <c r="F5" s="14"/>
      <c r="G5" s="15"/>
      <c r="K5" s="13"/>
      <c r="L5" s="14"/>
      <c r="M5" s="14"/>
      <c r="N5" s="15"/>
      <c r="T5" s="13"/>
      <c r="U5" s="14"/>
      <c r="V5" s="14"/>
      <c r="W5" s="15"/>
    </row>
    <row r="6" spans="4:23" ht="15" thickBot="1" x14ac:dyDescent="0.4">
      <c r="D6" s="16"/>
      <c r="E6" s="17"/>
      <c r="F6" s="17"/>
      <c r="G6" s="18"/>
      <c r="K6" s="16"/>
      <c r="L6" s="17"/>
      <c r="M6" s="17"/>
      <c r="N6" s="18"/>
      <c r="T6" s="16"/>
      <c r="U6" s="17"/>
      <c r="V6" s="17"/>
      <c r="W6" s="18"/>
    </row>
    <row r="7" spans="4:23" ht="15" thickBot="1" x14ac:dyDescent="0.4"/>
    <row r="8" spans="4:23" ht="18" customHeight="1" thickBot="1" x14ac:dyDescent="0.4">
      <c r="D8" s="5" t="s">
        <v>2</v>
      </c>
      <c r="E8" s="6"/>
      <c r="K8" s="5" t="s">
        <v>15</v>
      </c>
      <c r="L8" s="6"/>
      <c r="T8" s="5" t="s">
        <v>20</v>
      </c>
      <c r="U8" s="6"/>
    </row>
    <row r="9" spans="4:23" ht="15" thickBot="1" x14ac:dyDescent="0.4">
      <c r="D9" s="2" t="s">
        <v>3</v>
      </c>
      <c r="E9" s="2" t="s">
        <v>4</v>
      </c>
      <c r="G9">
        <f>2177916/0.85</f>
        <v>2562254.1176470588</v>
      </c>
      <c r="K9" s="2" t="s">
        <v>3</v>
      </c>
      <c r="L9" s="2" t="s">
        <v>4</v>
      </c>
      <c r="T9" s="2" t="s">
        <v>3</v>
      </c>
      <c r="U9" s="2" t="s">
        <v>4</v>
      </c>
    </row>
    <row r="10" spans="4:23" ht="15" thickBot="1" x14ac:dyDescent="0.4">
      <c r="D10" s="1" t="s">
        <v>5</v>
      </c>
      <c r="E10" s="4">
        <v>1897098</v>
      </c>
      <c r="F10">
        <f>E10/SUM($E$10:$E$13)</f>
        <v>0.87106114285399439</v>
      </c>
      <c r="K10" s="1" t="s">
        <v>5</v>
      </c>
      <c r="L10" s="4">
        <v>1788425</v>
      </c>
      <c r="T10" s="1" t="s">
        <v>5</v>
      </c>
      <c r="U10" s="4">
        <v>1425985</v>
      </c>
    </row>
    <row r="11" spans="4:23" ht="15" thickBot="1" x14ac:dyDescent="0.4">
      <c r="D11" s="1" t="s">
        <v>6</v>
      </c>
      <c r="E11" s="4">
        <v>161075</v>
      </c>
      <c r="F11">
        <f t="shared" ref="F11:F13" si="0">E11/SUM($E$10:$E$13)</f>
        <v>7.3958316115038419E-2</v>
      </c>
      <c r="K11" s="1" t="s">
        <v>6</v>
      </c>
      <c r="L11" s="4">
        <v>175900</v>
      </c>
      <c r="T11" s="1" t="s">
        <v>6</v>
      </c>
      <c r="U11" s="4">
        <v>152126</v>
      </c>
    </row>
    <row r="12" spans="4:23" ht="15" thickBot="1" x14ac:dyDescent="0.4">
      <c r="D12" s="1" t="s">
        <v>7</v>
      </c>
      <c r="E12" s="4">
        <v>11649</v>
      </c>
      <c r="F12">
        <f t="shared" si="0"/>
        <v>5.3486911340933259E-3</v>
      </c>
      <c r="K12" s="1" t="s">
        <v>7</v>
      </c>
      <c r="L12" s="4">
        <v>9118</v>
      </c>
      <c r="T12" s="1" t="s">
        <v>7</v>
      </c>
      <c r="U12" s="4">
        <v>14296</v>
      </c>
    </row>
    <row r="13" spans="4:23" ht="15" thickBot="1" x14ac:dyDescent="0.4">
      <c r="D13" s="1" t="s">
        <v>8</v>
      </c>
      <c r="E13" s="4">
        <v>108094</v>
      </c>
      <c r="F13">
        <f t="shared" si="0"/>
        <v>4.9631849896873893E-2</v>
      </c>
      <c r="G13">
        <f>E13/0.85</f>
        <v>127169.41176470589</v>
      </c>
      <c r="K13" s="1" t="s">
        <v>8</v>
      </c>
      <c r="L13" s="4">
        <v>100180</v>
      </c>
      <c r="T13" s="1" t="s">
        <v>8</v>
      </c>
      <c r="U13" s="4">
        <v>97337</v>
      </c>
    </row>
    <row r="14" spans="4:23" ht="15" thickBot="1" x14ac:dyDescent="0.4"/>
    <row r="15" spans="4:23" ht="15" thickBot="1" x14ac:dyDescent="0.4">
      <c r="D15" s="5" t="s">
        <v>9</v>
      </c>
      <c r="E15" s="6"/>
      <c r="K15" s="5" t="s">
        <v>16</v>
      </c>
      <c r="L15" s="6"/>
      <c r="T15" s="5" t="s">
        <v>21</v>
      </c>
      <c r="U15" s="6"/>
    </row>
    <row r="16" spans="4:23" ht="15" thickBot="1" x14ac:dyDescent="0.4">
      <c r="D16" s="2" t="s">
        <v>3</v>
      </c>
      <c r="E16" s="2" t="s">
        <v>4</v>
      </c>
      <c r="K16" s="2" t="s">
        <v>3</v>
      </c>
      <c r="L16" s="2" t="s">
        <v>4</v>
      </c>
      <c r="T16" s="2" t="s">
        <v>3</v>
      </c>
      <c r="U16" s="2" t="s">
        <v>4</v>
      </c>
    </row>
    <row r="17" spans="4:21" ht="15" thickBot="1" x14ac:dyDescent="0.4">
      <c r="D17" s="1" t="s">
        <v>10</v>
      </c>
      <c r="E17" s="4">
        <v>362614</v>
      </c>
      <c r="K17" s="1" t="s">
        <v>10</v>
      </c>
      <c r="L17" s="4">
        <v>314680</v>
      </c>
      <c r="T17" s="1" t="s">
        <v>10</v>
      </c>
      <c r="U17" s="4">
        <v>311455</v>
      </c>
    </row>
    <row r="18" spans="4:21" ht="15" thickBot="1" x14ac:dyDescent="0.4">
      <c r="D18" s="1" t="s">
        <v>11</v>
      </c>
      <c r="E18" s="4">
        <v>629249</v>
      </c>
      <c r="F18" s="3">
        <f>E18+82779</f>
        <v>712028</v>
      </c>
      <c r="K18" s="1" t="s">
        <v>11</v>
      </c>
      <c r="L18" s="4">
        <v>590103</v>
      </c>
      <c r="T18" s="1" t="s">
        <v>11</v>
      </c>
      <c r="U18" s="4">
        <v>644135</v>
      </c>
    </row>
    <row r="19" spans="4:21" ht="15" thickBot="1" x14ac:dyDescent="0.4">
      <c r="D19" s="1" t="s">
        <v>12</v>
      </c>
      <c r="E19" s="4">
        <v>1083327</v>
      </c>
      <c r="F19" s="3">
        <f>E19+55365</f>
        <v>1138692</v>
      </c>
      <c r="K19" s="1" t="s">
        <v>12</v>
      </c>
      <c r="L19" s="4">
        <v>1023009</v>
      </c>
      <c r="T19" s="1" t="s">
        <v>12</v>
      </c>
      <c r="U19" s="4">
        <v>642663</v>
      </c>
    </row>
    <row r="20" spans="4:21" ht="15" thickBot="1" x14ac:dyDescent="0.4">
      <c r="D20" s="1" t="s">
        <v>13</v>
      </c>
      <c r="E20" s="4">
        <v>102226</v>
      </c>
      <c r="K20" s="1" t="s">
        <v>13</v>
      </c>
      <c r="L20" s="4">
        <v>145833</v>
      </c>
      <c r="T20" s="1" t="s">
        <v>13</v>
      </c>
      <c r="U20" s="4">
        <v>91490</v>
      </c>
    </row>
  </sheetData>
  <mergeCells count="12">
    <mergeCell ref="T3:W3"/>
    <mergeCell ref="T4:W6"/>
    <mergeCell ref="T8:U8"/>
    <mergeCell ref="T15:U15"/>
    <mergeCell ref="D3:G3"/>
    <mergeCell ref="D4:G6"/>
    <mergeCell ref="D8:E8"/>
    <mergeCell ref="D15:E15"/>
    <mergeCell ref="K3:N3"/>
    <mergeCell ref="K4:N6"/>
    <mergeCell ref="K8:L8"/>
    <mergeCell ref="K15:L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4.5" x14ac:dyDescent="0.35"/>
  <sheetData>
    <row r="1" spans="1:2" ht="15" thickBot="1" x14ac:dyDescent="0.4">
      <c r="A1" s="1" t="s">
        <v>5</v>
      </c>
      <c r="B1" s="3">
        <v>1470104</v>
      </c>
    </row>
    <row r="2" spans="1:2" ht="15" thickBot="1" x14ac:dyDescent="0.4">
      <c r="A2" s="1" t="s">
        <v>6</v>
      </c>
      <c r="B2" s="3">
        <v>65761</v>
      </c>
    </row>
    <row r="3" spans="1:2" ht="15" thickBot="1" x14ac:dyDescent="0.4">
      <c r="A3" s="1" t="s">
        <v>7</v>
      </c>
      <c r="B3" s="3">
        <v>2575</v>
      </c>
    </row>
    <row r="4" spans="1:2" ht="15" thickBot="1" x14ac:dyDescent="0.4">
      <c r="A4" s="1" t="s">
        <v>8</v>
      </c>
      <c r="B4" s="3">
        <v>29138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SAXENA</dc:creator>
  <cp:lastModifiedBy>YASH SAXENA</cp:lastModifiedBy>
  <dcterms:created xsi:type="dcterms:W3CDTF">2026-09-30T08:19:52Z</dcterms:created>
  <dcterms:modified xsi:type="dcterms:W3CDTF">2026-09-30T12:53:54Z</dcterms:modified>
</cp:coreProperties>
</file>