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hs\Downloads\"/>
    </mc:Choice>
  </mc:AlternateContent>
  <xr:revisionPtr revIDLastSave="0" documentId="13_ncr:1_{EA400C3F-62B8-49BD-B377-03D253CB43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_engineering_festive_matrix" sheetId="1" r:id="rId1"/>
    <sheet name="Festive dates" sheetId="2" r:id="rId2"/>
  </sheets>
  <definedNames>
    <definedName name="_xlnm._FilterDatabase" localSheetId="0" hidden="1">Pre_engineering_festive_matrix!$A$1:$W$1348</definedName>
  </definedNames>
  <calcPr calcId="191029"/>
</workbook>
</file>

<file path=xl/calcChain.xml><?xml version="1.0" encoding="utf-8"?>
<calcChain xmlns="http://schemas.openxmlformats.org/spreadsheetml/2006/main">
  <c r="J5" i="2" l="1"/>
  <c r="I5" i="2"/>
  <c r="J4" i="2"/>
  <c r="I4" i="2"/>
  <c r="J3" i="2"/>
  <c r="I3" i="2"/>
  <c r="J2" i="2"/>
  <c r="I2" i="2"/>
  <c r="W1348" i="1"/>
  <c r="V1348" i="1"/>
  <c r="U1348" i="1"/>
  <c r="T1348" i="1"/>
  <c r="S1348" i="1"/>
  <c r="R1348" i="1"/>
  <c r="Q1348" i="1"/>
  <c r="W1347" i="1"/>
  <c r="V1347" i="1"/>
  <c r="U1347" i="1"/>
  <c r="T1347" i="1"/>
  <c r="S1347" i="1"/>
  <c r="R1347" i="1"/>
  <c r="Q1347" i="1"/>
  <c r="W1346" i="1"/>
  <c r="V1346" i="1"/>
  <c r="U1346" i="1"/>
  <c r="T1346" i="1"/>
  <c r="S1346" i="1"/>
  <c r="R1346" i="1"/>
  <c r="Q1346" i="1"/>
  <c r="W1345" i="1"/>
  <c r="V1345" i="1"/>
  <c r="U1345" i="1"/>
  <c r="T1345" i="1"/>
  <c r="S1345" i="1"/>
  <c r="R1345" i="1"/>
  <c r="Q1345" i="1"/>
  <c r="W1344" i="1"/>
  <c r="V1344" i="1"/>
  <c r="U1344" i="1"/>
  <c r="T1344" i="1"/>
  <c r="S1344" i="1"/>
  <c r="R1344" i="1"/>
  <c r="Q1344" i="1"/>
  <c r="W1343" i="1"/>
  <c r="V1343" i="1"/>
  <c r="U1343" i="1"/>
  <c r="T1343" i="1"/>
  <c r="S1343" i="1"/>
  <c r="R1343" i="1"/>
  <c r="Q1343" i="1"/>
  <c r="W1342" i="1"/>
  <c r="V1342" i="1"/>
  <c r="U1342" i="1"/>
  <c r="T1342" i="1"/>
  <c r="S1342" i="1"/>
  <c r="R1342" i="1"/>
  <c r="Q1342" i="1"/>
  <c r="W1341" i="1"/>
  <c r="V1341" i="1"/>
  <c r="U1341" i="1"/>
  <c r="T1341" i="1"/>
  <c r="S1341" i="1"/>
  <c r="R1341" i="1"/>
  <c r="Q1341" i="1"/>
  <c r="W1340" i="1"/>
  <c r="V1340" i="1"/>
  <c r="U1340" i="1"/>
  <c r="T1340" i="1"/>
  <c r="S1340" i="1"/>
  <c r="R1340" i="1"/>
  <c r="Q1340" i="1"/>
  <c r="W1339" i="1"/>
  <c r="V1339" i="1"/>
  <c r="U1339" i="1"/>
  <c r="T1339" i="1"/>
  <c r="S1339" i="1"/>
  <c r="R1339" i="1"/>
  <c r="Q1339" i="1"/>
  <c r="W1338" i="1"/>
  <c r="V1338" i="1"/>
  <c r="U1338" i="1"/>
  <c r="T1338" i="1"/>
  <c r="S1338" i="1"/>
  <c r="R1338" i="1"/>
  <c r="Q1338" i="1"/>
  <c r="W1337" i="1"/>
  <c r="V1337" i="1"/>
  <c r="U1337" i="1"/>
  <c r="T1337" i="1"/>
  <c r="S1337" i="1"/>
  <c r="R1337" i="1"/>
  <c r="Q1337" i="1"/>
  <c r="W1336" i="1"/>
  <c r="V1336" i="1"/>
  <c r="U1336" i="1"/>
  <c r="T1336" i="1"/>
  <c r="S1336" i="1"/>
  <c r="R1336" i="1"/>
  <c r="Q1336" i="1"/>
  <c r="W1335" i="1"/>
  <c r="V1335" i="1"/>
  <c r="U1335" i="1"/>
  <c r="T1335" i="1"/>
  <c r="S1335" i="1"/>
  <c r="R1335" i="1"/>
  <c r="Q1335" i="1"/>
  <c r="W1334" i="1"/>
  <c r="V1334" i="1"/>
  <c r="U1334" i="1"/>
  <c r="T1334" i="1"/>
  <c r="S1334" i="1"/>
  <c r="R1334" i="1"/>
  <c r="Q1334" i="1"/>
  <c r="W1333" i="1"/>
  <c r="V1333" i="1"/>
  <c r="U1333" i="1"/>
  <c r="T1333" i="1"/>
  <c r="S1333" i="1"/>
  <c r="R1333" i="1"/>
  <c r="Q1333" i="1"/>
  <c r="W1332" i="1"/>
  <c r="V1332" i="1"/>
  <c r="U1332" i="1"/>
  <c r="T1332" i="1"/>
  <c r="S1332" i="1"/>
  <c r="R1332" i="1"/>
  <c r="Q1332" i="1"/>
  <c r="W1331" i="1"/>
  <c r="V1331" i="1"/>
  <c r="U1331" i="1"/>
  <c r="T1331" i="1"/>
  <c r="S1331" i="1"/>
  <c r="R1331" i="1"/>
  <c r="Q1331" i="1"/>
  <c r="W1330" i="1"/>
  <c r="V1330" i="1"/>
  <c r="U1330" i="1"/>
  <c r="T1330" i="1"/>
  <c r="S1330" i="1"/>
  <c r="R1330" i="1"/>
  <c r="Q1330" i="1"/>
  <c r="W1329" i="1"/>
  <c r="V1329" i="1"/>
  <c r="U1329" i="1"/>
  <c r="T1329" i="1"/>
  <c r="S1329" i="1"/>
  <c r="R1329" i="1"/>
  <c r="Q1329" i="1"/>
  <c r="W1328" i="1"/>
  <c r="V1328" i="1"/>
  <c r="U1328" i="1"/>
  <c r="T1328" i="1"/>
  <c r="S1328" i="1"/>
  <c r="R1328" i="1"/>
  <c r="Q1328" i="1"/>
  <c r="W1327" i="1"/>
  <c r="V1327" i="1"/>
  <c r="U1327" i="1"/>
  <c r="T1327" i="1"/>
  <c r="S1327" i="1"/>
  <c r="R1327" i="1"/>
  <c r="Q1327" i="1"/>
  <c r="W1326" i="1"/>
  <c r="V1326" i="1"/>
  <c r="U1326" i="1"/>
  <c r="T1326" i="1"/>
  <c r="S1326" i="1"/>
  <c r="R1326" i="1"/>
  <c r="Q1326" i="1"/>
  <c r="W1325" i="1"/>
  <c r="V1325" i="1"/>
  <c r="U1325" i="1"/>
  <c r="T1325" i="1"/>
  <c r="S1325" i="1"/>
  <c r="R1325" i="1"/>
  <c r="Q1325" i="1"/>
  <c r="W1324" i="1"/>
  <c r="V1324" i="1"/>
  <c r="U1324" i="1"/>
  <c r="T1324" i="1"/>
  <c r="S1324" i="1"/>
  <c r="R1324" i="1"/>
  <c r="Q1324" i="1"/>
  <c r="W1323" i="1"/>
  <c r="V1323" i="1"/>
  <c r="U1323" i="1"/>
  <c r="T1323" i="1"/>
  <c r="S1323" i="1"/>
  <c r="R1323" i="1"/>
  <c r="Q1323" i="1"/>
  <c r="W1322" i="1"/>
  <c r="V1322" i="1"/>
  <c r="U1322" i="1"/>
  <c r="T1322" i="1"/>
  <c r="S1322" i="1"/>
  <c r="R1322" i="1"/>
  <c r="Q1322" i="1"/>
  <c r="W1321" i="1"/>
  <c r="V1321" i="1"/>
  <c r="U1321" i="1"/>
  <c r="T1321" i="1"/>
  <c r="S1321" i="1"/>
  <c r="R1321" i="1"/>
  <c r="Q1321" i="1"/>
  <c r="W1320" i="1"/>
  <c r="V1320" i="1"/>
  <c r="U1320" i="1"/>
  <c r="T1320" i="1"/>
  <c r="S1320" i="1"/>
  <c r="R1320" i="1"/>
  <c r="Q1320" i="1"/>
  <c r="W1319" i="1"/>
  <c r="V1319" i="1"/>
  <c r="U1319" i="1"/>
  <c r="T1319" i="1"/>
  <c r="S1319" i="1"/>
  <c r="R1319" i="1"/>
  <c r="Q1319" i="1"/>
  <c r="W1318" i="1"/>
  <c r="V1318" i="1"/>
  <c r="U1318" i="1"/>
  <c r="T1318" i="1"/>
  <c r="S1318" i="1"/>
  <c r="R1318" i="1"/>
  <c r="Q1318" i="1"/>
  <c r="W1317" i="1"/>
  <c r="V1317" i="1"/>
  <c r="U1317" i="1"/>
  <c r="T1317" i="1"/>
  <c r="S1317" i="1"/>
  <c r="R1317" i="1"/>
  <c r="Q1317" i="1"/>
  <c r="W1316" i="1"/>
  <c r="V1316" i="1"/>
  <c r="U1316" i="1"/>
  <c r="T1316" i="1"/>
  <c r="S1316" i="1"/>
  <c r="R1316" i="1"/>
  <c r="Q1316" i="1"/>
  <c r="W1315" i="1"/>
  <c r="V1315" i="1"/>
  <c r="U1315" i="1"/>
  <c r="T1315" i="1"/>
  <c r="S1315" i="1"/>
  <c r="R1315" i="1"/>
  <c r="Q1315" i="1"/>
  <c r="W1314" i="1"/>
  <c r="V1314" i="1"/>
  <c r="U1314" i="1"/>
  <c r="T1314" i="1"/>
  <c r="S1314" i="1"/>
  <c r="R1314" i="1"/>
  <c r="Q1314" i="1"/>
  <c r="W1313" i="1"/>
  <c r="V1313" i="1"/>
  <c r="U1313" i="1"/>
  <c r="T1313" i="1"/>
  <c r="S1313" i="1"/>
  <c r="R1313" i="1"/>
  <c r="Q1313" i="1"/>
  <c r="W1312" i="1"/>
  <c r="V1312" i="1"/>
  <c r="U1312" i="1"/>
  <c r="T1312" i="1"/>
  <c r="S1312" i="1"/>
  <c r="R1312" i="1"/>
  <c r="Q1312" i="1"/>
  <c r="W1311" i="1"/>
  <c r="V1311" i="1"/>
  <c r="U1311" i="1"/>
  <c r="T1311" i="1"/>
  <c r="S1311" i="1"/>
  <c r="R1311" i="1"/>
  <c r="Q1311" i="1"/>
  <c r="W1310" i="1"/>
  <c r="V1310" i="1"/>
  <c r="U1310" i="1"/>
  <c r="T1310" i="1"/>
  <c r="S1310" i="1"/>
  <c r="R1310" i="1"/>
  <c r="Q1310" i="1"/>
  <c r="W1309" i="1"/>
  <c r="V1309" i="1"/>
  <c r="U1309" i="1"/>
  <c r="T1309" i="1"/>
  <c r="S1309" i="1"/>
  <c r="R1309" i="1"/>
  <c r="Q1309" i="1"/>
  <c r="W1308" i="1"/>
  <c r="V1308" i="1"/>
  <c r="U1308" i="1"/>
  <c r="T1308" i="1"/>
  <c r="S1308" i="1"/>
  <c r="R1308" i="1"/>
  <c r="Q1308" i="1"/>
  <c r="W1307" i="1"/>
  <c r="V1307" i="1"/>
  <c r="U1307" i="1"/>
  <c r="T1307" i="1"/>
  <c r="S1307" i="1"/>
  <c r="R1307" i="1"/>
  <c r="Q1307" i="1"/>
  <c r="W1306" i="1"/>
  <c r="V1306" i="1"/>
  <c r="U1306" i="1"/>
  <c r="T1306" i="1"/>
  <c r="S1306" i="1"/>
  <c r="R1306" i="1"/>
  <c r="Q1306" i="1"/>
  <c r="W1305" i="1"/>
  <c r="V1305" i="1"/>
  <c r="U1305" i="1"/>
  <c r="T1305" i="1"/>
  <c r="S1305" i="1"/>
  <c r="R1305" i="1"/>
  <c r="Q1305" i="1"/>
  <c r="W1304" i="1"/>
  <c r="V1304" i="1"/>
  <c r="U1304" i="1"/>
  <c r="T1304" i="1"/>
  <c r="S1304" i="1"/>
  <c r="R1304" i="1"/>
  <c r="Q1304" i="1"/>
  <c r="W1303" i="1"/>
  <c r="V1303" i="1"/>
  <c r="U1303" i="1"/>
  <c r="T1303" i="1"/>
  <c r="S1303" i="1"/>
  <c r="R1303" i="1"/>
  <c r="Q1303" i="1"/>
  <c r="W1302" i="1"/>
  <c r="V1302" i="1"/>
  <c r="U1302" i="1"/>
  <c r="T1302" i="1"/>
  <c r="S1302" i="1"/>
  <c r="R1302" i="1"/>
  <c r="Q1302" i="1"/>
  <c r="W1301" i="1"/>
  <c r="V1301" i="1"/>
  <c r="U1301" i="1"/>
  <c r="T1301" i="1"/>
  <c r="S1301" i="1"/>
  <c r="R1301" i="1"/>
  <c r="Q1301" i="1"/>
  <c r="W1300" i="1"/>
  <c r="V1300" i="1"/>
  <c r="U1300" i="1"/>
  <c r="T1300" i="1"/>
  <c r="S1300" i="1"/>
  <c r="R1300" i="1"/>
  <c r="Q1300" i="1"/>
  <c r="W1299" i="1"/>
  <c r="V1299" i="1"/>
  <c r="U1299" i="1"/>
  <c r="T1299" i="1"/>
  <c r="S1299" i="1"/>
  <c r="R1299" i="1"/>
  <c r="Q1299" i="1"/>
  <c r="W1298" i="1"/>
  <c r="V1298" i="1"/>
  <c r="U1298" i="1"/>
  <c r="T1298" i="1"/>
  <c r="S1298" i="1"/>
  <c r="R1298" i="1"/>
  <c r="Q1298" i="1"/>
  <c r="W1297" i="1"/>
  <c r="V1297" i="1"/>
  <c r="U1297" i="1"/>
  <c r="T1297" i="1"/>
  <c r="S1297" i="1"/>
  <c r="R1297" i="1"/>
  <c r="Q1297" i="1"/>
  <c r="W1296" i="1"/>
  <c r="V1296" i="1"/>
  <c r="U1296" i="1"/>
  <c r="T1296" i="1"/>
  <c r="S1296" i="1"/>
  <c r="R1296" i="1"/>
  <c r="Q1296" i="1"/>
  <c r="W1295" i="1"/>
  <c r="V1295" i="1"/>
  <c r="U1295" i="1"/>
  <c r="T1295" i="1"/>
  <c r="S1295" i="1"/>
  <c r="R1295" i="1"/>
  <c r="Q1295" i="1"/>
  <c r="W1294" i="1"/>
  <c r="V1294" i="1"/>
  <c r="U1294" i="1"/>
  <c r="T1294" i="1"/>
  <c r="S1294" i="1"/>
  <c r="R1294" i="1"/>
  <c r="Q1294" i="1"/>
  <c r="W1293" i="1"/>
  <c r="V1293" i="1"/>
  <c r="U1293" i="1"/>
  <c r="T1293" i="1"/>
  <c r="S1293" i="1"/>
  <c r="R1293" i="1"/>
  <c r="Q1293" i="1"/>
  <c r="W1292" i="1"/>
  <c r="V1292" i="1"/>
  <c r="U1292" i="1"/>
  <c r="T1292" i="1"/>
  <c r="S1292" i="1"/>
  <c r="R1292" i="1"/>
  <c r="Q1292" i="1"/>
  <c r="W1291" i="1"/>
  <c r="V1291" i="1"/>
  <c r="U1291" i="1"/>
  <c r="T1291" i="1"/>
  <c r="S1291" i="1"/>
  <c r="R1291" i="1"/>
  <c r="Q1291" i="1"/>
  <c r="W1290" i="1"/>
  <c r="V1290" i="1"/>
  <c r="U1290" i="1"/>
  <c r="T1290" i="1"/>
  <c r="S1290" i="1"/>
  <c r="R1290" i="1"/>
  <c r="Q1290" i="1"/>
  <c r="W1289" i="1"/>
  <c r="V1289" i="1"/>
  <c r="U1289" i="1"/>
  <c r="T1289" i="1"/>
  <c r="S1289" i="1"/>
  <c r="R1289" i="1"/>
  <c r="Q1289" i="1"/>
  <c r="W1288" i="1"/>
  <c r="V1288" i="1"/>
  <c r="U1288" i="1"/>
  <c r="T1288" i="1"/>
  <c r="S1288" i="1"/>
  <c r="R1288" i="1"/>
  <c r="Q1288" i="1"/>
  <c r="W1287" i="1"/>
  <c r="V1287" i="1"/>
  <c r="U1287" i="1"/>
  <c r="T1287" i="1"/>
  <c r="S1287" i="1"/>
  <c r="R1287" i="1"/>
  <c r="Q1287" i="1"/>
  <c r="W1286" i="1"/>
  <c r="V1286" i="1"/>
  <c r="U1286" i="1"/>
  <c r="T1286" i="1"/>
  <c r="S1286" i="1"/>
  <c r="R1286" i="1"/>
  <c r="Q1286" i="1"/>
  <c r="W1285" i="1"/>
  <c r="V1285" i="1"/>
  <c r="U1285" i="1"/>
  <c r="T1285" i="1"/>
  <c r="S1285" i="1"/>
  <c r="R1285" i="1"/>
  <c r="Q1285" i="1"/>
  <c r="W1284" i="1"/>
  <c r="V1284" i="1"/>
  <c r="U1284" i="1"/>
  <c r="T1284" i="1"/>
  <c r="S1284" i="1"/>
  <c r="R1284" i="1"/>
  <c r="Q1284" i="1"/>
  <c r="W1283" i="1"/>
  <c r="V1283" i="1"/>
  <c r="U1283" i="1"/>
  <c r="T1283" i="1"/>
  <c r="S1283" i="1"/>
  <c r="R1283" i="1"/>
  <c r="Q1283" i="1"/>
  <c r="W1282" i="1"/>
  <c r="V1282" i="1"/>
  <c r="U1282" i="1"/>
  <c r="T1282" i="1"/>
  <c r="S1282" i="1"/>
  <c r="R1282" i="1"/>
  <c r="Q1282" i="1"/>
  <c r="W1281" i="1"/>
  <c r="V1281" i="1"/>
  <c r="U1281" i="1"/>
  <c r="T1281" i="1"/>
  <c r="S1281" i="1"/>
  <c r="R1281" i="1"/>
  <c r="Q1281" i="1"/>
  <c r="W1280" i="1"/>
  <c r="V1280" i="1"/>
  <c r="U1280" i="1"/>
  <c r="T1280" i="1"/>
  <c r="S1280" i="1"/>
  <c r="R1280" i="1"/>
  <c r="Q1280" i="1"/>
  <c r="W1279" i="1"/>
  <c r="V1279" i="1"/>
  <c r="U1279" i="1"/>
  <c r="T1279" i="1"/>
  <c r="S1279" i="1"/>
  <c r="R1279" i="1"/>
  <c r="Q1279" i="1"/>
  <c r="W1278" i="1"/>
  <c r="V1278" i="1"/>
  <c r="U1278" i="1"/>
  <c r="T1278" i="1"/>
  <c r="S1278" i="1"/>
  <c r="R1278" i="1"/>
  <c r="Q1278" i="1"/>
  <c r="W1277" i="1"/>
  <c r="V1277" i="1"/>
  <c r="U1277" i="1"/>
  <c r="T1277" i="1"/>
  <c r="S1277" i="1"/>
  <c r="R1277" i="1"/>
  <c r="Q1277" i="1"/>
  <c r="W1276" i="1"/>
  <c r="V1276" i="1"/>
  <c r="U1276" i="1"/>
  <c r="T1276" i="1"/>
  <c r="S1276" i="1"/>
  <c r="R1276" i="1"/>
  <c r="Q1276" i="1"/>
  <c r="W1275" i="1"/>
  <c r="V1275" i="1"/>
  <c r="U1275" i="1"/>
  <c r="T1275" i="1"/>
  <c r="S1275" i="1"/>
  <c r="R1275" i="1"/>
  <c r="Q1275" i="1"/>
  <c r="W1274" i="1"/>
  <c r="V1274" i="1"/>
  <c r="U1274" i="1"/>
  <c r="T1274" i="1"/>
  <c r="S1274" i="1"/>
  <c r="R1274" i="1"/>
  <c r="Q1274" i="1"/>
  <c r="W1273" i="1"/>
  <c r="V1273" i="1"/>
  <c r="U1273" i="1"/>
  <c r="T1273" i="1"/>
  <c r="S1273" i="1"/>
  <c r="R1273" i="1"/>
  <c r="Q1273" i="1"/>
  <c r="W1272" i="1"/>
  <c r="V1272" i="1"/>
  <c r="U1272" i="1"/>
  <c r="T1272" i="1"/>
  <c r="S1272" i="1"/>
  <c r="R1272" i="1"/>
  <c r="Q1272" i="1"/>
  <c r="W1271" i="1"/>
  <c r="V1271" i="1"/>
  <c r="U1271" i="1"/>
  <c r="T1271" i="1"/>
  <c r="S1271" i="1"/>
  <c r="R1271" i="1"/>
  <c r="Q1271" i="1"/>
  <c r="W1270" i="1"/>
  <c r="V1270" i="1"/>
  <c r="U1270" i="1"/>
  <c r="T1270" i="1"/>
  <c r="S1270" i="1"/>
  <c r="R1270" i="1"/>
  <c r="Q1270" i="1"/>
  <c r="W1269" i="1"/>
  <c r="V1269" i="1"/>
  <c r="U1269" i="1"/>
  <c r="T1269" i="1"/>
  <c r="S1269" i="1"/>
  <c r="R1269" i="1"/>
  <c r="Q1269" i="1"/>
  <c r="W1268" i="1"/>
  <c r="V1268" i="1"/>
  <c r="U1268" i="1"/>
  <c r="T1268" i="1"/>
  <c r="S1268" i="1"/>
  <c r="R1268" i="1"/>
  <c r="Q1268" i="1"/>
  <c r="W1267" i="1"/>
  <c r="V1267" i="1"/>
  <c r="U1267" i="1"/>
  <c r="T1267" i="1"/>
  <c r="S1267" i="1"/>
  <c r="R1267" i="1"/>
  <c r="Q1267" i="1"/>
  <c r="W1266" i="1"/>
  <c r="V1266" i="1"/>
  <c r="U1266" i="1"/>
  <c r="T1266" i="1"/>
  <c r="S1266" i="1"/>
  <c r="R1266" i="1"/>
  <c r="Q1266" i="1"/>
  <c r="W1265" i="1"/>
  <c r="V1265" i="1"/>
  <c r="U1265" i="1"/>
  <c r="T1265" i="1"/>
  <c r="S1265" i="1"/>
  <c r="R1265" i="1"/>
  <c r="Q1265" i="1"/>
  <c r="W1264" i="1"/>
  <c r="V1264" i="1"/>
  <c r="U1264" i="1"/>
  <c r="T1264" i="1"/>
  <c r="S1264" i="1"/>
  <c r="R1264" i="1"/>
  <c r="Q1264" i="1"/>
  <c r="W1263" i="1"/>
  <c r="V1263" i="1"/>
  <c r="U1263" i="1"/>
  <c r="T1263" i="1"/>
  <c r="S1263" i="1"/>
  <c r="R1263" i="1"/>
  <c r="Q1263" i="1"/>
  <c r="W1262" i="1"/>
  <c r="V1262" i="1"/>
  <c r="U1262" i="1"/>
  <c r="T1262" i="1"/>
  <c r="S1262" i="1"/>
  <c r="R1262" i="1"/>
  <c r="Q1262" i="1"/>
  <c r="W1261" i="1"/>
  <c r="V1261" i="1"/>
  <c r="U1261" i="1"/>
  <c r="T1261" i="1"/>
  <c r="S1261" i="1"/>
  <c r="R1261" i="1"/>
  <c r="Q1261" i="1"/>
  <c r="W1260" i="1"/>
  <c r="V1260" i="1"/>
  <c r="U1260" i="1"/>
  <c r="T1260" i="1"/>
  <c r="S1260" i="1"/>
  <c r="R1260" i="1"/>
  <c r="Q1260" i="1"/>
  <c r="W1259" i="1"/>
  <c r="V1259" i="1"/>
  <c r="U1259" i="1"/>
  <c r="T1259" i="1"/>
  <c r="S1259" i="1"/>
  <c r="R1259" i="1"/>
  <c r="Q1259" i="1"/>
  <c r="W1258" i="1"/>
  <c r="V1258" i="1"/>
  <c r="U1258" i="1"/>
  <c r="T1258" i="1"/>
  <c r="S1258" i="1"/>
  <c r="R1258" i="1"/>
  <c r="Q1258" i="1"/>
  <c r="W1257" i="1"/>
  <c r="V1257" i="1"/>
  <c r="U1257" i="1"/>
  <c r="T1257" i="1"/>
  <c r="S1257" i="1"/>
  <c r="R1257" i="1"/>
  <c r="Q1257" i="1"/>
  <c r="W1256" i="1"/>
  <c r="V1256" i="1"/>
  <c r="U1256" i="1"/>
  <c r="T1256" i="1"/>
  <c r="S1256" i="1"/>
  <c r="R1256" i="1"/>
  <c r="Q1256" i="1"/>
  <c r="W1255" i="1"/>
  <c r="V1255" i="1"/>
  <c r="U1255" i="1"/>
  <c r="T1255" i="1"/>
  <c r="S1255" i="1"/>
  <c r="R1255" i="1"/>
  <c r="Q1255" i="1"/>
  <c r="W1254" i="1"/>
  <c r="V1254" i="1"/>
  <c r="U1254" i="1"/>
  <c r="T1254" i="1"/>
  <c r="S1254" i="1"/>
  <c r="R1254" i="1"/>
  <c r="Q1254" i="1"/>
  <c r="W1253" i="1"/>
  <c r="V1253" i="1"/>
  <c r="U1253" i="1"/>
  <c r="T1253" i="1"/>
  <c r="S1253" i="1"/>
  <c r="R1253" i="1"/>
  <c r="Q1253" i="1"/>
  <c r="W1252" i="1"/>
  <c r="V1252" i="1"/>
  <c r="U1252" i="1"/>
  <c r="T1252" i="1"/>
  <c r="S1252" i="1"/>
  <c r="R1252" i="1"/>
  <c r="Q1252" i="1"/>
  <c r="W1251" i="1"/>
  <c r="V1251" i="1"/>
  <c r="U1251" i="1"/>
  <c r="T1251" i="1"/>
  <c r="S1251" i="1"/>
  <c r="R1251" i="1"/>
  <c r="Q1251" i="1"/>
  <c r="W1250" i="1"/>
  <c r="V1250" i="1"/>
  <c r="U1250" i="1"/>
  <c r="T1250" i="1"/>
  <c r="S1250" i="1"/>
  <c r="R1250" i="1"/>
  <c r="Q1250" i="1"/>
  <c r="W1249" i="1"/>
  <c r="V1249" i="1"/>
  <c r="U1249" i="1"/>
  <c r="T1249" i="1"/>
  <c r="S1249" i="1"/>
  <c r="R1249" i="1"/>
  <c r="Q1249" i="1"/>
  <c r="W1248" i="1"/>
  <c r="V1248" i="1"/>
  <c r="U1248" i="1"/>
  <c r="T1248" i="1"/>
  <c r="S1248" i="1"/>
  <c r="R1248" i="1"/>
  <c r="Q1248" i="1"/>
  <c r="W1247" i="1"/>
  <c r="V1247" i="1"/>
  <c r="U1247" i="1"/>
  <c r="T1247" i="1"/>
  <c r="S1247" i="1"/>
  <c r="R1247" i="1"/>
  <c r="Q1247" i="1"/>
  <c r="W1246" i="1"/>
  <c r="V1246" i="1"/>
  <c r="U1246" i="1"/>
  <c r="T1246" i="1"/>
  <c r="S1246" i="1"/>
  <c r="R1246" i="1"/>
  <c r="Q1246" i="1"/>
  <c r="W1245" i="1"/>
  <c r="V1245" i="1"/>
  <c r="U1245" i="1"/>
  <c r="T1245" i="1"/>
  <c r="S1245" i="1"/>
  <c r="R1245" i="1"/>
  <c r="Q1245" i="1"/>
  <c r="W1244" i="1"/>
  <c r="V1244" i="1"/>
  <c r="U1244" i="1"/>
  <c r="T1244" i="1"/>
  <c r="S1244" i="1"/>
  <c r="R1244" i="1"/>
  <c r="Q1244" i="1"/>
  <c r="W1243" i="1"/>
  <c r="V1243" i="1"/>
  <c r="U1243" i="1"/>
  <c r="T1243" i="1"/>
  <c r="S1243" i="1"/>
  <c r="R1243" i="1"/>
  <c r="Q1243" i="1"/>
  <c r="W1242" i="1"/>
  <c r="V1242" i="1"/>
  <c r="U1242" i="1"/>
  <c r="T1242" i="1"/>
  <c r="S1242" i="1"/>
  <c r="R1242" i="1"/>
  <c r="Q1242" i="1"/>
  <c r="W1241" i="1"/>
  <c r="V1241" i="1"/>
  <c r="U1241" i="1"/>
  <c r="T1241" i="1"/>
  <c r="S1241" i="1"/>
  <c r="R1241" i="1"/>
  <c r="Q1241" i="1"/>
  <c r="W1240" i="1"/>
  <c r="V1240" i="1"/>
  <c r="U1240" i="1"/>
  <c r="T1240" i="1"/>
  <c r="S1240" i="1"/>
  <c r="R1240" i="1"/>
  <c r="Q1240" i="1"/>
  <c r="W1239" i="1"/>
  <c r="V1239" i="1"/>
  <c r="U1239" i="1"/>
  <c r="T1239" i="1"/>
  <c r="S1239" i="1"/>
  <c r="R1239" i="1"/>
  <c r="Q1239" i="1"/>
  <c r="W1238" i="1"/>
  <c r="V1238" i="1"/>
  <c r="U1238" i="1"/>
  <c r="T1238" i="1"/>
  <c r="S1238" i="1"/>
  <c r="R1238" i="1"/>
  <c r="Q1238" i="1"/>
  <c r="W1237" i="1"/>
  <c r="V1237" i="1"/>
  <c r="U1237" i="1"/>
  <c r="T1237" i="1"/>
  <c r="S1237" i="1"/>
  <c r="R1237" i="1"/>
  <c r="Q1237" i="1"/>
  <c r="W1236" i="1"/>
  <c r="V1236" i="1"/>
  <c r="U1236" i="1"/>
  <c r="T1236" i="1"/>
  <c r="S1236" i="1"/>
  <c r="R1236" i="1"/>
  <c r="Q1236" i="1"/>
  <c r="W1235" i="1"/>
  <c r="V1235" i="1"/>
  <c r="U1235" i="1"/>
  <c r="T1235" i="1"/>
  <c r="S1235" i="1"/>
  <c r="R1235" i="1"/>
  <c r="Q1235" i="1"/>
  <c r="W1234" i="1"/>
  <c r="V1234" i="1"/>
  <c r="U1234" i="1"/>
  <c r="T1234" i="1"/>
  <c r="S1234" i="1"/>
  <c r="R1234" i="1"/>
  <c r="Q1234" i="1"/>
  <c r="W1233" i="1"/>
  <c r="V1233" i="1"/>
  <c r="U1233" i="1"/>
  <c r="T1233" i="1"/>
  <c r="S1233" i="1"/>
  <c r="R1233" i="1"/>
  <c r="Q1233" i="1"/>
  <c r="W1232" i="1"/>
  <c r="V1232" i="1"/>
  <c r="U1232" i="1"/>
  <c r="T1232" i="1"/>
  <c r="S1232" i="1"/>
  <c r="R1232" i="1"/>
  <c r="Q1232" i="1"/>
  <c r="W1231" i="1"/>
  <c r="V1231" i="1"/>
  <c r="U1231" i="1"/>
  <c r="T1231" i="1"/>
  <c r="S1231" i="1"/>
  <c r="R1231" i="1"/>
  <c r="Q1231" i="1"/>
  <c r="W1230" i="1"/>
  <c r="V1230" i="1"/>
  <c r="U1230" i="1"/>
  <c r="T1230" i="1"/>
  <c r="S1230" i="1"/>
  <c r="R1230" i="1"/>
  <c r="Q1230" i="1"/>
  <c r="W1229" i="1"/>
  <c r="V1229" i="1"/>
  <c r="U1229" i="1"/>
  <c r="T1229" i="1"/>
  <c r="S1229" i="1"/>
  <c r="R1229" i="1"/>
  <c r="Q1229" i="1"/>
  <c r="W1228" i="1"/>
  <c r="V1228" i="1"/>
  <c r="U1228" i="1"/>
  <c r="T1228" i="1"/>
  <c r="S1228" i="1"/>
  <c r="R1228" i="1"/>
  <c r="Q1228" i="1"/>
  <c r="W1227" i="1"/>
  <c r="V1227" i="1"/>
  <c r="U1227" i="1"/>
  <c r="T1227" i="1"/>
  <c r="S1227" i="1"/>
  <c r="R1227" i="1"/>
  <c r="Q1227" i="1"/>
  <c r="W1226" i="1"/>
  <c r="V1226" i="1"/>
  <c r="U1226" i="1"/>
  <c r="T1226" i="1"/>
  <c r="S1226" i="1"/>
  <c r="R1226" i="1"/>
  <c r="Q1226" i="1"/>
  <c r="W1225" i="1"/>
  <c r="V1225" i="1"/>
  <c r="U1225" i="1"/>
  <c r="T1225" i="1"/>
  <c r="S1225" i="1"/>
  <c r="R1225" i="1"/>
  <c r="Q1225" i="1"/>
  <c r="W1224" i="1"/>
  <c r="V1224" i="1"/>
  <c r="U1224" i="1"/>
  <c r="T1224" i="1"/>
  <c r="S1224" i="1"/>
  <c r="R1224" i="1"/>
  <c r="Q1224" i="1"/>
  <c r="W1223" i="1"/>
  <c r="V1223" i="1"/>
  <c r="U1223" i="1"/>
  <c r="T1223" i="1"/>
  <c r="S1223" i="1"/>
  <c r="R1223" i="1"/>
  <c r="Q1223" i="1"/>
  <c r="W1222" i="1"/>
  <c r="V1222" i="1"/>
  <c r="U1222" i="1"/>
  <c r="T1222" i="1"/>
  <c r="S1222" i="1"/>
  <c r="R1222" i="1"/>
  <c r="Q1222" i="1"/>
  <c r="W1221" i="1"/>
  <c r="V1221" i="1"/>
  <c r="U1221" i="1"/>
  <c r="T1221" i="1"/>
  <c r="S1221" i="1"/>
  <c r="R1221" i="1"/>
  <c r="Q1221" i="1"/>
  <c r="W1220" i="1"/>
  <c r="V1220" i="1"/>
  <c r="U1220" i="1"/>
  <c r="T1220" i="1"/>
  <c r="S1220" i="1"/>
  <c r="R1220" i="1"/>
  <c r="Q1220" i="1"/>
  <c r="W1219" i="1"/>
  <c r="V1219" i="1"/>
  <c r="U1219" i="1"/>
  <c r="T1219" i="1"/>
  <c r="S1219" i="1"/>
  <c r="R1219" i="1"/>
  <c r="Q1219" i="1"/>
  <c r="W1218" i="1"/>
  <c r="V1218" i="1"/>
  <c r="U1218" i="1"/>
  <c r="T1218" i="1"/>
  <c r="S1218" i="1"/>
  <c r="R1218" i="1"/>
  <c r="Q1218" i="1"/>
  <c r="W1217" i="1"/>
  <c r="V1217" i="1"/>
  <c r="U1217" i="1"/>
  <c r="T1217" i="1"/>
  <c r="S1217" i="1"/>
  <c r="R1217" i="1"/>
  <c r="Q1217" i="1"/>
  <c r="W1216" i="1"/>
  <c r="V1216" i="1"/>
  <c r="U1216" i="1"/>
  <c r="T1216" i="1"/>
  <c r="S1216" i="1"/>
  <c r="R1216" i="1"/>
  <c r="Q1216" i="1"/>
  <c r="W1215" i="1"/>
  <c r="V1215" i="1"/>
  <c r="U1215" i="1"/>
  <c r="T1215" i="1"/>
  <c r="S1215" i="1"/>
  <c r="R1215" i="1"/>
  <c r="Q1215" i="1"/>
  <c r="W1214" i="1"/>
  <c r="V1214" i="1"/>
  <c r="U1214" i="1"/>
  <c r="T1214" i="1"/>
  <c r="S1214" i="1"/>
  <c r="R1214" i="1"/>
  <c r="Q1214" i="1"/>
  <c r="W1213" i="1"/>
  <c r="V1213" i="1"/>
  <c r="U1213" i="1"/>
  <c r="T1213" i="1"/>
  <c r="S1213" i="1"/>
  <c r="R1213" i="1"/>
  <c r="Q1213" i="1"/>
  <c r="W1212" i="1"/>
  <c r="V1212" i="1"/>
  <c r="U1212" i="1"/>
  <c r="T1212" i="1"/>
  <c r="S1212" i="1"/>
  <c r="R1212" i="1"/>
  <c r="Q1212" i="1"/>
  <c r="W1211" i="1"/>
  <c r="V1211" i="1"/>
  <c r="U1211" i="1"/>
  <c r="T1211" i="1"/>
  <c r="S1211" i="1"/>
  <c r="R1211" i="1"/>
  <c r="Q1211" i="1"/>
  <c r="W1210" i="1"/>
  <c r="V1210" i="1"/>
  <c r="U1210" i="1"/>
  <c r="T1210" i="1"/>
  <c r="S1210" i="1"/>
  <c r="R1210" i="1"/>
  <c r="Q1210" i="1"/>
  <c r="W1209" i="1"/>
  <c r="V1209" i="1"/>
  <c r="U1209" i="1"/>
  <c r="T1209" i="1"/>
  <c r="S1209" i="1"/>
  <c r="R1209" i="1"/>
  <c r="Q1209" i="1"/>
  <c r="W1208" i="1"/>
  <c r="V1208" i="1"/>
  <c r="U1208" i="1"/>
  <c r="T1208" i="1"/>
  <c r="S1208" i="1"/>
  <c r="R1208" i="1"/>
  <c r="Q1208" i="1"/>
  <c r="W1207" i="1"/>
  <c r="V1207" i="1"/>
  <c r="U1207" i="1"/>
  <c r="T1207" i="1"/>
  <c r="S1207" i="1"/>
  <c r="R1207" i="1"/>
  <c r="Q1207" i="1"/>
  <c r="W1206" i="1"/>
  <c r="V1206" i="1"/>
  <c r="U1206" i="1"/>
  <c r="T1206" i="1"/>
  <c r="S1206" i="1"/>
  <c r="R1206" i="1"/>
  <c r="Q1206" i="1"/>
  <c r="W1205" i="1"/>
  <c r="V1205" i="1"/>
  <c r="U1205" i="1"/>
  <c r="T1205" i="1"/>
  <c r="S1205" i="1"/>
  <c r="R1205" i="1"/>
  <c r="Q1205" i="1"/>
  <c r="W1204" i="1"/>
  <c r="V1204" i="1"/>
  <c r="U1204" i="1"/>
  <c r="T1204" i="1"/>
  <c r="S1204" i="1"/>
  <c r="R1204" i="1"/>
  <c r="Q1204" i="1"/>
  <c r="W1203" i="1"/>
  <c r="V1203" i="1"/>
  <c r="U1203" i="1"/>
  <c r="T1203" i="1"/>
  <c r="S1203" i="1"/>
  <c r="R1203" i="1"/>
  <c r="Q1203" i="1"/>
  <c r="W1202" i="1"/>
  <c r="V1202" i="1"/>
  <c r="U1202" i="1"/>
  <c r="T1202" i="1"/>
  <c r="S1202" i="1"/>
  <c r="R1202" i="1"/>
  <c r="Q1202" i="1"/>
  <c r="W1201" i="1"/>
  <c r="V1201" i="1"/>
  <c r="U1201" i="1"/>
  <c r="T1201" i="1"/>
  <c r="S1201" i="1"/>
  <c r="R1201" i="1"/>
  <c r="Q1201" i="1"/>
  <c r="W1200" i="1"/>
  <c r="V1200" i="1"/>
  <c r="U1200" i="1"/>
  <c r="T1200" i="1"/>
  <c r="S1200" i="1"/>
  <c r="R1200" i="1"/>
  <c r="Q1200" i="1"/>
  <c r="W1199" i="1"/>
  <c r="V1199" i="1"/>
  <c r="U1199" i="1"/>
  <c r="T1199" i="1"/>
  <c r="S1199" i="1"/>
  <c r="R1199" i="1"/>
  <c r="Q1199" i="1"/>
  <c r="W1198" i="1"/>
  <c r="V1198" i="1"/>
  <c r="U1198" i="1"/>
  <c r="T1198" i="1"/>
  <c r="S1198" i="1"/>
  <c r="R1198" i="1"/>
  <c r="Q1198" i="1"/>
  <c r="W1197" i="1"/>
  <c r="V1197" i="1"/>
  <c r="U1197" i="1"/>
  <c r="T1197" i="1"/>
  <c r="S1197" i="1"/>
  <c r="R1197" i="1"/>
  <c r="Q1197" i="1"/>
  <c r="W1196" i="1"/>
  <c r="V1196" i="1"/>
  <c r="U1196" i="1"/>
  <c r="T1196" i="1"/>
  <c r="S1196" i="1"/>
  <c r="R1196" i="1"/>
  <c r="Q1196" i="1"/>
  <c r="W1195" i="1"/>
  <c r="V1195" i="1"/>
  <c r="U1195" i="1"/>
  <c r="T1195" i="1"/>
  <c r="S1195" i="1"/>
  <c r="R1195" i="1"/>
  <c r="Q1195" i="1"/>
  <c r="W1194" i="1"/>
  <c r="V1194" i="1"/>
  <c r="U1194" i="1"/>
  <c r="T1194" i="1"/>
  <c r="S1194" i="1"/>
  <c r="R1194" i="1"/>
  <c r="Q1194" i="1"/>
  <c r="W1193" i="1"/>
  <c r="V1193" i="1"/>
  <c r="U1193" i="1"/>
  <c r="T1193" i="1"/>
  <c r="S1193" i="1"/>
  <c r="R1193" i="1"/>
  <c r="Q1193" i="1"/>
  <c r="W1192" i="1"/>
  <c r="V1192" i="1"/>
  <c r="U1192" i="1"/>
  <c r="T1192" i="1"/>
  <c r="S1192" i="1"/>
  <c r="R1192" i="1"/>
  <c r="Q1192" i="1"/>
  <c r="W1191" i="1"/>
  <c r="V1191" i="1"/>
  <c r="U1191" i="1"/>
  <c r="T1191" i="1"/>
  <c r="S1191" i="1"/>
  <c r="R1191" i="1"/>
  <c r="Q1191" i="1"/>
  <c r="W1190" i="1"/>
  <c r="V1190" i="1"/>
  <c r="U1190" i="1"/>
  <c r="T1190" i="1"/>
  <c r="S1190" i="1"/>
  <c r="R1190" i="1"/>
  <c r="Q1190" i="1"/>
  <c r="W1189" i="1"/>
  <c r="V1189" i="1"/>
  <c r="U1189" i="1"/>
  <c r="T1189" i="1"/>
  <c r="S1189" i="1"/>
  <c r="R1189" i="1"/>
  <c r="Q1189" i="1"/>
  <c r="W1188" i="1"/>
  <c r="V1188" i="1"/>
  <c r="U1188" i="1"/>
  <c r="T1188" i="1"/>
  <c r="S1188" i="1"/>
  <c r="R1188" i="1"/>
  <c r="Q1188" i="1"/>
  <c r="W1187" i="1"/>
  <c r="V1187" i="1"/>
  <c r="U1187" i="1"/>
  <c r="T1187" i="1"/>
  <c r="S1187" i="1"/>
  <c r="R1187" i="1"/>
  <c r="Q1187" i="1"/>
  <c r="W1186" i="1"/>
  <c r="V1186" i="1"/>
  <c r="U1186" i="1"/>
  <c r="T1186" i="1"/>
  <c r="S1186" i="1"/>
  <c r="R1186" i="1"/>
  <c r="Q1186" i="1"/>
  <c r="W1185" i="1"/>
  <c r="V1185" i="1"/>
  <c r="U1185" i="1"/>
  <c r="T1185" i="1"/>
  <c r="S1185" i="1"/>
  <c r="R1185" i="1"/>
  <c r="Q1185" i="1"/>
  <c r="W1184" i="1"/>
  <c r="V1184" i="1"/>
  <c r="U1184" i="1"/>
  <c r="T1184" i="1"/>
  <c r="S1184" i="1"/>
  <c r="R1184" i="1"/>
  <c r="Q1184" i="1"/>
  <c r="W1183" i="1"/>
  <c r="V1183" i="1"/>
  <c r="U1183" i="1"/>
  <c r="T1183" i="1"/>
  <c r="S1183" i="1"/>
  <c r="R1183" i="1"/>
  <c r="Q1183" i="1"/>
  <c r="W1182" i="1"/>
  <c r="V1182" i="1"/>
  <c r="U1182" i="1"/>
  <c r="T1182" i="1"/>
  <c r="S1182" i="1"/>
  <c r="R1182" i="1"/>
  <c r="Q1182" i="1"/>
  <c r="W1181" i="1"/>
  <c r="V1181" i="1"/>
  <c r="U1181" i="1"/>
  <c r="T1181" i="1"/>
  <c r="S1181" i="1"/>
  <c r="R1181" i="1"/>
  <c r="Q1181" i="1"/>
  <c r="W1180" i="1"/>
  <c r="V1180" i="1"/>
  <c r="U1180" i="1"/>
  <c r="T1180" i="1"/>
  <c r="S1180" i="1"/>
  <c r="R1180" i="1"/>
  <c r="Q1180" i="1"/>
  <c r="W1179" i="1"/>
  <c r="V1179" i="1"/>
  <c r="U1179" i="1"/>
  <c r="T1179" i="1"/>
  <c r="S1179" i="1"/>
  <c r="R1179" i="1"/>
  <c r="Q1179" i="1"/>
  <c r="W1178" i="1"/>
  <c r="V1178" i="1"/>
  <c r="U1178" i="1"/>
  <c r="T1178" i="1"/>
  <c r="S1178" i="1"/>
  <c r="R1178" i="1"/>
  <c r="Q1178" i="1"/>
  <c r="W1177" i="1"/>
  <c r="V1177" i="1"/>
  <c r="U1177" i="1"/>
  <c r="T1177" i="1"/>
  <c r="S1177" i="1"/>
  <c r="R1177" i="1"/>
  <c r="Q1177" i="1"/>
  <c r="W1176" i="1"/>
  <c r="V1176" i="1"/>
  <c r="U1176" i="1"/>
  <c r="T1176" i="1"/>
  <c r="S1176" i="1"/>
  <c r="R1176" i="1"/>
  <c r="Q1176" i="1"/>
  <c r="W1175" i="1"/>
  <c r="V1175" i="1"/>
  <c r="U1175" i="1"/>
  <c r="T1175" i="1"/>
  <c r="S1175" i="1"/>
  <c r="R1175" i="1"/>
  <c r="Q1175" i="1"/>
  <c r="W1174" i="1"/>
  <c r="V1174" i="1"/>
  <c r="U1174" i="1"/>
  <c r="T1174" i="1"/>
  <c r="S1174" i="1"/>
  <c r="R1174" i="1"/>
  <c r="Q1174" i="1"/>
  <c r="W1173" i="1"/>
  <c r="V1173" i="1"/>
  <c r="U1173" i="1"/>
  <c r="T1173" i="1"/>
  <c r="S1173" i="1"/>
  <c r="R1173" i="1"/>
  <c r="Q1173" i="1"/>
  <c r="W1172" i="1"/>
  <c r="V1172" i="1"/>
  <c r="U1172" i="1"/>
  <c r="T1172" i="1"/>
  <c r="S1172" i="1"/>
  <c r="R1172" i="1"/>
  <c r="Q1172" i="1"/>
  <c r="W1171" i="1"/>
  <c r="V1171" i="1"/>
  <c r="U1171" i="1"/>
  <c r="T1171" i="1"/>
  <c r="S1171" i="1"/>
  <c r="R1171" i="1"/>
  <c r="Q1171" i="1"/>
  <c r="W1170" i="1"/>
  <c r="V1170" i="1"/>
  <c r="U1170" i="1"/>
  <c r="T1170" i="1"/>
  <c r="S1170" i="1"/>
  <c r="R1170" i="1"/>
  <c r="Q1170" i="1"/>
  <c r="W1169" i="1"/>
  <c r="V1169" i="1"/>
  <c r="U1169" i="1"/>
  <c r="T1169" i="1"/>
  <c r="S1169" i="1"/>
  <c r="R1169" i="1"/>
  <c r="Q1169" i="1"/>
  <c r="W1168" i="1"/>
  <c r="V1168" i="1"/>
  <c r="U1168" i="1"/>
  <c r="T1168" i="1"/>
  <c r="S1168" i="1"/>
  <c r="R1168" i="1"/>
  <c r="Q1168" i="1"/>
  <c r="W1167" i="1"/>
  <c r="V1167" i="1"/>
  <c r="U1167" i="1"/>
  <c r="T1167" i="1"/>
  <c r="S1167" i="1"/>
  <c r="R1167" i="1"/>
  <c r="Q1167" i="1"/>
  <c r="W1166" i="1"/>
  <c r="V1166" i="1"/>
  <c r="U1166" i="1"/>
  <c r="T1166" i="1"/>
  <c r="S1166" i="1"/>
  <c r="R1166" i="1"/>
  <c r="Q1166" i="1"/>
  <c r="W1165" i="1"/>
  <c r="V1165" i="1"/>
  <c r="U1165" i="1"/>
  <c r="T1165" i="1"/>
  <c r="S1165" i="1"/>
  <c r="R1165" i="1"/>
  <c r="Q1165" i="1"/>
  <c r="W1164" i="1"/>
  <c r="V1164" i="1"/>
  <c r="U1164" i="1"/>
  <c r="T1164" i="1"/>
  <c r="S1164" i="1"/>
  <c r="R1164" i="1"/>
  <c r="Q1164" i="1"/>
  <c r="W1163" i="1"/>
  <c r="V1163" i="1"/>
  <c r="U1163" i="1"/>
  <c r="T1163" i="1"/>
  <c r="S1163" i="1"/>
  <c r="R1163" i="1"/>
  <c r="Q1163" i="1"/>
  <c r="W1162" i="1"/>
  <c r="V1162" i="1"/>
  <c r="U1162" i="1"/>
  <c r="T1162" i="1"/>
  <c r="S1162" i="1"/>
  <c r="R1162" i="1"/>
  <c r="Q1162" i="1"/>
  <c r="W1161" i="1"/>
  <c r="V1161" i="1"/>
  <c r="U1161" i="1"/>
  <c r="T1161" i="1"/>
  <c r="S1161" i="1"/>
  <c r="R1161" i="1"/>
  <c r="Q1161" i="1"/>
  <c r="W1160" i="1"/>
  <c r="V1160" i="1"/>
  <c r="U1160" i="1"/>
  <c r="T1160" i="1"/>
  <c r="S1160" i="1"/>
  <c r="R1160" i="1"/>
  <c r="Q1160" i="1"/>
  <c r="W1159" i="1"/>
  <c r="V1159" i="1"/>
  <c r="U1159" i="1"/>
  <c r="T1159" i="1"/>
  <c r="S1159" i="1"/>
  <c r="R1159" i="1"/>
  <c r="Q1159" i="1"/>
  <c r="W1158" i="1"/>
  <c r="V1158" i="1"/>
  <c r="U1158" i="1"/>
  <c r="T1158" i="1"/>
  <c r="S1158" i="1"/>
  <c r="R1158" i="1"/>
  <c r="Q1158" i="1"/>
  <c r="W1157" i="1"/>
  <c r="V1157" i="1"/>
  <c r="U1157" i="1"/>
  <c r="T1157" i="1"/>
  <c r="S1157" i="1"/>
  <c r="R1157" i="1"/>
  <c r="Q1157" i="1"/>
  <c r="W1156" i="1"/>
  <c r="V1156" i="1"/>
  <c r="U1156" i="1"/>
  <c r="T1156" i="1"/>
  <c r="S1156" i="1"/>
  <c r="R1156" i="1"/>
  <c r="Q1156" i="1"/>
  <c r="W1155" i="1"/>
  <c r="V1155" i="1"/>
  <c r="U1155" i="1"/>
  <c r="T1155" i="1"/>
  <c r="S1155" i="1"/>
  <c r="R1155" i="1"/>
  <c r="Q1155" i="1"/>
  <c r="W1154" i="1"/>
  <c r="V1154" i="1"/>
  <c r="U1154" i="1"/>
  <c r="T1154" i="1"/>
  <c r="S1154" i="1"/>
  <c r="R1154" i="1"/>
  <c r="Q1154" i="1"/>
  <c r="W1153" i="1"/>
  <c r="V1153" i="1"/>
  <c r="U1153" i="1"/>
  <c r="T1153" i="1"/>
  <c r="S1153" i="1"/>
  <c r="R1153" i="1"/>
  <c r="Q1153" i="1"/>
  <c r="W1152" i="1"/>
  <c r="V1152" i="1"/>
  <c r="U1152" i="1"/>
  <c r="T1152" i="1"/>
  <c r="S1152" i="1"/>
  <c r="R1152" i="1"/>
  <c r="Q1152" i="1"/>
  <c r="W1151" i="1"/>
  <c r="V1151" i="1"/>
  <c r="U1151" i="1"/>
  <c r="T1151" i="1"/>
  <c r="S1151" i="1"/>
  <c r="R1151" i="1"/>
  <c r="Q1151" i="1"/>
  <c r="W1150" i="1"/>
  <c r="V1150" i="1"/>
  <c r="U1150" i="1"/>
  <c r="T1150" i="1"/>
  <c r="S1150" i="1"/>
  <c r="R1150" i="1"/>
  <c r="Q1150" i="1"/>
  <c r="W1149" i="1"/>
  <c r="V1149" i="1"/>
  <c r="U1149" i="1"/>
  <c r="T1149" i="1"/>
  <c r="S1149" i="1"/>
  <c r="R1149" i="1"/>
  <c r="Q1149" i="1"/>
  <c r="W1148" i="1"/>
  <c r="V1148" i="1"/>
  <c r="U1148" i="1"/>
  <c r="T1148" i="1"/>
  <c r="S1148" i="1"/>
  <c r="R1148" i="1"/>
  <c r="Q1148" i="1"/>
  <c r="W1147" i="1"/>
  <c r="V1147" i="1"/>
  <c r="U1147" i="1"/>
  <c r="T1147" i="1"/>
  <c r="S1147" i="1"/>
  <c r="R1147" i="1"/>
  <c r="Q1147" i="1"/>
  <c r="W1146" i="1"/>
  <c r="V1146" i="1"/>
  <c r="U1146" i="1"/>
  <c r="T1146" i="1"/>
  <c r="S1146" i="1"/>
  <c r="R1146" i="1"/>
  <c r="Q1146" i="1"/>
  <c r="W1145" i="1"/>
  <c r="V1145" i="1"/>
  <c r="U1145" i="1"/>
  <c r="T1145" i="1"/>
  <c r="S1145" i="1"/>
  <c r="R1145" i="1"/>
  <c r="Q1145" i="1"/>
  <c r="W1144" i="1"/>
  <c r="V1144" i="1"/>
  <c r="U1144" i="1"/>
  <c r="T1144" i="1"/>
  <c r="S1144" i="1"/>
  <c r="R1144" i="1"/>
  <c r="Q1144" i="1"/>
  <c r="W1143" i="1"/>
  <c r="V1143" i="1"/>
  <c r="U1143" i="1"/>
  <c r="T1143" i="1"/>
  <c r="S1143" i="1"/>
  <c r="R1143" i="1"/>
  <c r="Q1143" i="1"/>
  <c r="W1142" i="1"/>
  <c r="V1142" i="1"/>
  <c r="U1142" i="1"/>
  <c r="T1142" i="1"/>
  <c r="S1142" i="1"/>
  <c r="R1142" i="1"/>
  <c r="Q1142" i="1"/>
  <c r="W1141" i="1"/>
  <c r="V1141" i="1"/>
  <c r="U1141" i="1"/>
  <c r="T1141" i="1"/>
  <c r="S1141" i="1"/>
  <c r="R1141" i="1"/>
  <c r="Q1141" i="1"/>
  <c r="W1140" i="1"/>
  <c r="V1140" i="1"/>
  <c r="U1140" i="1"/>
  <c r="T1140" i="1"/>
  <c r="S1140" i="1"/>
  <c r="R1140" i="1"/>
  <c r="Q1140" i="1"/>
  <c r="W1139" i="1"/>
  <c r="V1139" i="1"/>
  <c r="U1139" i="1"/>
  <c r="T1139" i="1"/>
  <c r="S1139" i="1"/>
  <c r="R1139" i="1"/>
  <c r="Q1139" i="1"/>
  <c r="W1138" i="1"/>
  <c r="V1138" i="1"/>
  <c r="U1138" i="1"/>
  <c r="T1138" i="1"/>
  <c r="S1138" i="1"/>
  <c r="R1138" i="1"/>
  <c r="Q1138" i="1"/>
  <c r="W1137" i="1"/>
  <c r="V1137" i="1"/>
  <c r="U1137" i="1"/>
  <c r="T1137" i="1"/>
  <c r="S1137" i="1"/>
  <c r="R1137" i="1"/>
  <c r="Q1137" i="1"/>
  <c r="W1136" i="1"/>
  <c r="V1136" i="1"/>
  <c r="U1136" i="1"/>
  <c r="T1136" i="1"/>
  <c r="S1136" i="1"/>
  <c r="R1136" i="1"/>
  <c r="Q1136" i="1"/>
  <c r="W1135" i="1"/>
  <c r="V1135" i="1"/>
  <c r="U1135" i="1"/>
  <c r="T1135" i="1"/>
  <c r="S1135" i="1"/>
  <c r="R1135" i="1"/>
  <c r="Q1135" i="1"/>
  <c r="W1134" i="1"/>
  <c r="V1134" i="1"/>
  <c r="U1134" i="1"/>
  <c r="T1134" i="1"/>
  <c r="S1134" i="1"/>
  <c r="R1134" i="1"/>
  <c r="Q1134" i="1"/>
  <c r="W1133" i="1"/>
  <c r="V1133" i="1"/>
  <c r="U1133" i="1"/>
  <c r="T1133" i="1"/>
  <c r="S1133" i="1"/>
  <c r="R1133" i="1"/>
  <c r="Q1133" i="1"/>
  <c r="W1132" i="1"/>
  <c r="V1132" i="1"/>
  <c r="U1132" i="1"/>
  <c r="T1132" i="1"/>
  <c r="S1132" i="1"/>
  <c r="R1132" i="1"/>
  <c r="Q1132" i="1"/>
  <c r="W1131" i="1"/>
  <c r="V1131" i="1"/>
  <c r="U1131" i="1"/>
  <c r="T1131" i="1"/>
  <c r="S1131" i="1"/>
  <c r="R1131" i="1"/>
  <c r="Q1131" i="1"/>
  <c r="W1130" i="1"/>
  <c r="V1130" i="1"/>
  <c r="U1130" i="1"/>
  <c r="T1130" i="1"/>
  <c r="S1130" i="1"/>
  <c r="R1130" i="1"/>
  <c r="Q1130" i="1"/>
  <c r="W1129" i="1"/>
  <c r="V1129" i="1"/>
  <c r="U1129" i="1"/>
  <c r="T1129" i="1"/>
  <c r="S1129" i="1"/>
  <c r="R1129" i="1"/>
  <c r="Q1129" i="1"/>
  <c r="W1128" i="1"/>
  <c r="V1128" i="1"/>
  <c r="U1128" i="1"/>
  <c r="T1128" i="1"/>
  <c r="S1128" i="1"/>
  <c r="R1128" i="1"/>
  <c r="Q1128" i="1"/>
  <c r="W1127" i="1"/>
  <c r="V1127" i="1"/>
  <c r="U1127" i="1"/>
  <c r="T1127" i="1"/>
  <c r="S1127" i="1"/>
  <c r="R1127" i="1"/>
  <c r="Q1127" i="1"/>
  <c r="W1126" i="1"/>
  <c r="V1126" i="1"/>
  <c r="U1126" i="1"/>
  <c r="T1126" i="1"/>
  <c r="S1126" i="1"/>
  <c r="R1126" i="1"/>
  <c r="Q1126" i="1"/>
  <c r="W1125" i="1"/>
  <c r="V1125" i="1"/>
  <c r="U1125" i="1"/>
  <c r="T1125" i="1"/>
  <c r="S1125" i="1"/>
  <c r="R1125" i="1"/>
  <c r="Q1125" i="1"/>
  <c r="W1124" i="1"/>
  <c r="V1124" i="1"/>
  <c r="U1124" i="1"/>
  <c r="T1124" i="1"/>
  <c r="S1124" i="1"/>
  <c r="R1124" i="1"/>
  <c r="Q1124" i="1"/>
  <c r="W1123" i="1"/>
  <c r="V1123" i="1"/>
  <c r="U1123" i="1"/>
  <c r="T1123" i="1"/>
  <c r="S1123" i="1"/>
  <c r="R1123" i="1"/>
  <c r="Q1123" i="1"/>
  <c r="W1122" i="1"/>
  <c r="V1122" i="1"/>
  <c r="U1122" i="1"/>
  <c r="T1122" i="1"/>
  <c r="S1122" i="1"/>
  <c r="R1122" i="1"/>
  <c r="Q1122" i="1"/>
  <c r="W1121" i="1"/>
  <c r="V1121" i="1"/>
  <c r="U1121" i="1"/>
  <c r="T1121" i="1"/>
  <c r="S1121" i="1"/>
  <c r="R1121" i="1"/>
  <c r="Q1121" i="1"/>
  <c r="W1120" i="1"/>
  <c r="V1120" i="1"/>
  <c r="U1120" i="1"/>
  <c r="T1120" i="1"/>
  <c r="S1120" i="1"/>
  <c r="R1120" i="1"/>
  <c r="Q1120" i="1"/>
  <c r="W1119" i="1"/>
  <c r="V1119" i="1"/>
  <c r="U1119" i="1"/>
  <c r="T1119" i="1"/>
  <c r="S1119" i="1"/>
  <c r="R1119" i="1"/>
  <c r="Q1119" i="1"/>
  <c r="W1118" i="1"/>
  <c r="V1118" i="1"/>
  <c r="U1118" i="1"/>
  <c r="T1118" i="1"/>
  <c r="S1118" i="1"/>
  <c r="R1118" i="1"/>
  <c r="Q1118" i="1"/>
  <c r="W1117" i="1"/>
  <c r="V1117" i="1"/>
  <c r="U1117" i="1"/>
  <c r="T1117" i="1"/>
  <c r="S1117" i="1"/>
  <c r="R1117" i="1"/>
  <c r="Q1117" i="1"/>
  <c r="W1116" i="1"/>
  <c r="V1116" i="1"/>
  <c r="U1116" i="1"/>
  <c r="T1116" i="1"/>
  <c r="S1116" i="1"/>
  <c r="R1116" i="1"/>
  <c r="Q1116" i="1"/>
  <c r="W1115" i="1"/>
  <c r="V1115" i="1"/>
  <c r="U1115" i="1"/>
  <c r="T1115" i="1"/>
  <c r="S1115" i="1"/>
  <c r="R1115" i="1"/>
  <c r="Q1115" i="1"/>
  <c r="W1114" i="1"/>
  <c r="V1114" i="1"/>
  <c r="U1114" i="1"/>
  <c r="T1114" i="1"/>
  <c r="S1114" i="1"/>
  <c r="R1114" i="1"/>
  <c r="Q1114" i="1"/>
  <c r="W1113" i="1"/>
  <c r="V1113" i="1"/>
  <c r="U1113" i="1"/>
  <c r="T1113" i="1"/>
  <c r="S1113" i="1"/>
  <c r="R1113" i="1"/>
  <c r="Q1113" i="1"/>
  <c r="W1112" i="1"/>
  <c r="V1112" i="1"/>
  <c r="U1112" i="1"/>
  <c r="T1112" i="1"/>
  <c r="S1112" i="1"/>
  <c r="R1112" i="1"/>
  <c r="Q1112" i="1"/>
  <c r="W1111" i="1"/>
  <c r="V1111" i="1"/>
  <c r="U1111" i="1"/>
  <c r="T1111" i="1"/>
  <c r="S1111" i="1"/>
  <c r="R1111" i="1"/>
  <c r="Q1111" i="1"/>
  <c r="W1110" i="1"/>
  <c r="V1110" i="1"/>
  <c r="U1110" i="1"/>
  <c r="T1110" i="1"/>
  <c r="S1110" i="1"/>
  <c r="R1110" i="1"/>
  <c r="Q1110" i="1"/>
  <c r="W1109" i="1"/>
  <c r="V1109" i="1"/>
  <c r="U1109" i="1"/>
  <c r="T1109" i="1"/>
  <c r="S1109" i="1"/>
  <c r="R1109" i="1"/>
  <c r="Q1109" i="1"/>
  <c r="W1108" i="1"/>
  <c r="V1108" i="1"/>
  <c r="U1108" i="1"/>
  <c r="T1108" i="1"/>
  <c r="S1108" i="1"/>
  <c r="R1108" i="1"/>
  <c r="Q1108" i="1"/>
  <c r="W1107" i="1"/>
  <c r="V1107" i="1"/>
  <c r="U1107" i="1"/>
  <c r="T1107" i="1"/>
  <c r="S1107" i="1"/>
  <c r="R1107" i="1"/>
  <c r="Q1107" i="1"/>
  <c r="W1106" i="1"/>
  <c r="V1106" i="1"/>
  <c r="U1106" i="1"/>
  <c r="T1106" i="1"/>
  <c r="S1106" i="1"/>
  <c r="R1106" i="1"/>
  <c r="Q1106" i="1"/>
  <c r="W1105" i="1"/>
  <c r="V1105" i="1"/>
  <c r="U1105" i="1"/>
  <c r="T1105" i="1"/>
  <c r="S1105" i="1"/>
  <c r="R1105" i="1"/>
  <c r="Q1105" i="1"/>
  <c r="W1104" i="1"/>
  <c r="V1104" i="1"/>
  <c r="U1104" i="1"/>
  <c r="T1104" i="1"/>
  <c r="S1104" i="1"/>
  <c r="R1104" i="1"/>
  <c r="Q1104" i="1"/>
  <c r="W1103" i="1"/>
  <c r="V1103" i="1"/>
  <c r="U1103" i="1"/>
  <c r="T1103" i="1"/>
  <c r="S1103" i="1"/>
  <c r="R1103" i="1"/>
  <c r="Q1103" i="1"/>
  <c r="W1102" i="1"/>
  <c r="V1102" i="1"/>
  <c r="U1102" i="1"/>
  <c r="T1102" i="1"/>
  <c r="S1102" i="1"/>
  <c r="R1102" i="1"/>
  <c r="Q1102" i="1"/>
  <c r="W1101" i="1"/>
  <c r="V1101" i="1"/>
  <c r="U1101" i="1"/>
  <c r="T1101" i="1"/>
  <c r="S1101" i="1"/>
  <c r="R1101" i="1"/>
  <c r="Q1101" i="1"/>
  <c r="W1100" i="1"/>
  <c r="V1100" i="1"/>
  <c r="U1100" i="1"/>
  <c r="T1100" i="1"/>
  <c r="S1100" i="1"/>
  <c r="R1100" i="1"/>
  <c r="Q1100" i="1"/>
  <c r="W1099" i="1"/>
  <c r="V1099" i="1"/>
  <c r="U1099" i="1"/>
  <c r="T1099" i="1"/>
  <c r="S1099" i="1"/>
  <c r="R1099" i="1"/>
  <c r="Q1099" i="1"/>
  <c r="W1098" i="1"/>
  <c r="V1098" i="1"/>
  <c r="U1098" i="1"/>
  <c r="T1098" i="1"/>
  <c r="S1098" i="1"/>
  <c r="R1098" i="1"/>
  <c r="Q1098" i="1"/>
  <c r="W1097" i="1"/>
  <c r="V1097" i="1"/>
  <c r="U1097" i="1"/>
  <c r="T1097" i="1"/>
  <c r="S1097" i="1"/>
  <c r="R1097" i="1"/>
  <c r="Q1097" i="1"/>
  <c r="W1096" i="1"/>
  <c r="V1096" i="1"/>
  <c r="U1096" i="1"/>
  <c r="T1096" i="1"/>
  <c r="S1096" i="1"/>
  <c r="R1096" i="1"/>
  <c r="Q1096" i="1"/>
  <c r="W1095" i="1"/>
  <c r="V1095" i="1"/>
  <c r="U1095" i="1"/>
  <c r="T1095" i="1"/>
  <c r="S1095" i="1"/>
  <c r="R1095" i="1"/>
  <c r="Q1095" i="1"/>
  <c r="W1094" i="1"/>
  <c r="V1094" i="1"/>
  <c r="U1094" i="1"/>
  <c r="T1094" i="1"/>
  <c r="S1094" i="1"/>
  <c r="R1094" i="1"/>
  <c r="Q1094" i="1"/>
  <c r="W1093" i="1"/>
  <c r="V1093" i="1"/>
  <c r="U1093" i="1"/>
  <c r="T1093" i="1"/>
  <c r="S1093" i="1"/>
  <c r="R1093" i="1"/>
  <c r="Q1093" i="1"/>
  <c r="W1092" i="1"/>
  <c r="V1092" i="1"/>
  <c r="U1092" i="1"/>
  <c r="T1092" i="1"/>
  <c r="S1092" i="1"/>
  <c r="R1092" i="1"/>
  <c r="Q1092" i="1"/>
  <c r="W1091" i="1"/>
  <c r="V1091" i="1"/>
  <c r="U1091" i="1"/>
  <c r="T1091" i="1"/>
  <c r="S1091" i="1"/>
  <c r="R1091" i="1"/>
  <c r="Q1091" i="1"/>
  <c r="W1090" i="1"/>
  <c r="V1090" i="1"/>
  <c r="U1090" i="1"/>
  <c r="T1090" i="1"/>
  <c r="S1090" i="1"/>
  <c r="R1090" i="1"/>
  <c r="Q1090" i="1"/>
  <c r="W1089" i="1"/>
  <c r="V1089" i="1"/>
  <c r="U1089" i="1"/>
  <c r="T1089" i="1"/>
  <c r="S1089" i="1"/>
  <c r="R1089" i="1"/>
  <c r="Q1089" i="1"/>
  <c r="W1088" i="1"/>
  <c r="V1088" i="1"/>
  <c r="U1088" i="1"/>
  <c r="T1088" i="1"/>
  <c r="S1088" i="1"/>
  <c r="R1088" i="1"/>
  <c r="Q1088" i="1"/>
  <c r="W1087" i="1"/>
  <c r="V1087" i="1"/>
  <c r="U1087" i="1"/>
  <c r="T1087" i="1"/>
  <c r="S1087" i="1"/>
  <c r="R1087" i="1"/>
  <c r="Q1087" i="1"/>
  <c r="W1086" i="1"/>
  <c r="V1086" i="1"/>
  <c r="U1086" i="1"/>
  <c r="T1086" i="1"/>
  <c r="S1086" i="1"/>
  <c r="R1086" i="1"/>
  <c r="Q1086" i="1"/>
  <c r="W1085" i="1"/>
  <c r="V1085" i="1"/>
  <c r="U1085" i="1"/>
  <c r="T1085" i="1"/>
  <c r="S1085" i="1"/>
  <c r="R1085" i="1"/>
  <c r="Q1085" i="1"/>
  <c r="W1084" i="1"/>
  <c r="V1084" i="1"/>
  <c r="U1084" i="1"/>
  <c r="T1084" i="1"/>
  <c r="S1084" i="1"/>
  <c r="R1084" i="1"/>
  <c r="Q1084" i="1"/>
  <c r="W1083" i="1"/>
  <c r="V1083" i="1"/>
  <c r="U1083" i="1"/>
  <c r="T1083" i="1"/>
  <c r="S1083" i="1"/>
  <c r="R1083" i="1"/>
  <c r="Q1083" i="1"/>
  <c r="W1082" i="1"/>
  <c r="V1082" i="1"/>
  <c r="U1082" i="1"/>
  <c r="T1082" i="1"/>
  <c r="S1082" i="1"/>
  <c r="R1082" i="1"/>
  <c r="Q1082" i="1"/>
  <c r="W1081" i="1"/>
  <c r="V1081" i="1"/>
  <c r="U1081" i="1"/>
  <c r="T1081" i="1"/>
  <c r="S1081" i="1"/>
  <c r="R1081" i="1"/>
  <c r="Q1081" i="1"/>
  <c r="W1080" i="1"/>
  <c r="V1080" i="1"/>
  <c r="U1080" i="1"/>
  <c r="T1080" i="1"/>
  <c r="S1080" i="1"/>
  <c r="R1080" i="1"/>
  <c r="Q1080" i="1"/>
  <c r="W1079" i="1"/>
  <c r="V1079" i="1"/>
  <c r="U1079" i="1"/>
  <c r="T1079" i="1"/>
  <c r="S1079" i="1"/>
  <c r="R1079" i="1"/>
  <c r="Q1079" i="1"/>
  <c r="W1078" i="1"/>
  <c r="V1078" i="1"/>
  <c r="U1078" i="1"/>
  <c r="T1078" i="1"/>
  <c r="S1078" i="1"/>
  <c r="R1078" i="1"/>
  <c r="Q1078" i="1"/>
  <c r="W1077" i="1"/>
  <c r="V1077" i="1"/>
  <c r="U1077" i="1"/>
  <c r="T1077" i="1"/>
  <c r="S1077" i="1"/>
  <c r="R1077" i="1"/>
  <c r="Q1077" i="1"/>
  <c r="W1076" i="1"/>
  <c r="V1076" i="1"/>
  <c r="U1076" i="1"/>
  <c r="T1076" i="1"/>
  <c r="S1076" i="1"/>
  <c r="R1076" i="1"/>
  <c r="Q1076" i="1"/>
  <c r="W1075" i="1"/>
  <c r="V1075" i="1"/>
  <c r="U1075" i="1"/>
  <c r="T1075" i="1"/>
  <c r="S1075" i="1"/>
  <c r="R1075" i="1"/>
  <c r="Q1075" i="1"/>
  <c r="W1074" i="1"/>
  <c r="V1074" i="1"/>
  <c r="U1074" i="1"/>
  <c r="T1074" i="1"/>
  <c r="S1074" i="1"/>
  <c r="R1074" i="1"/>
  <c r="Q1074" i="1"/>
  <c r="W1073" i="1"/>
  <c r="V1073" i="1"/>
  <c r="U1073" i="1"/>
  <c r="T1073" i="1"/>
  <c r="S1073" i="1"/>
  <c r="R1073" i="1"/>
  <c r="Q1073" i="1"/>
  <c r="W1072" i="1"/>
  <c r="V1072" i="1"/>
  <c r="U1072" i="1"/>
  <c r="T1072" i="1"/>
  <c r="S1072" i="1"/>
  <c r="R1072" i="1"/>
  <c r="Q1072" i="1"/>
  <c r="W1071" i="1"/>
  <c r="V1071" i="1"/>
  <c r="U1071" i="1"/>
  <c r="T1071" i="1"/>
  <c r="S1071" i="1"/>
  <c r="R1071" i="1"/>
  <c r="Q1071" i="1"/>
  <c r="W1070" i="1"/>
  <c r="V1070" i="1"/>
  <c r="U1070" i="1"/>
  <c r="T1070" i="1"/>
  <c r="S1070" i="1"/>
  <c r="R1070" i="1"/>
  <c r="Q1070" i="1"/>
  <c r="W1069" i="1"/>
  <c r="V1069" i="1"/>
  <c r="U1069" i="1"/>
  <c r="T1069" i="1"/>
  <c r="S1069" i="1"/>
  <c r="R1069" i="1"/>
  <c r="Q1069" i="1"/>
  <c r="W1068" i="1"/>
  <c r="V1068" i="1"/>
  <c r="U1068" i="1"/>
  <c r="T1068" i="1"/>
  <c r="S1068" i="1"/>
  <c r="R1068" i="1"/>
  <c r="Q1068" i="1"/>
  <c r="W1067" i="1"/>
  <c r="V1067" i="1"/>
  <c r="U1067" i="1"/>
  <c r="T1067" i="1"/>
  <c r="S1067" i="1"/>
  <c r="R1067" i="1"/>
  <c r="Q1067" i="1"/>
  <c r="W1066" i="1"/>
  <c r="V1066" i="1"/>
  <c r="U1066" i="1"/>
  <c r="T1066" i="1"/>
  <c r="S1066" i="1"/>
  <c r="R1066" i="1"/>
  <c r="Q1066" i="1"/>
  <c r="W1065" i="1"/>
  <c r="V1065" i="1"/>
  <c r="U1065" i="1"/>
  <c r="T1065" i="1"/>
  <c r="S1065" i="1"/>
  <c r="R1065" i="1"/>
  <c r="Q1065" i="1"/>
  <c r="W1064" i="1"/>
  <c r="V1064" i="1"/>
  <c r="U1064" i="1"/>
  <c r="T1064" i="1"/>
  <c r="S1064" i="1"/>
  <c r="R1064" i="1"/>
  <c r="Q1064" i="1"/>
  <c r="W1063" i="1"/>
  <c r="V1063" i="1"/>
  <c r="U1063" i="1"/>
  <c r="T1063" i="1"/>
  <c r="S1063" i="1"/>
  <c r="R1063" i="1"/>
  <c r="Q1063" i="1"/>
  <c r="W1062" i="1"/>
  <c r="V1062" i="1"/>
  <c r="U1062" i="1"/>
  <c r="T1062" i="1"/>
  <c r="S1062" i="1"/>
  <c r="R1062" i="1"/>
  <c r="Q1062" i="1"/>
  <c r="W1061" i="1"/>
  <c r="V1061" i="1"/>
  <c r="U1061" i="1"/>
  <c r="T1061" i="1"/>
  <c r="S1061" i="1"/>
  <c r="R1061" i="1"/>
  <c r="Q1061" i="1"/>
  <c r="W1060" i="1"/>
  <c r="V1060" i="1"/>
  <c r="U1060" i="1"/>
  <c r="T1060" i="1"/>
  <c r="S1060" i="1"/>
  <c r="R1060" i="1"/>
  <c r="Q1060" i="1"/>
  <c r="W1059" i="1"/>
  <c r="V1059" i="1"/>
  <c r="U1059" i="1"/>
  <c r="T1059" i="1"/>
  <c r="S1059" i="1"/>
  <c r="R1059" i="1"/>
  <c r="Q1059" i="1"/>
  <c r="W1058" i="1"/>
  <c r="V1058" i="1"/>
  <c r="U1058" i="1"/>
  <c r="T1058" i="1"/>
  <c r="S1058" i="1"/>
  <c r="R1058" i="1"/>
  <c r="Q1058" i="1"/>
  <c r="W1057" i="1"/>
  <c r="V1057" i="1"/>
  <c r="U1057" i="1"/>
  <c r="T1057" i="1"/>
  <c r="S1057" i="1"/>
  <c r="R1057" i="1"/>
  <c r="Q1057" i="1"/>
  <c r="W1056" i="1"/>
  <c r="V1056" i="1"/>
  <c r="U1056" i="1"/>
  <c r="T1056" i="1"/>
  <c r="S1056" i="1"/>
  <c r="R1056" i="1"/>
  <c r="Q1056" i="1"/>
  <c r="W1055" i="1"/>
  <c r="V1055" i="1"/>
  <c r="U1055" i="1"/>
  <c r="T1055" i="1"/>
  <c r="S1055" i="1"/>
  <c r="R1055" i="1"/>
  <c r="Q1055" i="1"/>
  <c r="W1054" i="1"/>
  <c r="V1054" i="1"/>
  <c r="U1054" i="1"/>
  <c r="T1054" i="1"/>
  <c r="S1054" i="1"/>
  <c r="R1054" i="1"/>
  <c r="Q1054" i="1"/>
  <c r="W1053" i="1"/>
  <c r="V1053" i="1"/>
  <c r="U1053" i="1"/>
  <c r="T1053" i="1"/>
  <c r="S1053" i="1"/>
  <c r="R1053" i="1"/>
  <c r="Q1053" i="1"/>
  <c r="W1052" i="1"/>
  <c r="V1052" i="1"/>
  <c r="U1052" i="1"/>
  <c r="T1052" i="1"/>
  <c r="S1052" i="1"/>
  <c r="R1052" i="1"/>
  <c r="Q1052" i="1"/>
  <c r="W1051" i="1"/>
  <c r="V1051" i="1"/>
  <c r="U1051" i="1"/>
  <c r="T1051" i="1"/>
  <c r="S1051" i="1"/>
  <c r="R1051" i="1"/>
  <c r="Q1051" i="1"/>
  <c r="W1050" i="1"/>
  <c r="V1050" i="1"/>
  <c r="U1050" i="1"/>
  <c r="T1050" i="1"/>
  <c r="S1050" i="1"/>
  <c r="R1050" i="1"/>
  <c r="Q1050" i="1"/>
  <c r="W1049" i="1"/>
  <c r="V1049" i="1"/>
  <c r="U1049" i="1"/>
  <c r="T1049" i="1"/>
  <c r="S1049" i="1"/>
  <c r="R1049" i="1"/>
  <c r="Q1049" i="1"/>
  <c r="W1048" i="1"/>
  <c r="V1048" i="1"/>
  <c r="U1048" i="1"/>
  <c r="T1048" i="1"/>
  <c r="S1048" i="1"/>
  <c r="R1048" i="1"/>
  <c r="Q1048" i="1"/>
  <c r="W1047" i="1"/>
  <c r="V1047" i="1"/>
  <c r="U1047" i="1"/>
  <c r="T1047" i="1"/>
  <c r="S1047" i="1"/>
  <c r="R1047" i="1"/>
  <c r="Q1047" i="1"/>
  <c r="W1046" i="1"/>
  <c r="V1046" i="1"/>
  <c r="U1046" i="1"/>
  <c r="T1046" i="1"/>
  <c r="S1046" i="1"/>
  <c r="R1046" i="1"/>
  <c r="Q1046" i="1"/>
  <c r="W1045" i="1"/>
  <c r="V1045" i="1"/>
  <c r="U1045" i="1"/>
  <c r="T1045" i="1"/>
  <c r="S1045" i="1"/>
  <c r="R1045" i="1"/>
  <c r="Q1045" i="1"/>
  <c r="W1044" i="1"/>
  <c r="V1044" i="1"/>
  <c r="U1044" i="1"/>
  <c r="T1044" i="1"/>
  <c r="S1044" i="1"/>
  <c r="R1044" i="1"/>
  <c r="Q1044" i="1"/>
  <c r="W1043" i="1"/>
  <c r="V1043" i="1"/>
  <c r="U1043" i="1"/>
  <c r="T1043" i="1"/>
  <c r="S1043" i="1"/>
  <c r="R1043" i="1"/>
  <c r="Q1043" i="1"/>
  <c r="W1042" i="1"/>
  <c r="V1042" i="1"/>
  <c r="U1042" i="1"/>
  <c r="T1042" i="1"/>
  <c r="S1042" i="1"/>
  <c r="R1042" i="1"/>
  <c r="Q1042" i="1"/>
  <c r="W1041" i="1"/>
  <c r="V1041" i="1"/>
  <c r="U1041" i="1"/>
  <c r="T1041" i="1"/>
  <c r="S1041" i="1"/>
  <c r="R1041" i="1"/>
  <c r="Q1041" i="1"/>
  <c r="W1040" i="1"/>
  <c r="V1040" i="1"/>
  <c r="U1040" i="1"/>
  <c r="T1040" i="1"/>
  <c r="S1040" i="1"/>
  <c r="R1040" i="1"/>
  <c r="Q1040" i="1"/>
  <c r="W1039" i="1"/>
  <c r="V1039" i="1"/>
  <c r="U1039" i="1"/>
  <c r="T1039" i="1"/>
  <c r="S1039" i="1"/>
  <c r="R1039" i="1"/>
  <c r="Q1039" i="1"/>
  <c r="W1038" i="1"/>
  <c r="V1038" i="1"/>
  <c r="U1038" i="1"/>
  <c r="T1038" i="1"/>
  <c r="S1038" i="1"/>
  <c r="R1038" i="1"/>
  <c r="Q1038" i="1"/>
  <c r="W1037" i="1"/>
  <c r="V1037" i="1"/>
  <c r="U1037" i="1"/>
  <c r="T1037" i="1"/>
  <c r="S1037" i="1"/>
  <c r="R1037" i="1"/>
  <c r="Q1037" i="1"/>
  <c r="W1036" i="1"/>
  <c r="V1036" i="1"/>
  <c r="U1036" i="1"/>
  <c r="T1036" i="1"/>
  <c r="S1036" i="1"/>
  <c r="R1036" i="1"/>
  <c r="Q1036" i="1"/>
  <c r="W1035" i="1"/>
  <c r="V1035" i="1"/>
  <c r="U1035" i="1"/>
  <c r="T1035" i="1"/>
  <c r="S1035" i="1"/>
  <c r="R1035" i="1"/>
  <c r="Q1035" i="1"/>
  <c r="W1034" i="1"/>
  <c r="V1034" i="1"/>
  <c r="U1034" i="1"/>
  <c r="T1034" i="1"/>
  <c r="S1034" i="1"/>
  <c r="R1034" i="1"/>
  <c r="Q1034" i="1"/>
  <c r="W1033" i="1"/>
  <c r="V1033" i="1"/>
  <c r="U1033" i="1"/>
  <c r="T1033" i="1"/>
  <c r="S1033" i="1"/>
  <c r="R1033" i="1"/>
  <c r="Q1033" i="1"/>
  <c r="W1032" i="1"/>
  <c r="V1032" i="1"/>
  <c r="U1032" i="1"/>
  <c r="T1032" i="1"/>
  <c r="S1032" i="1"/>
  <c r="R1032" i="1"/>
  <c r="Q1032" i="1"/>
  <c r="W1031" i="1"/>
  <c r="V1031" i="1"/>
  <c r="U1031" i="1"/>
  <c r="T1031" i="1"/>
  <c r="S1031" i="1"/>
  <c r="R1031" i="1"/>
  <c r="Q1031" i="1"/>
  <c r="W1030" i="1"/>
  <c r="V1030" i="1"/>
  <c r="U1030" i="1"/>
  <c r="T1030" i="1"/>
  <c r="S1030" i="1"/>
  <c r="R1030" i="1"/>
  <c r="Q1030" i="1"/>
  <c r="W1029" i="1"/>
  <c r="V1029" i="1"/>
  <c r="U1029" i="1"/>
  <c r="T1029" i="1"/>
  <c r="S1029" i="1"/>
  <c r="R1029" i="1"/>
  <c r="Q1029" i="1"/>
  <c r="W1028" i="1"/>
  <c r="V1028" i="1"/>
  <c r="U1028" i="1"/>
  <c r="T1028" i="1"/>
  <c r="S1028" i="1"/>
  <c r="R1028" i="1"/>
  <c r="Q1028" i="1"/>
  <c r="W1027" i="1"/>
  <c r="V1027" i="1"/>
  <c r="U1027" i="1"/>
  <c r="T1027" i="1"/>
  <c r="S1027" i="1"/>
  <c r="R1027" i="1"/>
  <c r="Q1027" i="1"/>
  <c r="W1026" i="1"/>
  <c r="V1026" i="1"/>
  <c r="U1026" i="1"/>
  <c r="T1026" i="1"/>
  <c r="S1026" i="1"/>
  <c r="R1026" i="1"/>
  <c r="Q1026" i="1"/>
  <c r="W1025" i="1"/>
  <c r="V1025" i="1"/>
  <c r="U1025" i="1"/>
  <c r="T1025" i="1"/>
  <c r="S1025" i="1"/>
  <c r="R1025" i="1"/>
  <c r="Q1025" i="1"/>
  <c r="W1024" i="1"/>
  <c r="V1024" i="1"/>
  <c r="U1024" i="1"/>
  <c r="T1024" i="1"/>
  <c r="S1024" i="1"/>
  <c r="R1024" i="1"/>
  <c r="Q1024" i="1"/>
  <c r="W1023" i="1"/>
  <c r="V1023" i="1"/>
  <c r="U1023" i="1"/>
  <c r="T1023" i="1"/>
  <c r="S1023" i="1"/>
  <c r="R1023" i="1"/>
  <c r="Q1023" i="1"/>
  <c r="W1022" i="1"/>
  <c r="V1022" i="1"/>
  <c r="U1022" i="1"/>
  <c r="T1022" i="1"/>
  <c r="S1022" i="1"/>
  <c r="R1022" i="1"/>
  <c r="Q1022" i="1"/>
  <c r="W1021" i="1"/>
  <c r="V1021" i="1"/>
  <c r="U1021" i="1"/>
  <c r="T1021" i="1"/>
  <c r="S1021" i="1"/>
  <c r="R1021" i="1"/>
  <c r="Q1021" i="1"/>
  <c r="W1020" i="1"/>
  <c r="V1020" i="1"/>
  <c r="U1020" i="1"/>
  <c r="T1020" i="1"/>
  <c r="S1020" i="1"/>
  <c r="R1020" i="1"/>
  <c r="Q1020" i="1"/>
  <c r="W1019" i="1"/>
  <c r="V1019" i="1"/>
  <c r="U1019" i="1"/>
  <c r="T1019" i="1"/>
  <c r="S1019" i="1"/>
  <c r="R1019" i="1"/>
  <c r="Q1019" i="1"/>
  <c r="W1018" i="1"/>
  <c r="V1018" i="1"/>
  <c r="U1018" i="1"/>
  <c r="T1018" i="1"/>
  <c r="S1018" i="1"/>
  <c r="R1018" i="1"/>
  <c r="Q1018" i="1"/>
  <c r="W1017" i="1"/>
  <c r="V1017" i="1"/>
  <c r="U1017" i="1"/>
  <c r="T1017" i="1"/>
  <c r="S1017" i="1"/>
  <c r="R1017" i="1"/>
  <c r="Q1017" i="1"/>
  <c r="W1016" i="1"/>
  <c r="V1016" i="1"/>
  <c r="U1016" i="1"/>
  <c r="T1016" i="1"/>
  <c r="S1016" i="1"/>
  <c r="R1016" i="1"/>
  <c r="Q1016" i="1"/>
  <c r="W1015" i="1"/>
  <c r="V1015" i="1"/>
  <c r="U1015" i="1"/>
  <c r="T1015" i="1"/>
  <c r="S1015" i="1"/>
  <c r="R1015" i="1"/>
  <c r="Q1015" i="1"/>
  <c r="W1014" i="1"/>
  <c r="V1014" i="1"/>
  <c r="U1014" i="1"/>
  <c r="T1014" i="1"/>
  <c r="S1014" i="1"/>
  <c r="R1014" i="1"/>
  <c r="Q1014" i="1"/>
  <c r="W1013" i="1"/>
  <c r="V1013" i="1"/>
  <c r="U1013" i="1"/>
  <c r="T1013" i="1"/>
  <c r="S1013" i="1"/>
  <c r="R1013" i="1"/>
  <c r="Q1013" i="1"/>
  <c r="W1012" i="1"/>
  <c r="V1012" i="1"/>
  <c r="U1012" i="1"/>
  <c r="T1012" i="1"/>
  <c r="S1012" i="1"/>
  <c r="R1012" i="1"/>
  <c r="Q1012" i="1"/>
  <c r="W1011" i="1"/>
  <c r="V1011" i="1"/>
  <c r="U1011" i="1"/>
  <c r="T1011" i="1"/>
  <c r="S1011" i="1"/>
  <c r="R1011" i="1"/>
  <c r="Q1011" i="1"/>
  <c r="W1010" i="1"/>
  <c r="V1010" i="1"/>
  <c r="U1010" i="1"/>
  <c r="T1010" i="1"/>
  <c r="S1010" i="1"/>
  <c r="R1010" i="1"/>
  <c r="Q1010" i="1"/>
  <c r="W1009" i="1"/>
  <c r="V1009" i="1"/>
  <c r="U1009" i="1"/>
  <c r="T1009" i="1"/>
  <c r="S1009" i="1"/>
  <c r="R1009" i="1"/>
  <c r="Q1009" i="1"/>
  <c r="W1008" i="1"/>
  <c r="V1008" i="1"/>
  <c r="U1008" i="1"/>
  <c r="T1008" i="1"/>
  <c r="S1008" i="1"/>
  <c r="R1008" i="1"/>
  <c r="Q1008" i="1"/>
  <c r="W1007" i="1"/>
  <c r="V1007" i="1"/>
  <c r="U1007" i="1"/>
  <c r="T1007" i="1"/>
  <c r="S1007" i="1"/>
  <c r="R1007" i="1"/>
  <c r="Q1007" i="1"/>
  <c r="W1006" i="1"/>
  <c r="V1006" i="1"/>
  <c r="U1006" i="1"/>
  <c r="T1006" i="1"/>
  <c r="S1006" i="1"/>
  <c r="R1006" i="1"/>
  <c r="Q1006" i="1"/>
  <c r="W1005" i="1"/>
  <c r="V1005" i="1"/>
  <c r="U1005" i="1"/>
  <c r="T1005" i="1"/>
  <c r="S1005" i="1"/>
  <c r="R1005" i="1"/>
  <c r="Q1005" i="1"/>
  <c r="W1004" i="1"/>
  <c r="V1004" i="1"/>
  <c r="U1004" i="1"/>
  <c r="T1004" i="1"/>
  <c r="S1004" i="1"/>
  <c r="R1004" i="1"/>
  <c r="Q1004" i="1"/>
  <c r="W1003" i="1"/>
  <c r="V1003" i="1"/>
  <c r="U1003" i="1"/>
  <c r="T1003" i="1"/>
  <c r="S1003" i="1"/>
  <c r="R1003" i="1"/>
  <c r="Q1003" i="1"/>
  <c r="W1002" i="1"/>
  <c r="V1002" i="1"/>
  <c r="U1002" i="1"/>
  <c r="T1002" i="1"/>
  <c r="S1002" i="1"/>
  <c r="R1002" i="1"/>
  <c r="Q1002" i="1"/>
  <c r="W1001" i="1"/>
  <c r="V1001" i="1"/>
  <c r="U1001" i="1"/>
  <c r="T1001" i="1"/>
  <c r="S1001" i="1"/>
  <c r="R1001" i="1"/>
  <c r="Q1001" i="1"/>
  <c r="W1000" i="1"/>
  <c r="V1000" i="1"/>
  <c r="U1000" i="1"/>
  <c r="T1000" i="1"/>
  <c r="S1000" i="1"/>
  <c r="R1000" i="1"/>
  <c r="Q1000" i="1"/>
  <c r="W999" i="1"/>
  <c r="V999" i="1"/>
  <c r="U999" i="1"/>
  <c r="T999" i="1"/>
  <c r="S999" i="1"/>
  <c r="R999" i="1"/>
  <c r="Q999" i="1"/>
  <c r="W998" i="1"/>
  <c r="V998" i="1"/>
  <c r="U998" i="1"/>
  <c r="T998" i="1"/>
  <c r="S998" i="1"/>
  <c r="R998" i="1"/>
  <c r="Q998" i="1"/>
  <c r="W997" i="1"/>
  <c r="V997" i="1"/>
  <c r="U997" i="1"/>
  <c r="T997" i="1"/>
  <c r="S997" i="1"/>
  <c r="R997" i="1"/>
  <c r="Q997" i="1"/>
  <c r="W996" i="1"/>
  <c r="V996" i="1"/>
  <c r="U996" i="1"/>
  <c r="T996" i="1"/>
  <c r="S996" i="1"/>
  <c r="R996" i="1"/>
  <c r="Q996" i="1"/>
  <c r="W995" i="1"/>
  <c r="V995" i="1"/>
  <c r="U995" i="1"/>
  <c r="T995" i="1"/>
  <c r="S995" i="1"/>
  <c r="R995" i="1"/>
  <c r="Q995" i="1"/>
  <c r="W994" i="1"/>
  <c r="V994" i="1"/>
  <c r="U994" i="1"/>
  <c r="T994" i="1"/>
  <c r="S994" i="1"/>
  <c r="R994" i="1"/>
  <c r="Q994" i="1"/>
  <c r="W993" i="1"/>
  <c r="V993" i="1"/>
  <c r="U993" i="1"/>
  <c r="T993" i="1"/>
  <c r="S993" i="1"/>
  <c r="R993" i="1"/>
  <c r="Q993" i="1"/>
  <c r="W992" i="1"/>
  <c r="V992" i="1"/>
  <c r="U992" i="1"/>
  <c r="T992" i="1"/>
  <c r="S992" i="1"/>
  <c r="R992" i="1"/>
  <c r="Q992" i="1"/>
  <c r="W991" i="1"/>
  <c r="V991" i="1"/>
  <c r="U991" i="1"/>
  <c r="T991" i="1"/>
  <c r="S991" i="1"/>
  <c r="R991" i="1"/>
  <c r="Q991" i="1"/>
  <c r="W990" i="1"/>
  <c r="V990" i="1"/>
  <c r="U990" i="1"/>
  <c r="T990" i="1"/>
  <c r="S990" i="1"/>
  <c r="R990" i="1"/>
  <c r="Q990" i="1"/>
  <c r="W989" i="1"/>
  <c r="V989" i="1"/>
  <c r="U989" i="1"/>
  <c r="T989" i="1"/>
  <c r="S989" i="1"/>
  <c r="R989" i="1"/>
  <c r="Q989" i="1"/>
  <c r="W988" i="1"/>
  <c r="V988" i="1"/>
  <c r="U988" i="1"/>
  <c r="T988" i="1"/>
  <c r="S988" i="1"/>
  <c r="R988" i="1"/>
  <c r="Q988" i="1"/>
  <c r="W987" i="1"/>
  <c r="V987" i="1"/>
  <c r="U987" i="1"/>
  <c r="T987" i="1"/>
  <c r="S987" i="1"/>
  <c r="R987" i="1"/>
  <c r="Q987" i="1"/>
  <c r="W986" i="1"/>
  <c r="V986" i="1"/>
  <c r="U986" i="1"/>
  <c r="T986" i="1"/>
  <c r="S986" i="1"/>
  <c r="R986" i="1"/>
  <c r="Q986" i="1"/>
  <c r="W985" i="1"/>
  <c r="V985" i="1"/>
  <c r="U985" i="1"/>
  <c r="T985" i="1"/>
  <c r="S985" i="1"/>
  <c r="R985" i="1"/>
  <c r="Q985" i="1"/>
  <c r="W984" i="1"/>
  <c r="V984" i="1"/>
  <c r="U984" i="1"/>
  <c r="T984" i="1"/>
  <c r="S984" i="1"/>
  <c r="R984" i="1"/>
  <c r="Q984" i="1"/>
  <c r="W983" i="1"/>
  <c r="V983" i="1"/>
  <c r="U983" i="1"/>
  <c r="T983" i="1"/>
  <c r="S983" i="1"/>
  <c r="R983" i="1"/>
  <c r="Q983" i="1"/>
  <c r="W982" i="1"/>
  <c r="V982" i="1"/>
  <c r="U982" i="1"/>
  <c r="T982" i="1"/>
  <c r="S982" i="1"/>
  <c r="R982" i="1"/>
  <c r="Q982" i="1"/>
  <c r="W981" i="1"/>
  <c r="V981" i="1"/>
  <c r="U981" i="1"/>
  <c r="T981" i="1"/>
  <c r="S981" i="1"/>
  <c r="R981" i="1"/>
  <c r="Q981" i="1"/>
  <c r="W980" i="1"/>
  <c r="V980" i="1"/>
  <c r="U980" i="1"/>
  <c r="T980" i="1"/>
  <c r="S980" i="1"/>
  <c r="R980" i="1"/>
  <c r="Q980" i="1"/>
  <c r="W979" i="1"/>
  <c r="V979" i="1"/>
  <c r="U979" i="1"/>
  <c r="T979" i="1"/>
  <c r="S979" i="1"/>
  <c r="R979" i="1"/>
  <c r="Q979" i="1"/>
  <c r="W978" i="1"/>
  <c r="V978" i="1"/>
  <c r="U978" i="1"/>
  <c r="T978" i="1"/>
  <c r="S978" i="1"/>
  <c r="R978" i="1"/>
  <c r="Q978" i="1"/>
  <c r="W977" i="1"/>
  <c r="V977" i="1"/>
  <c r="U977" i="1"/>
  <c r="T977" i="1"/>
  <c r="S977" i="1"/>
  <c r="R977" i="1"/>
  <c r="Q977" i="1"/>
  <c r="W976" i="1"/>
  <c r="V976" i="1"/>
  <c r="U976" i="1"/>
  <c r="T976" i="1"/>
  <c r="S976" i="1"/>
  <c r="R976" i="1"/>
  <c r="Q976" i="1"/>
  <c r="W975" i="1"/>
  <c r="V975" i="1"/>
  <c r="U975" i="1"/>
  <c r="T975" i="1"/>
  <c r="S975" i="1"/>
  <c r="R975" i="1"/>
  <c r="Q975" i="1"/>
  <c r="W974" i="1"/>
  <c r="V974" i="1"/>
  <c r="U974" i="1"/>
  <c r="T974" i="1"/>
  <c r="S974" i="1"/>
  <c r="R974" i="1"/>
  <c r="Q974" i="1"/>
  <c r="W973" i="1"/>
  <c r="V973" i="1"/>
  <c r="U973" i="1"/>
  <c r="T973" i="1"/>
  <c r="S973" i="1"/>
  <c r="R973" i="1"/>
  <c r="Q973" i="1"/>
  <c r="W972" i="1"/>
  <c r="V972" i="1"/>
  <c r="U972" i="1"/>
  <c r="T972" i="1"/>
  <c r="S972" i="1"/>
  <c r="R972" i="1"/>
  <c r="Q972" i="1"/>
  <c r="W971" i="1"/>
  <c r="V971" i="1"/>
  <c r="U971" i="1"/>
  <c r="T971" i="1"/>
  <c r="S971" i="1"/>
  <c r="R971" i="1"/>
  <c r="Q971" i="1"/>
  <c r="W970" i="1"/>
  <c r="V970" i="1"/>
  <c r="U970" i="1"/>
  <c r="T970" i="1"/>
  <c r="S970" i="1"/>
  <c r="R970" i="1"/>
  <c r="Q970" i="1"/>
  <c r="W969" i="1"/>
  <c r="V969" i="1"/>
  <c r="U969" i="1"/>
  <c r="T969" i="1"/>
  <c r="S969" i="1"/>
  <c r="R969" i="1"/>
  <c r="Q969" i="1"/>
  <c r="W968" i="1"/>
  <c r="V968" i="1"/>
  <c r="U968" i="1"/>
  <c r="T968" i="1"/>
  <c r="S968" i="1"/>
  <c r="R968" i="1"/>
  <c r="Q968" i="1"/>
  <c r="W967" i="1"/>
  <c r="V967" i="1"/>
  <c r="U967" i="1"/>
  <c r="T967" i="1"/>
  <c r="S967" i="1"/>
  <c r="R967" i="1"/>
  <c r="Q967" i="1"/>
  <c r="W966" i="1"/>
  <c r="V966" i="1"/>
  <c r="U966" i="1"/>
  <c r="T966" i="1"/>
  <c r="S966" i="1"/>
  <c r="R966" i="1"/>
  <c r="Q966" i="1"/>
  <c r="W965" i="1"/>
  <c r="V965" i="1"/>
  <c r="U965" i="1"/>
  <c r="T965" i="1"/>
  <c r="S965" i="1"/>
  <c r="R965" i="1"/>
  <c r="Q965" i="1"/>
  <c r="W964" i="1"/>
  <c r="V964" i="1"/>
  <c r="U964" i="1"/>
  <c r="T964" i="1"/>
  <c r="S964" i="1"/>
  <c r="R964" i="1"/>
  <c r="Q964" i="1"/>
  <c r="W963" i="1"/>
  <c r="V963" i="1"/>
  <c r="U963" i="1"/>
  <c r="T963" i="1"/>
  <c r="S963" i="1"/>
  <c r="R963" i="1"/>
  <c r="Q963" i="1"/>
  <c r="W962" i="1"/>
  <c r="V962" i="1"/>
  <c r="U962" i="1"/>
  <c r="T962" i="1"/>
  <c r="S962" i="1"/>
  <c r="R962" i="1"/>
  <c r="Q962" i="1"/>
  <c r="W961" i="1"/>
  <c r="V961" i="1"/>
  <c r="U961" i="1"/>
  <c r="T961" i="1"/>
  <c r="S961" i="1"/>
  <c r="R961" i="1"/>
  <c r="Q961" i="1"/>
  <c r="W960" i="1"/>
  <c r="V960" i="1"/>
  <c r="U960" i="1"/>
  <c r="T960" i="1"/>
  <c r="S960" i="1"/>
  <c r="R960" i="1"/>
  <c r="Q960" i="1"/>
  <c r="W959" i="1"/>
  <c r="V959" i="1"/>
  <c r="U959" i="1"/>
  <c r="T959" i="1"/>
  <c r="S959" i="1"/>
  <c r="R959" i="1"/>
  <c r="Q959" i="1"/>
  <c r="W958" i="1"/>
  <c r="V958" i="1"/>
  <c r="U958" i="1"/>
  <c r="T958" i="1"/>
  <c r="S958" i="1"/>
  <c r="R958" i="1"/>
  <c r="Q958" i="1"/>
  <c r="W957" i="1"/>
  <c r="V957" i="1"/>
  <c r="U957" i="1"/>
  <c r="T957" i="1"/>
  <c r="S957" i="1"/>
  <c r="R957" i="1"/>
  <c r="Q957" i="1"/>
  <c r="W956" i="1"/>
  <c r="V956" i="1"/>
  <c r="U956" i="1"/>
  <c r="T956" i="1"/>
  <c r="S956" i="1"/>
  <c r="R956" i="1"/>
  <c r="Q956" i="1"/>
  <c r="W955" i="1"/>
  <c r="V955" i="1"/>
  <c r="U955" i="1"/>
  <c r="T955" i="1"/>
  <c r="S955" i="1"/>
  <c r="R955" i="1"/>
  <c r="Q955" i="1"/>
  <c r="W954" i="1"/>
  <c r="V954" i="1"/>
  <c r="U954" i="1"/>
  <c r="T954" i="1"/>
  <c r="S954" i="1"/>
  <c r="R954" i="1"/>
  <c r="Q954" i="1"/>
  <c r="W953" i="1"/>
  <c r="V953" i="1"/>
  <c r="U953" i="1"/>
  <c r="T953" i="1"/>
  <c r="S953" i="1"/>
  <c r="R953" i="1"/>
  <c r="Q953" i="1"/>
  <c r="W952" i="1"/>
  <c r="V952" i="1"/>
  <c r="U952" i="1"/>
  <c r="T952" i="1"/>
  <c r="S952" i="1"/>
  <c r="R952" i="1"/>
  <c r="Q952" i="1"/>
  <c r="W951" i="1"/>
  <c r="V951" i="1"/>
  <c r="U951" i="1"/>
  <c r="T951" i="1"/>
  <c r="S951" i="1"/>
  <c r="R951" i="1"/>
  <c r="Q951" i="1"/>
  <c r="W950" i="1"/>
  <c r="V950" i="1"/>
  <c r="U950" i="1"/>
  <c r="T950" i="1"/>
  <c r="S950" i="1"/>
  <c r="R950" i="1"/>
  <c r="Q950" i="1"/>
  <c r="W949" i="1"/>
  <c r="V949" i="1"/>
  <c r="U949" i="1"/>
  <c r="T949" i="1"/>
  <c r="S949" i="1"/>
  <c r="R949" i="1"/>
  <c r="Q949" i="1"/>
  <c r="W948" i="1"/>
  <c r="V948" i="1"/>
  <c r="U948" i="1"/>
  <c r="T948" i="1"/>
  <c r="S948" i="1"/>
  <c r="R948" i="1"/>
  <c r="Q948" i="1"/>
  <c r="W947" i="1"/>
  <c r="V947" i="1"/>
  <c r="U947" i="1"/>
  <c r="T947" i="1"/>
  <c r="S947" i="1"/>
  <c r="R947" i="1"/>
  <c r="Q947" i="1"/>
  <c r="W946" i="1"/>
  <c r="V946" i="1"/>
  <c r="U946" i="1"/>
  <c r="T946" i="1"/>
  <c r="S946" i="1"/>
  <c r="R946" i="1"/>
  <c r="Q946" i="1"/>
  <c r="W945" i="1"/>
  <c r="V945" i="1"/>
  <c r="U945" i="1"/>
  <c r="T945" i="1"/>
  <c r="S945" i="1"/>
  <c r="R945" i="1"/>
  <c r="Q945" i="1"/>
  <c r="W944" i="1"/>
  <c r="V944" i="1"/>
  <c r="U944" i="1"/>
  <c r="T944" i="1"/>
  <c r="S944" i="1"/>
  <c r="R944" i="1"/>
  <c r="Q944" i="1"/>
  <c r="W943" i="1"/>
  <c r="V943" i="1"/>
  <c r="U943" i="1"/>
  <c r="T943" i="1"/>
  <c r="S943" i="1"/>
  <c r="R943" i="1"/>
  <c r="Q943" i="1"/>
  <c r="W942" i="1"/>
  <c r="V942" i="1"/>
  <c r="U942" i="1"/>
  <c r="T942" i="1"/>
  <c r="S942" i="1"/>
  <c r="R942" i="1"/>
  <c r="Q942" i="1"/>
  <c r="W941" i="1"/>
  <c r="V941" i="1"/>
  <c r="U941" i="1"/>
  <c r="T941" i="1"/>
  <c r="S941" i="1"/>
  <c r="R941" i="1"/>
  <c r="Q941" i="1"/>
  <c r="W940" i="1"/>
  <c r="V940" i="1"/>
  <c r="U940" i="1"/>
  <c r="T940" i="1"/>
  <c r="S940" i="1"/>
  <c r="R940" i="1"/>
  <c r="Q940" i="1"/>
  <c r="W939" i="1"/>
  <c r="V939" i="1"/>
  <c r="U939" i="1"/>
  <c r="T939" i="1"/>
  <c r="S939" i="1"/>
  <c r="R939" i="1"/>
  <c r="Q939" i="1"/>
  <c r="W938" i="1"/>
  <c r="V938" i="1"/>
  <c r="U938" i="1"/>
  <c r="T938" i="1"/>
  <c r="S938" i="1"/>
  <c r="R938" i="1"/>
  <c r="Q938" i="1"/>
  <c r="W937" i="1"/>
  <c r="V937" i="1"/>
  <c r="U937" i="1"/>
  <c r="T937" i="1"/>
  <c r="S937" i="1"/>
  <c r="R937" i="1"/>
  <c r="Q937" i="1"/>
  <c r="W936" i="1"/>
  <c r="V936" i="1"/>
  <c r="U936" i="1"/>
  <c r="T936" i="1"/>
  <c r="S936" i="1"/>
  <c r="R936" i="1"/>
  <c r="Q936" i="1"/>
  <c r="W935" i="1"/>
  <c r="V935" i="1"/>
  <c r="U935" i="1"/>
  <c r="T935" i="1"/>
  <c r="S935" i="1"/>
  <c r="R935" i="1"/>
  <c r="Q935" i="1"/>
  <c r="W934" i="1"/>
  <c r="V934" i="1"/>
  <c r="U934" i="1"/>
  <c r="T934" i="1"/>
  <c r="S934" i="1"/>
  <c r="R934" i="1"/>
  <c r="Q934" i="1"/>
  <c r="W933" i="1"/>
  <c r="V933" i="1"/>
  <c r="U933" i="1"/>
  <c r="T933" i="1"/>
  <c r="S933" i="1"/>
  <c r="R933" i="1"/>
  <c r="Q933" i="1"/>
  <c r="W932" i="1"/>
  <c r="V932" i="1"/>
  <c r="U932" i="1"/>
  <c r="T932" i="1"/>
  <c r="S932" i="1"/>
  <c r="R932" i="1"/>
  <c r="Q932" i="1"/>
  <c r="W931" i="1"/>
  <c r="V931" i="1"/>
  <c r="U931" i="1"/>
  <c r="T931" i="1"/>
  <c r="S931" i="1"/>
  <c r="R931" i="1"/>
  <c r="Q931" i="1"/>
  <c r="W930" i="1"/>
  <c r="V930" i="1"/>
  <c r="U930" i="1"/>
  <c r="T930" i="1"/>
  <c r="S930" i="1"/>
  <c r="R930" i="1"/>
  <c r="Q930" i="1"/>
  <c r="W929" i="1"/>
  <c r="V929" i="1"/>
  <c r="U929" i="1"/>
  <c r="T929" i="1"/>
  <c r="S929" i="1"/>
  <c r="R929" i="1"/>
  <c r="Q929" i="1"/>
  <c r="W928" i="1"/>
  <c r="V928" i="1"/>
  <c r="U928" i="1"/>
  <c r="T928" i="1"/>
  <c r="S928" i="1"/>
  <c r="R928" i="1"/>
  <c r="Q928" i="1"/>
  <c r="W927" i="1"/>
  <c r="V927" i="1"/>
  <c r="U927" i="1"/>
  <c r="T927" i="1"/>
  <c r="S927" i="1"/>
  <c r="R927" i="1"/>
  <c r="Q927" i="1"/>
  <c r="W926" i="1"/>
  <c r="V926" i="1"/>
  <c r="U926" i="1"/>
  <c r="T926" i="1"/>
  <c r="S926" i="1"/>
  <c r="R926" i="1"/>
  <c r="Q926" i="1"/>
  <c r="W925" i="1"/>
  <c r="V925" i="1"/>
  <c r="U925" i="1"/>
  <c r="T925" i="1"/>
  <c r="S925" i="1"/>
  <c r="R925" i="1"/>
  <c r="Q925" i="1"/>
  <c r="W924" i="1"/>
  <c r="V924" i="1"/>
  <c r="U924" i="1"/>
  <c r="T924" i="1"/>
  <c r="S924" i="1"/>
  <c r="R924" i="1"/>
  <c r="Q924" i="1"/>
  <c r="W923" i="1"/>
  <c r="V923" i="1"/>
  <c r="U923" i="1"/>
  <c r="T923" i="1"/>
  <c r="S923" i="1"/>
  <c r="R923" i="1"/>
  <c r="Q923" i="1"/>
  <c r="W922" i="1"/>
  <c r="V922" i="1"/>
  <c r="U922" i="1"/>
  <c r="T922" i="1"/>
  <c r="S922" i="1"/>
  <c r="R922" i="1"/>
  <c r="Q922" i="1"/>
  <c r="W921" i="1"/>
  <c r="V921" i="1"/>
  <c r="U921" i="1"/>
  <c r="T921" i="1"/>
  <c r="S921" i="1"/>
  <c r="R921" i="1"/>
  <c r="Q921" i="1"/>
  <c r="W920" i="1"/>
  <c r="V920" i="1"/>
  <c r="U920" i="1"/>
  <c r="T920" i="1"/>
  <c r="S920" i="1"/>
  <c r="R920" i="1"/>
  <c r="Q920" i="1"/>
  <c r="W919" i="1"/>
  <c r="V919" i="1"/>
  <c r="U919" i="1"/>
  <c r="T919" i="1"/>
  <c r="S919" i="1"/>
  <c r="R919" i="1"/>
  <c r="Q919" i="1"/>
  <c r="W918" i="1"/>
  <c r="V918" i="1"/>
  <c r="U918" i="1"/>
  <c r="T918" i="1"/>
  <c r="S918" i="1"/>
  <c r="R918" i="1"/>
  <c r="Q918" i="1"/>
  <c r="W917" i="1"/>
  <c r="V917" i="1"/>
  <c r="U917" i="1"/>
  <c r="T917" i="1"/>
  <c r="S917" i="1"/>
  <c r="R917" i="1"/>
  <c r="Q917" i="1"/>
  <c r="W916" i="1"/>
  <c r="V916" i="1"/>
  <c r="U916" i="1"/>
  <c r="T916" i="1"/>
  <c r="S916" i="1"/>
  <c r="R916" i="1"/>
  <c r="Q916" i="1"/>
  <c r="W915" i="1"/>
  <c r="V915" i="1"/>
  <c r="U915" i="1"/>
  <c r="T915" i="1"/>
  <c r="S915" i="1"/>
  <c r="R915" i="1"/>
  <c r="Q915" i="1"/>
  <c r="W914" i="1"/>
  <c r="V914" i="1"/>
  <c r="U914" i="1"/>
  <c r="T914" i="1"/>
  <c r="S914" i="1"/>
  <c r="R914" i="1"/>
  <c r="Q914" i="1"/>
  <c r="W913" i="1"/>
  <c r="V913" i="1"/>
  <c r="U913" i="1"/>
  <c r="T913" i="1"/>
  <c r="S913" i="1"/>
  <c r="R913" i="1"/>
  <c r="Q913" i="1"/>
  <c r="W912" i="1"/>
  <c r="V912" i="1"/>
  <c r="U912" i="1"/>
  <c r="T912" i="1"/>
  <c r="S912" i="1"/>
  <c r="R912" i="1"/>
  <c r="Q912" i="1"/>
  <c r="W911" i="1"/>
  <c r="V911" i="1"/>
  <c r="U911" i="1"/>
  <c r="T911" i="1"/>
  <c r="S911" i="1"/>
  <c r="R911" i="1"/>
  <c r="Q911" i="1"/>
  <c r="W910" i="1"/>
  <c r="V910" i="1"/>
  <c r="U910" i="1"/>
  <c r="T910" i="1"/>
  <c r="S910" i="1"/>
  <c r="R910" i="1"/>
  <c r="Q910" i="1"/>
  <c r="W909" i="1"/>
  <c r="V909" i="1"/>
  <c r="U909" i="1"/>
  <c r="T909" i="1"/>
  <c r="S909" i="1"/>
  <c r="R909" i="1"/>
  <c r="Q909" i="1"/>
  <c r="W908" i="1"/>
  <c r="V908" i="1"/>
  <c r="U908" i="1"/>
  <c r="T908" i="1"/>
  <c r="S908" i="1"/>
  <c r="R908" i="1"/>
  <c r="Q908" i="1"/>
  <c r="W907" i="1"/>
  <c r="V907" i="1"/>
  <c r="U907" i="1"/>
  <c r="T907" i="1"/>
  <c r="S907" i="1"/>
  <c r="R907" i="1"/>
  <c r="Q907" i="1"/>
  <c r="W906" i="1"/>
  <c r="V906" i="1"/>
  <c r="U906" i="1"/>
  <c r="T906" i="1"/>
  <c r="S906" i="1"/>
  <c r="R906" i="1"/>
  <c r="Q906" i="1"/>
  <c r="W905" i="1"/>
  <c r="V905" i="1"/>
  <c r="U905" i="1"/>
  <c r="T905" i="1"/>
  <c r="S905" i="1"/>
  <c r="R905" i="1"/>
  <c r="Q905" i="1"/>
  <c r="W904" i="1"/>
  <c r="V904" i="1"/>
  <c r="U904" i="1"/>
  <c r="T904" i="1"/>
  <c r="S904" i="1"/>
  <c r="R904" i="1"/>
  <c r="Q904" i="1"/>
  <c r="W903" i="1"/>
  <c r="V903" i="1"/>
  <c r="U903" i="1"/>
  <c r="T903" i="1"/>
  <c r="S903" i="1"/>
  <c r="R903" i="1"/>
  <c r="Q903" i="1"/>
  <c r="W902" i="1"/>
  <c r="V902" i="1"/>
  <c r="U902" i="1"/>
  <c r="T902" i="1"/>
  <c r="S902" i="1"/>
  <c r="R902" i="1"/>
  <c r="Q902" i="1"/>
  <c r="W901" i="1"/>
  <c r="V901" i="1"/>
  <c r="U901" i="1"/>
  <c r="T901" i="1"/>
  <c r="S901" i="1"/>
  <c r="R901" i="1"/>
  <c r="Q901" i="1"/>
  <c r="W900" i="1"/>
  <c r="V900" i="1"/>
  <c r="U900" i="1"/>
  <c r="T900" i="1"/>
  <c r="S900" i="1"/>
  <c r="R900" i="1"/>
  <c r="Q900" i="1"/>
  <c r="W899" i="1"/>
  <c r="V899" i="1"/>
  <c r="U899" i="1"/>
  <c r="T899" i="1"/>
  <c r="S899" i="1"/>
  <c r="R899" i="1"/>
  <c r="Q899" i="1"/>
  <c r="W898" i="1"/>
  <c r="V898" i="1"/>
  <c r="U898" i="1"/>
  <c r="T898" i="1"/>
  <c r="S898" i="1"/>
  <c r="R898" i="1"/>
  <c r="Q898" i="1"/>
  <c r="W897" i="1"/>
  <c r="V897" i="1"/>
  <c r="U897" i="1"/>
  <c r="T897" i="1"/>
  <c r="S897" i="1"/>
  <c r="R897" i="1"/>
  <c r="Q897" i="1"/>
  <c r="W896" i="1"/>
  <c r="V896" i="1"/>
  <c r="U896" i="1"/>
  <c r="T896" i="1"/>
  <c r="S896" i="1"/>
  <c r="R896" i="1"/>
  <c r="Q896" i="1"/>
  <c r="W895" i="1"/>
  <c r="V895" i="1"/>
  <c r="U895" i="1"/>
  <c r="T895" i="1"/>
  <c r="S895" i="1"/>
  <c r="R895" i="1"/>
  <c r="Q895" i="1"/>
  <c r="W894" i="1"/>
  <c r="V894" i="1"/>
  <c r="U894" i="1"/>
  <c r="T894" i="1"/>
  <c r="S894" i="1"/>
  <c r="R894" i="1"/>
  <c r="Q894" i="1"/>
  <c r="W893" i="1"/>
  <c r="V893" i="1"/>
  <c r="U893" i="1"/>
  <c r="T893" i="1"/>
  <c r="S893" i="1"/>
  <c r="R893" i="1"/>
  <c r="Q893" i="1"/>
  <c r="W892" i="1"/>
  <c r="V892" i="1"/>
  <c r="U892" i="1"/>
  <c r="T892" i="1"/>
  <c r="S892" i="1"/>
  <c r="R892" i="1"/>
  <c r="Q892" i="1"/>
  <c r="W891" i="1"/>
  <c r="V891" i="1"/>
  <c r="U891" i="1"/>
  <c r="T891" i="1"/>
  <c r="S891" i="1"/>
  <c r="R891" i="1"/>
  <c r="Q891" i="1"/>
  <c r="W890" i="1"/>
  <c r="V890" i="1"/>
  <c r="U890" i="1"/>
  <c r="T890" i="1"/>
  <c r="S890" i="1"/>
  <c r="R890" i="1"/>
  <c r="Q890" i="1"/>
  <c r="W889" i="1"/>
  <c r="V889" i="1"/>
  <c r="U889" i="1"/>
  <c r="T889" i="1"/>
  <c r="S889" i="1"/>
  <c r="R889" i="1"/>
  <c r="Q889" i="1"/>
  <c r="W888" i="1"/>
  <c r="V888" i="1"/>
  <c r="U888" i="1"/>
  <c r="T888" i="1"/>
  <c r="S888" i="1"/>
  <c r="R888" i="1"/>
  <c r="Q888" i="1"/>
  <c r="W887" i="1"/>
  <c r="V887" i="1"/>
  <c r="U887" i="1"/>
  <c r="T887" i="1"/>
  <c r="S887" i="1"/>
  <c r="R887" i="1"/>
  <c r="Q887" i="1"/>
  <c r="W886" i="1"/>
  <c r="V886" i="1"/>
  <c r="U886" i="1"/>
  <c r="T886" i="1"/>
  <c r="S886" i="1"/>
  <c r="R886" i="1"/>
  <c r="Q886" i="1"/>
  <c r="W885" i="1"/>
  <c r="V885" i="1"/>
  <c r="U885" i="1"/>
  <c r="T885" i="1"/>
  <c r="S885" i="1"/>
  <c r="R885" i="1"/>
  <c r="Q885" i="1"/>
  <c r="W884" i="1"/>
  <c r="V884" i="1"/>
  <c r="U884" i="1"/>
  <c r="T884" i="1"/>
  <c r="S884" i="1"/>
  <c r="R884" i="1"/>
  <c r="Q884" i="1"/>
  <c r="W883" i="1"/>
  <c r="V883" i="1"/>
  <c r="U883" i="1"/>
  <c r="T883" i="1"/>
  <c r="S883" i="1"/>
  <c r="R883" i="1"/>
  <c r="Q883" i="1"/>
  <c r="W882" i="1"/>
  <c r="V882" i="1"/>
  <c r="U882" i="1"/>
  <c r="T882" i="1"/>
  <c r="S882" i="1"/>
  <c r="R882" i="1"/>
  <c r="Q882" i="1"/>
  <c r="W881" i="1"/>
  <c r="V881" i="1"/>
  <c r="U881" i="1"/>
  <c r="T881" i="1"/>
  <c r="S881" i="1"/>
  <c r="R881" i="1"/>
  <c r="Q881" i="1"/>
  <c r="W880" i="1"/>
  <c r="V880" i="1"/>
  <c r="U880" i="1"/>
  <c r="T880" i="1"/>
  <c r="S880" i="1"/>
  <c r="R880" i="1"/>
  <c r="Q880" i="1"/>
  <c r="W879" i="1"/>
  <c r="V879" i="1"/>
  <c r="U879" i="1"/>
  <c r="T879" i="1"/>
  <c r="S879" i="1"/>
  <c r="R879" i="1"/>
  <c r="Q879" i="1"/>
  <c r="W878" i="1"/>
  <c r="V878" i="1"/>
  <c r="U878" i="1"/>
  <c r="T878" i="1"/>
  <c r="S878" i="1"/>
  <c r="R878" i="1"/>
  <c r="Q878" i="1"/>
  <c r="W877" i="1"/>
  <c r="V877" i="1"/>
  <c r="U877" i="1"/>
  <c r="T877" i="1"/>
  <c r="S877" i="1"/>
  <c r="R877" i="1"/>
  <c r="Q877" i="1"/>
  <c r="W876" i="1"/>
  <c r="V876" i="1"/>
  <c r="U876" i="1"/>
  <c r="T876" i="1"/>
  <c r="S876" i="1"/>
  <c r="R876" i="1"/>
  <c r="Q876" i="1"/>
  <c r="W875" i="1"/>
  <c r="V875" i="1"/>
  <c r="U875" i="1"/>
  <c r="T875" i="1"/>
  <c r="S875" i="1"/>
  <c r="R875" i="1"/>
  <c r="Q875" i="1"/>
  <c r="W874" i="1"/>
  <c r="V874" i="1"/>
  <c r="U874" i="1"/>
  <c r="T874" i="1"/>
  <c r="S874" i="1"/>
  <c r="R874" i="1"/>
  <c r="Q874" i="1"/>
  <c r="W873" i="1"/>
  <c r="V873" i="1"/>
  <c r="U873" i="1"/>
  <c r="T873" i="1"/>
  <c r="S873" i="1"/>
  <c r="R873" i="1"/>
  <c r="Q873" i="1"/>
  <c r="W872" i="1"/>
  <c r="V872" i="1"/>
  <c r="U872" i="1"/>
  <c r="T872" i="1"/>
  <c r="S872" i="1"/>
  <c r="R872" i="1"/>
  <c r="Q872" i="1"/>
  <c r="W871" i="1"/>
  <c r="V871" i="1"/>
  <c r="U871" i="1"/>
  <c r="T871" i="1"/>
  <c r="S871" i="1"/>
  <c r="R871" i="1"/>
  <c r="Q871" i="1"/>
  <c r="W870" i="1"/>
  <c r="V870" i="1"/>
  <c r="U870" i="1"/>
  <c r="T870" i="1"/>
  <c r="S870" i="1"/>
  <c r="R870" i="1"/>
  <c r="Q870" i="1"/>
  <c r="W869" i="1"/>
  <c r="V869" i="1"/>
  <c r="U869" i="1"/>
  <c r="T869" i="1"/>
  <c r="S869" i="1"/>
  <c r="R869" i="1"/>
  <c r="Q869" i="1"/>
  <c r="W868" i="1"/>
  <c r="V868" i="1"/>
  <c r="U868" i="1"/>
  <c r="T868" i="1"/>
  <c r="S868" i="1"/>
  <c r="R868" i="1"/>
  <c r="Q868" i="1"/>
  <c r="W867" i="1"/>
  <c r="V867" i="1"/>
  <c r="U867" i="1"/>
  <c r="T867" i="1"/>
  <c r="S867" i="1"/>
  <c r="R867" i="1"/>
  <c r="Q867" i="1"/>
  <c r="W866" i="1"/>
  <c r="V866" i="1"/>
  <c r="U866" i="1"/>
  <c r="T866" i="1"/>
  <c r="S866" i="1"/>
  <c r="R866" i="1"/>
  <c r="Q866" i="1"/>
  <c r="W865" i="1"/>
  <c r="V865" i="1"/>
  <c r="U865" i="1"/>
  <c r="T865" i="1"/>
  <c r="S865" i="1"/>
  <c r="R865" i="1"/>
  <c r="Q865" i="1"/>
  <c r="W864" i="1"/>
  <c r="V864" i="1"/>
  <c r="U864" i="1"/>
  <c r="T864" i="1"/>
  <c r="S864" i="1"/>
  <c r="R864" i="1"/>
  <c r="Q864" i="1"/>
  <c r="W863" i="1"/>
  <c r="V863" i="1"/>
  <c r="U863" i="1"/>
  <c r="T863" i="1"/>
  <c r="S863" i="1"/>
  <c r="R863" i="1"/>
  <c r="Q863" i="1"/>
  <c r="W862" i="1"/>
  <c r="V862" i="1"/>
  <c r="U862" i="1"/>
  <c r="T862" i="1"/>
  <c r="S862" i="1"/>
  <c r="R862" i="1"/>
  <c r="Q862" i="1"/>
  <c r="W861" i="1"/>
  <c r="V861" i="1"/>
  <c r="U861" i="1"/>
  <c r="T861" i="1"/>
  <c r="S861" i="1"/>
  <c r="R861" i="1"/>
  <c r="Q861" i="1"/>
  <c r="W860" i="1"/>
  <c r="V860" i="1"/>
  <c r="U860" i="1"/>
  <c r="T860" i="1"/>
  <c r="S860" i="1"/>
  <c r="R860" i="1"/>
  <c r="Q860" i="1"/>
  <c r="W859" i="1"/>
  <c r="V859" i="1"/>
  <c r="U859" i="1"/>
  <c r="T859" i="1"/>
  <c r="S859" i="1"/>
  <c r="R859" i="1"/>
  <c r="Q859" i="1"/>
  <c r="W858" i="1"/>
  <c r="V858" i="1"/>
  <c r="U858" i="1"/>
  <c r="T858" i="1"/>
  <c r="S858" i="1"/>
  <c r="R858" i="1"/>
  <c r="Q858" i="1"/>
  <c r="W857" i="1"/>
  <c r="V857" i="1"/>
  <c r="U857" i="1"/>
  <c r="T857" i="1"/>
  <c r="S857" i="1"/>
  <c r="R857" i="1"/>
  <c r="Q857" i="1"/>
  <c r="W856" i="1"/>
  <c r="V856" i="1"/>
  <c r="U856" i="1"/>
  <c r="T856" i="1"/>
  <c r="S856" i="1"/>
  <c r="R856" i="1"/>
  <c r="Q856" i="1"/>
  <c r="W855" i="1"/>
  <c r="V855" i="1"/>
  <c r="U855" i="1"/>
  <c r="T855" i="1"/>
  <c r="S855" i="1"/>
  <c r="R855" i="1"/>
  <c r="Q855" i="1"/>
  <c r="W854" i="1"/>
  <c r="V854" i="1"/>
  <c r="U854" i="1"/>
  <c r="T854" i="1"/>
  <c r="S854" i="1"/>
  <c r="R854" i="1"/>
  <c r="Q854" i="1"/>
  <c r="W853" i="1"/>
  <c r="V853" i="1"/>
  <c r="U853" i="1"/>
  <c r="T853" i="1"/>
  <c r="S853" i="1"/>
  <c r="R853" i="1"/>
  <c r="Q853" i="1"/>
  <c r="W852" i="1"/>
  <c r="V852" i="1"/>
  <c r="U852" i="1"/>
  <c r="T852" i="1"/>
  <c r="S852" i="1"/>
  <c r="R852" i="1"/>
  <c r="Q852" i="1"/>
  <c r="W851" i="1"/>
  <c r="V851" i="1"/>
  <c r="U851" i="1"/>
  <c r="T851" i="1"/>
  <c r="S851" i="1"/>
  <c r="R851" i="1"/>
  <c r="Q851" i="1"/>
  <c r="W850" i="1"/>
  <c r="V850" i="1"/>
  <c r="U850" i="1"/>
  <c r="T850" i="1"/>
  <c r="S850" i="1"/>
  <c r="R850" i="1"/>
  <c r="Q850" i="1"/>
  <c r="W849" i="1"/>
  <c r="V849" i="1"/>
  <c r="U849" i="1"/>
  <c r="T849" i="1"/>
  <c r="S849" i="1"/>
  <c r="R849" i="1"/>
  <c r="Q849" i="1"/>
  <c r="W848" i="1"/>
  <c r="V848" i="1"/>
  <c r="U848" i="1"/>
  <c r="T848" i="1"/>
  <c r="S848" i="1"/>
  <c r="R848" i="1"/>
  <c r="Q848" i="1"/>
  <c r="W847" i="1"/>
  <c r="V847" i="1"/>
  <c r="U847" i="1"/>
  <c r="T847" i="1"/>
  <c r="S847" i="1"/>
  <c r="R847" i="1"/>
  <c r="Q847" i="1"/>
  <c r="W846" i="1"/>
  <c r="V846" i="1"/>
  <c r="U846" i="1"/>
  <c r="T846" i="1"/>
  <c r="S846" i="1"/>
  <c r="R846" i="1"/>
  <c r="Q846" i="1"/>
  <c r="W845" i="1"/>
  <c r="V845" i="1"/>
  <c r="U845" i="1"/>
  <c r="T845" i="1"/>
  <c r="S845" i="1"/>
  <c r="R845" i="1"/>
  <c r="Q845" i="1"/>
  <c r="W844" i="1"/>
  <c r="V844" i="1"/>
  <c r="U844" i="1"/>
  <c r="T844" i="1"/>
  <c r="S844" i="1"/>
  <c r="R844" i="1"/>
  <c r="Q844" i="1"/>
  <c r="W843" i="1"/>
  <c r="V843" i="1"/>
  <c r="U843" i="1"/>
  <c r="T843" i="1"/>
  <c r="S843" i="1"/>
  <c r="R843" i="1"/>
  <c r="Q843" i="1"/>
  <c r="W842" i="1"/>
  <c r="V842" i="1"/>
  <c r="U842" i="1"/>
  <c r="T842" i="1"/>
  <c r="S842" i="1"/>
  <c r="R842" i="1"/>
  <c r="Q842" i="1"/>
  <c r="W841" i="1"/>
  <c r="V841" i="1"/>
  <c r="U841" i="1"/>
  <c r="T841" i="1"/>
  <c r="S841" i="1"/>
  <c r="R841" i="1"/>
  <c r="Q841" i="1"/>
  <c r="W840" i="1"/>
  <c r="V840" i="1"/>
  <c r="U840" i="1"/>
  <c r="T840" i="1"/>
  <c r="S840" i="1"/>
  <c r="R840" i="1"/>
  <c r="Q840" i="1"/>
  <c r="W839" i="1"/>
  <c r="V839" i="1"/>
  <c r="U839" i="1"/>
  <c r="T839" i="1"/>
  <c r="S839" i="1"/>
  <c r="R839" i="1"/>
  <c r="Q839" i="1"/>
  <c r="W838" i="1"/>
  <c r="V838" i="1"/>
  <c r="U838" i="1"/>
  <c r="T838" i="1"/>
  <c r="S838" i="1"/>
  <c r="R838" i="1"/>
  <c r="Q838" i="1"/>
  <c r="W837" i="1"/>
  <c r="V837" i="1"/>
  <c r="U837" i="1"/>
  <c r="T837" i="1"/>
  <c r="S837" i="1"/>
  <c r="R837" i="1"/>
  <c r="Q837" i="1"/>
  <c r="W836" i="1"/>
  <c r="V836" i="1"/>
  <c r="U836" i="1"/>
  <c r="T836" i="1"/>
  <c r="S836" i="1"/>
  <c r="R836" i="1"/>
  <c r="Q836" i="1"/>
  <c r="W835" i="1"/>
  <c r="V835" i="1"/>
  <c r="U835" i="1"/>
  <c r="T835" i="1"/>
  <c r="S835" i="1"/>
  <c r="R835" i="1"/>
  <c r="Q835" i="1"/>
  <c r="W834" i="1"/>
  <c r="V834" i="1"/>
  <c r="U834" i="1"/>
  <c r="T834" i="1"/>
  <c r="S834" i="1"/>
  <c r="R834" i="1"/>
  <c r="Q834" i="1"/>
  <c r="W833" i="1"/>
  <c r="V833" i="1"/>
  <c r="U833" i="1"/>
  <c r="T833" i="1"/>
  <c r="S833" i="1"/>
  <c r="R833" i="1"/>
  <c r="Q833" i="1"/>
  <c r="W832" i="1"/>
  <c r="V832" i="1"/>
  <c r="U832" i="1"/>
  <c r="T832" i="1"/>
  <c r="S832" i="1"/>
  <c r="R832" i="1"/>
  <c r="Q832" i="1"/>
  <c r="W831" i="1"/>
  <c r="V831" i="1"/>
  <c r="U831" i="1"/>
  <c r="T831" i="1"/>
  <c r="S831" i="1"/>
  <c r="R831" i="1"/>
  <c r="Q831" i="1"/>
  <c r="W830" i="1"/>
  <c r="V830" i="1"/>
  <c r="U830" i="1"/>
  <c r="T830" i="1"/>
  <c r="S830" i="1"/>
  <c r="R830" i="1"/>
  <c r="Q830" i="1"/>
  <c r="W829" i="1"/>
  <c r="V829" i="1"/>
  <c r="U829" i="1"/>
  <c r="T829" i="1"/>
  <c r="S829" i="1"/>
  <c r="R829" i="1"/>
  <c r="Q829" i="1"/>
  <c r="W828" i="1"/>
  <c r="V828" i="1"/>
  <c r="U828" i="1"/>
  <c r="T828" i="1"/>
  <c r="S828" i="1"/>
  <c r="R828" i="1"/>
  <c r="Q828" i="1"/>
  <c r="W827" i="1"/>
  <c r="V827" i="1"/>
  <c r="U827" i="1"/>
  <c r="T827" i="1"/>
  <c r="S827" i="1"/>
  <c r="R827" i="1"/>
  <c r="Q827" i="1"/>
  <c r="W826" i="1"/>
  <c r="V826" i="1"/>
  <c r="U826" i="1"/>
  <c r="T826" i="1"/>
  <c r="S826" i="1"/>
  <c r="R826" i="1"/>
  <c r="Q826" i="1"/>
  <c r="W825" i="1"/>
  <c r="V825" i="1"/>
  <c r="U825" i="1"/>
  <c r="T825" i="1"/>
  <c r="S825" i="1"/>
  <c r="R825" i="1"/>
  <c r="Q825" i="1"/>
  <c r="W824" i="1"/>
  <c r="V824" i="1"/>
  <c r="U824" i="1"/>
  <c r="T824" i="1"/>
  <c r="S824" i="1"/>
  <c r="R824" i="1"/>
  <c r="Q824" i="1"/>
  <c r="W823" i="1"/>
  <c r="V823" i="1"/>
  <c r="U823" i="1"/>
  <c r="T823" i="1"/>
  <c r="S823" i="1"/>
  <c r="R823" i="1"/>
  <c r="Q823" i="1"/>
  <c r="W822" i="1"/>
  <c r="V822" i="1"/>
  <c r="U822" i="1"/>
  <c r="T822" i="1"/>
  <c r="S822" i="1"/>
  <c r="R822" i="1"/>
  <c r="Q822" i="1"/>
  <c r="W821" i="1"/>
  <c r="V821" i="1"/>
  <c r="U821" i="1"/>
  <c r="T821" i="1"/>
  <c r="S821" i="1"/>
  <c r="R821" i="1"/>
  <c r="Q821" i="1"/>
  <c r="W820" i="1"/>
  <c r="V820" i="1"/>
  <c r="U820" i="1"/>
  <c r="T820" i="1"/>
  <c r="S820" i="1"/>
  <c r="R820" i="1"/>
  <c r="Q820" i="1"/>
  <c r="W819" i="1"/>
  <c r="V819" i="1"/>
  <c r="U819" i="1"/>
  <c r="T819" i="1"/>
  <c r="S819" i="1"/>
  <c r="R819" i="1"/>
  <c r="Q819" i="1"/>
  <c r="W818" i="1"/>
  <c r="V818" i="1"/>
  <c r="U818" i="1"/>
  <c r="T818" i="1"/>
  <c r="S818" i="1"/>
  <c r="R818" i="1"/>
  <c r="Q818" i="1"/>
  <c r="W817" i="1"/>
  <c r="V817" i="1"/>
  <c r="U817" i="1"/>
  <c r="T817" i="1"/>
  <c r="S817" i="1"/>
  <c r="R817" i="1"/>
  <c r="Q817" i="1"/>
  <c r="W816" i="1"/>
  <c r="V816" i="1"/>
  <c r="U816" i="1"/>
  <c r="T816" i="1"/>
  <c r="S816" i="1"/>
  <c r="R816" i="1"/>
  <c r="Q816" i="1"/>
  <c r="W815" i="1"/>
  <c r="V815" i="1"/>
  <c r="U815" i="1"/>
  <c r="T815" i="1"/>
  <c r="S815" i="1"/>
  <c r="R815" i="1"/>
  <c r="Q815" i="1"/>
  <c r="W814" i="1"/>
  <c r="V814" i="1"/>
  <c r="U814" i="1"/>
  <c r="T814" i="1"/>
  <c r="S814" i="1"/>
  <c r="R814" i="1"/>
  <c r="Q814" i="1"/>
  <c r="W813" i="1"/>
  <c r="V813" i="1"/>
  <c r="U813" i="1"/>
  <c r="T813" i="1"/>
  <c r="S813" i="1"/>
  <c r="R813" i="1"/>
  <c r="Q813" i="1"/>
  <c r="W812" i="1"/>
  <c r="V812" i="1"/>
  <c r="U812" i="1"/>
  <c r="T812" i="1"/>
  <c r="S812" i="1"/>
  <c r="R812" i="1"/>
  <c r="Q812" i="1"/>
  <c r="W811" i="1"/>
  <c r="V811" i="1"/>
  <c r="U811" i="1"/>
  <c r="T811" i="1"/>
  <c r="S811" i="1"/>
  <c r="R811" i="1"/>
  <c r="Q811" i="1"/>
  <c r="W810" i="1"/>
  <c r="V810" i="1"/>
  <c r="U810" i="1"/>
  <c r="T810" i="1"/>
  <c r="S810" i="1"/>
  <c r="R810" i="1"/>
  <c r="Q810" i="1"/>
  <c r="W809" i="1"/>
  <c r="V809" i="1"/>
  <c r="U809" i="1"/>
  <c r="T809" i="1"/>
  <c r="S809" i="1"/>
  <c r="R809" i="1"/>
  <c r="Q809" i="1"/>
  <c r="W808" i="1"/>
  <c r="V808" i="1"/>
  <c r="U808" i="1"/>
  <c r="T808" i="1"/>
  <c r="S808" i="1"/>
  <c r="R808" i="1"/>
  <c r="Q808" i="1"/>
  <c r="W807" i="1"/>
  <c r="V807" i="1"/>
  <c r="U807" i="1"/>
  <c r="T807" i="1"/>
  <c r="S807" i="1"/>
  <c r="R807" i="1"/>
  <c r="Q807" i="1"/>
  <c r="W806" i="1"/>
  <c r="V806" i="1"/>
  <c r="U806" i="1"/>
  <c r="T806" i="1"/>
  <c r="S806" i="1"/>
  <c r="R806" i="1"/>
  <c r="Q806" i="1"/>
  <c r="W805" i="1"/>
  <c r="V805" i="1"/>
  <c r="U805" i="1"/>
  <c r="T805" i="1"/>
  <c r="S805" i="1"/>
  <c r="R805" i="1"/>
  <c r="Q805" i="1"/>
  <c r="W804" i="1"/>
  <c r="V804" i="1"/>
  <c r="U804" i="1"/>
  <c r="T804" i="1"/>
  <c r="S804" i="1"/>
  <c r="R804" i="1"/>
  <c r="Q804" i="1"/>
  <c r="W803" i="1"/>
  <c r="V803" i="1"/>
  <c r="U803" i="1"/>
  <c r="T803" i="1"/>
  <c r="S803" i="1"/>
  <c r="R803" i="1"/>
  <c r="Q803" i="1"/>
  <c r="W802" i="1"/>
  <c r="V802" i="1"/>
  <c r="U802" i="1"/>
  <c r="T802" i="1"/>
  <c r="S802" i="1"/>
  <c r="R802" i="1"/>
  <c r="Q802" i="1"/>
  <c r="W801" i="1"/>
  <c r="V801" i="1"/>
  <c r="U801" i="1"/>
  <c r="T801" i="1"/>
  <c r="S801" i="1"/>
  <c r="R801" i="1"/>
  <c r="Q801" i="1"/>
  <c r="W800" i="1"/>
  <c r="V800" i="1"/>
  <c r="U800" i="1"/>
  <c r="T800" i="1"/>
  <c r="S800" i="1"/>
  <c r="R800" i="1"/>
  <c r="Q800" i="1"/>
  <c r="W799" i="1"/>
  <c r="V799" i="1"/>
  <c r="U799" i="1"/>
  <c r="T799" i="1"/>
  <c r="S799" i="1"/>
  <c r="R799" i="1"/>
  <c r="Q799" i="1"/>
  <c r="W798" i="1"/>
  <c r="V798" i="1"/>
  <c r="U798" i="1"/>
  <c r="T798" i="1"/>
  <c r="S798" i="1"/>
  <c r="R798" i="1"/>
  <c r="Q798" i="1"/>
  <c r="W797" i="1"/>
  <c r="V797" i="1"/>
  <c r="U797" i="1"/>
  <c r="T797" i="1"/>
  <c r="S797" i="1"/>
  <c r="R797" i="1"/>
  <c r="Q797" i="1"/>
  <c r="W796" i="1"/>
  <c r="V796" i="1"/>
  <c r="U796" i="1"/>
  <c r="T796" i="1"/>
  <c r="S796" i="1"/>
  <c r="R796" i="1"/>
  <c r="Q796" i="1"/>
  <c r="W795" i="1"/>
  <c r="V795" i="1"/>
  <c r="U795" i="1"/>
  <c r="T795" i="1"/>
  <c r="S795" i="1"/>
  <c r="R795" i="1"/>
  <c r="Q795" i="1"/>
  <c r="W794" i="1"/>
  <c r="V794" i="1"/>
  <c r="U794" i="1"/>
  <c r="T794" i="1"/>
  <c r="S794" i="1"/>
  <c r="R794" i="1"/>
  <c r="Q794" i="1"/>
  <c r="W793" i="1"/>
  <c r="V793" i="1"/>
  <c r="U793" i="1"/>
  <c r="T793" i="1"/>
  <c r="S793" i="1"/>
  <c r="R793" i="1"/>
  <c r="Q793" i="1"/>
  <c r="W792" i="1"/>
  <c r="V792" i="1"/>
  <c r="U792" i="1"/>
  <c r="T792" i="1"/>
  <c r="S792" i="1"/>
  <c r="R792" i="1"/>
  <c r="Q792" i="1"/>
  <c r="W791" i="1"/>
  <c r="V791" i="1"/>
  <c r="U791" i="1"/>
  <c r="T791" i="1"/>
  <c r="S791" i="1"/>
  <c r="R791" i="1"/>
  <c r="Q791" i="1"/>
  <c r="W790" i="1"/>
  <c r="V790" i="1"/>
  <c r="U790" i="1"/>
  <c r="T790" i="1"/>
  <c r="S790" i="1"/>
  <c r="R790" i="1"/>
  <c r="Q790" i="1"/>
  <c r="W789" i="1"/>
  <c r="V789" i="1"/>
  <c r="U789" i="1"/>
  <c r="T789" i="1"/>
  <c r="S789" i="1"/>
  <c r="R789" i="1"/>
  <c r="Q789" i="1"/>
  <c r="W788" i="1"/>
  <c r="V788" i="1"/>
  <c r="U788" i="1"/>
  <c r="T788" i="1"/>
  <c r="S788" i="1"/>
  <c r="R788" i="1"/>
  <c r="Q788" i="1"/>
  <c r="W787" i="1"/>
  <c r="V787" i="1"/>
  <c r="U787" i="1"/>
  <c r="T787" i="1"/>
  <c r="S787" i="1"/>
  <c r="R787" i="1"/>
  <c r="Q787" i="1"/>
  <c r="W786" i="1"/>
  <c r="V786" i="1"/>
  <c r="U786" i="1"/>
  <c r="T786" i="1"/>
  <c r="S786" i="1"/>
  <c r="R786" i="1"/>
  <c r="Q786" i="1"/>
  <c r="W785" i="1"/>
  <c r="V785" i="1"/>
  <c r="U785" i="1"/>
  <c r="T785" i="1"/>
  <c r="S785" i="1"/>
  <c r="R785" i="1"/>
  <c r="Q785" i="1"/>
  <c r="W784" i="1"/>
  <c r="V784" i="1"/>
  <c r="U784" i="1"/>
  <c r="T784" i="1"/>
  <c r="S784" i="1"/>
  <c r="R784" i="1"/>
  <c r="Q784" i="1"/>
  <c r="W783" i="1"/>
  <c r="V783" i="1"/>
  <c r="U783" i="1"/>
  <c r="T783" i="1"/>
  <c r="S783" i="1"/>
  <c r="R783" i="1"/>
  <c r="Q783" i="1"/>
  <c r="W782" i="1"/>
  <c r="V782" i="1"/>
  <c r="U782" i="1"/>
  <c r="T782" i="1"/>
  <c r="S782" i="1"/>
  <c r="R782" i="1"/>
  <c r="Q782" i="1"/>
  <c r="W781" i="1"/>
  <c r="V781" i="1"/>
  <c r="U781" i="1"/>
  <c r="T781" i="1"/>
  <c r="S781" i="1"/>
  <c r="R781" i="1"/>
  <c r="Q781" i="1"/>
  <c r="W780" i="1"/>
  <c r="V780" i="1"/>
  <c r="U780" i="1"/>
  <c r="T780" i="1"/>
  <c r="S780" i="1"/>
  <c r="R780" i="1"/>
  <c r="Q780" i="1"/>
  <c r="W779" i="1"/>
  <c r="V779" i="1"/>
  <c r="U779" i="1"/>
  <c r="T779" i="1"/>
  <c r="S779" i="1"/>
  <c r="R779" i="1"/>
  <c r="Q779" i="1"/>
  <c r="W778" i="1"/>
  <c r="V778" i="1"/>
  <c r="U778" i="1"/>
  <c r="T778" i="1"/>
  <c r="S778" i="1"/>
  <c r="R778" i="1"/>
  <c r="Q778" i="1"/>
  <c r="W777" i="1"/>
  <c r="V777" i="1"/>
  <c r="U777" i="1"/>
  <c r="T777" i="1"/>
  <c r="S777" i="1"/>
  <c r="R777" i="1"/>
  <c r="Q777" i="1"/>
  <c r="W776" i="1"/>
  <c r="V776" i="1"/>
  <c r="U776" i="1"/>
  <c r="T776" i="1"/>
  <c r="S776" i="1"/>
  <c r="R776" i="1"/>
  <c r="Q776" i="1"/>
  <c r="W775" i="1"/>
  <c r="V775" i="1"/>
  <c r="U775" i="1"/>
  <c r="T775" i="1"/>
  <c r="S775" i="1"/>
  <c r="R775" i="1"/>
  <c r="Q775" i="1"/>
  <c r="W774" i="1"/>
  <c r="V774" i="1"/>
  <c r="U774" i="1"/>
  <c r="T774" i="1"/>
  <c r="S774" i="1"/>
  <c r="R774" i="1"/>
  <c r="Q774" i="1"/>
  <c r="W773" i="1"/>
  <c r="V773" i="1"/>
  <c r="U773" i="1"/>
  <c r="T773" i="1"/>
  <c r="S773" i="1"/>
  <c r="R773" i="1"/>
  <c r="Q773" i="1"/>
  <c r="W772" i="1"/>
  <c r="V772" i="1"/>
  <c r="U772" i="1"/>
  <c r="T772" i="1"/>
  <c r="S772" i="1"/>
  <c r="R772" i="1"/>
  <c r="Q772" i="1"/>
  <c r="W771" i="1"/>
  <c r="V771" i="1"/>
  <c r="U771" i="1"/>
  <c r="T771" i="1"/>
  <c r="S771" i="1"/>
  <c r="R771" i="1"/>
  <c r="Q771" i="1"/>
  <c r="W770" i="1"/>
  <c r="V770" i="1"/>
  <c r="U770" i="1"/>
  <c r="T770" i="1"/>
  <c r="S770" i="1"/>
  <c r="R770" i="1"/>
  <c r="Q770" i="1"/>
  <c r="W769" i="1"/>
  <c r="V769" i="1"/>
  <c r="U769" i="1"/>
  <c r="T769" i="1"/>
  <c r="S769" i="1"/>
  <c r="R769" i="1"/>
  <c r="Q769" i="1"/>
  <c r="W768" i="1"/>
  <c r="V768" i="1"/>
  <c r="U768" i="1"/>
  <c r="T768" i="1"/>
  <c r="S768" i="1"/>
  <c r="R768" i="1"/>
  <c r="Q768" i="1"/>
  <c r="W767" i="1"/>
  <c r="V767" i="1"/>
  <c r="U767" i="1"/>
  <c r="T767" i="1"/>
  <c r="S767" i="1"/>
  <c r="R767" i="1"/>
  <c r="Q767" i="1"/>
  <c r="W766" i="1"/>
  <c r="V766" i="1"/>
  <c r="U766" i="1"/>
  <c r="T766" i="1"/>
  <c r="S766" i="1"/>
  <c r="R766" i="1"/>
  <c r="Q766" i="1"/>
  <c r="W765" i="1"/>
  <c r="V765" i="1"/>
  <c r="U765" i="1"/>
  <c r="T765" i="1"/>
  <c r="S765" i="1"/>
  <c r="R765" i="1"/>
  <c r="Q765" i="1"/>
  <c r="W764" i="1"/>
  <c r="V764" i="1"/>
  <c r="U764" i="1"/>
  <c r="T764" i="1"/>
  <c r="S764" i="1"/>
  <c r="R764" i="1"/>
  <c r="Q764" i="1"/>
  <c r="W763" i="1"/>
  <c r="V763" i="1"/>
  <c r="U763" i="1"/>
  <c r="T763" i="1"/>
  <c r="S763" i="1"/>
  <c r="R763" i="1"/>
  <c r="Q763" i="1"/>
  <c r="W762" i="1"/>
  <c r="V762" i="1"/>
  <c r="U762" i="1"/>
  <c r="T762" i="1"/>
  <c r="S762" i="1"/>
  <c r="R762" i="1"/>
  <c r="Q762" i="1"/>
  <c r="W761" i="1"/>
  <c r="V761" i="1"/>
  <c r="U761" i="1"/>
  <c r="T761" i="1"/>
  <c r="S761" i="1"/>
  <c r="R761" i="1"/>
  <c r="Q761" i="1"/>
  <c r="W760" i="1"/>
  <c r="V760" i="1"/>
  <c r="U760" i="1"/>
  <c r="T760" i="1"/>
  <c r="S760" i="1"/>
  <c r="R760" i="1"/>
  <c r="Q760" i="1"/>
  <c r="W759" i="1"/>
  <c r="V759" i="1"/>
  <c r="U759" i="1"/>
  <c r="T759" i="1"/>
  <c r="S759" i="1"/>
  <c r="R759" i="1"/>
  <c r="Q759" i="1"/>
  <c r="W758" i="1"/>
  <c r="V758" i="1"/>
  <c r="U758" i="1"/>
  <c r="T758" i="1"/>
  <c r="S758" i="1"/>
  <c r="R758" i="1"/>
  <c r="Q758" i="1"/>
  <c r="W757" i="1"/>
  <c r="V757" i="1"/>
  <c r="U757" i="1"/>
  <c r="T757" i="1"/>
  <c r="S757" i="1"/>
  <c r="R757" i="1"/>
  <c r="Q757" i="1"/>
  <c r="W756" i="1"/>
  <c r="V756" i="1"/>
  <c r="U756" i="1"/>
  <c r="T756" i="1"/>
  <c r="S756" i="1"/>
  <c r="R756" i="1"/>
  <c r="Q756" i="1"/>
  <c r="W755" i="1"/>
  <c r="V755" i="1"/>
  <c r="U755" i="1"/>
  <c r="T755" i="1"/>
  <c r="S755" i="1"/>
  <c r="R755" i="1"/>
  <c r="Q755" i="1"/>
  <c r="W754" i="1"/>
  <c r="V754" i="1"/>
  <c r="U754" i="1"/>
  <c r="T754" i="1"/>
  <c r="S754" i="1"/>
  <c r="R754" i="1"/>
  <c r="Q754" i="1"/>
  <c r="W753" i="1"/>
  <c r="V753" i="1"/>
  <c r="U753" i="1"/>
  <c r="T753" i="1"/>
  <c r="S753" i="1"/>
  <c r="R753" i="1"/>
  <c r="Q753" i="1"/>
  <c r="W752" i="1"/>
  <c r="V752" i="1"/>
  <c r="U752" i="1"/>
  <c r="T752" i="1"/>
  <c r="S752" i="1"/>
  <c r="R752" i="1"/>
  <c r="Q752" i="1"/>
  <c r="W751" i="1"/>
  <c r="V751" i="1"/>
  <c r="U751" i="1"/>
  <c r="T751" i="1"/>
  <c r="S751" i="1"/>
  <c r="R751" i="1"/>
  <c r="Q751" i="1"/>
  <c r="W750" i="1"/>
  <c r="V750" i="1"/>
  <c r="U750" i="1"/>
  <c r="T750" i="1"/>
  <c r="S750" i="1"/>
  <c r="R750" i="1"/>
  <c r="Q750" i="1"/>
  <c r="W749" i="1"/>
  <c r="V749" i="1"/>
  <c r="U749" i="1"/>
  <c r="T749" i="1"/>
  <c r="S749" i="1"/>
  <c r="R749" i="1"/>
  <c r="Q749" i="1"/>
  <c r="W748" i="1"/>
  <c r="V748" i="1"/>
  <c r="U748" i="1"/>
  <c r="T748" i="1"/>
  <c r="S748" i="1"/>
  <c r="R748" i="1"/>
  <c r="Q748" i="1"/>
  <c r="W747" i="1"/>
  <c r="V747" i="1"/>
  <c r="U747" i="1"/>
  <c r="T747" i="1"/>
  <c r="S747" i="1"/>
  <c r="R747" i="1"/>
  <c r="Q747" i="1"/>
  <c r="W746" i="1"/>
  <c r="V746" i="1"/>
  <c r="U746" i="1"/>
  <c r="T746" i="1"/>
  <c r="S746" i="1"/>
  <c r="R746" i="1"/>
  <c r="Q746" i="1"/>
  <c r="W745" i="1"/>
  <c r="V745" i="1"/>
  <c r="U745" i="1"/>
  <c r="T745" i="1"/>
  <c r="S745" i="1"/>
  <c r="R745" i="1"/>
  <c r="Q745" i="1"/>
  <c r="W744" i="1"/>
  <c r="V744" i="1"/>
  <c r="U744" i="1"/>
  <c r="T744" i="1"/>
  <c r="S744" i="1"/>
  <c r="R744" i="1"/>
  <c r="Q744" i="1"/>
  <c r="W743" i="1"/>
  <c r="V743" i="1"/>
  <c r="U743" i="1"/>
  <c r="T743" i="1"/>
  <c r="S743" i="1"/>
  <c r="R743" i="1"/>
  <c r="Q743" i="1"/>
  <c r="W742" i="1"/>
  <c r="V742" i="1"/>
  <c r="U742" i="1"/>
  <c r="T742" i="1"/>
  <c r="S742" i="1"/>
  <c r="R742" i="1"/>
  <c r="Q742" i="1"/>
  <c r="W741" i="1"/>
  <c r="V741" i="1"/>
  <c r="U741" i="1"/>
  <c r="T741" i="1"/>
  <c r="S741" i="1"/>
  <c r="R741" i="1"/>
  <c r="Q741" i="1"/>
  <c r="W740" i="1"/>
  <c r="V740" i="1"/>
  <c r="U740" i="1"/>
  <c r="T740" i="1"/>
  <c r="S740" i="1"/>
  <c r="R740" i="1"/>
  <c r="Q740" i="1"/>
  <c r="W739" i="1"/>
  <c r="V739" i="1"/>
  <c r="U739" i="1"/>
  <c r="T739" i="1"/>
  <c r="S739" i="1"/>
  <c r="R739" i="1"/>
  <c r="Q739" i="1"/>
  <c r="W738" i="1"/>
  <c r="V738" i="1"/>
  <c r="U738" i="1"/>
  <c r="T738" i="1"/>
  <c r="S738" i="1"/>
  <c r="R738" i="1"/>
  <c r="Q738" i="1"/>
  <c r="W737" i="1"/>
  <c r="V737" i="1"/>
  <c r="U737" i="1"/>
  <c r="T737" i="1"/>
  <c r="S737" i="1"/>
  <c r="R737" i="1"/>
  <c r="Q737" i="1"/>
  <c r="W736" i="1"/>
  <c r="V736" i="1"/>
  <c r="U736" i="1"/>
  <c r="T736" i="1"/>
  <c r="S736" i="1"/>
  <c r="R736" i="1"/>
  <c r="Q736" i="1"/>
  <c r="W735" i="1"/>
  <c r="V735" i="1"/>
  <c r="U735" i="1"/>
  <c r="T735" i="1"/>
  <c r="S735" i="1"/>
  <c r="R735" i="1"/>
  <c r="Q735" i="1"/>
  <c r="W734" i="1"/>
  <c r="V734" i="1"/>
  <c r="U734" i="1"/>
  <c r="T734" i="1"/>
  <c r="S734" i="1"/>
  <c r="R734" i="1"/>
  <c r="Q734" i="1"/>
  <c r="W733" i="1"/>
  <c r="V733" i="1"/>
  <c r="U733" i="1"/>
  <c r="T733" i="1"/>
  <c r="S733" i="1"/>
  <c r="R733" i="1"/>
  <c r="Q733" i="1"/>
  <c r="W732" i="1"/>
  <c r="V732" i="1"/>
  <c r="U732" i="1"/>
  <c r="T732" i="1"/>
  <c r="S732" i="1"/>
  <c r="R732" i="1"/>
  <c r="Q732" i="1"/>
  <c r="W731" i="1"/>
  <c r="V731" i="1"/>
  <c r="U731" i="1"/>
  <c r="T731" i="1"/>
  <c r="S731" i="1"/>
  <c r="R731" i="1"/>
  <c r="Q731" i="1"/>
  <c r="W730" i="1"/>
  <c r="V730" i="1"/>
  <c r="U730" i="1"/>
  <c r="T730" i="1"/>
  <c r="S730" i="1"/>
  <c r="R730" i="1"/>
  <c r="Q730" i="1"/>
  <c r="W729" i="1"/>
  <c r="V729" i="1"/>
  <c r="U729" i="1"/>
  <c r="T729" i="1"/>
  <c r="S729" i="1"/>
  <c r="R729" i="1"/>
  <c r="Q729" i="1"/>
  <c r="W728" i="1"/>
  <c r="V728" i="1"/>
  <c r="U728" i="1"/>
  <c r="T728" i="1"/>
  <c r="S728" i="1"/>
  <c r="R728" i="1"/>
  <c r="Q728" i="1"/>
  <c r="W727" i="1"/>
  <c r="V727" i="1"/>
  <c r="U727" i="1"/>
  <c r="T727" i="1"/>
  <c r="S727" i="1"/>
  <c r="R727" i="1"/>
  <c r="Q727" i="1"/>
  <c r="W726" i="1"/>
  <c r="V726" i="1"/>
  <c r="U726" i="1"/>
  <c r="T726" i="1"/>
  <c r="S726" i="1"/>
  <c r="R726" i="1"/>
  <c r="Q726" i="1"/>
  <c r="W725" i="1"/>
  <c r="V725" i="1"/>
  <c r="U725" i="1"/>
  <c r="T725" i="1"/>
  <c r="S725" i="1"/>
  <c r="R725" i="1"/>
  <c r="Q725" i="1"/>
  <c r="W724" i="1"/>
  <c r="V724" i="1"/>
  <c r="U724" i="1"/>
  <c r="T724" i="1"/>
  <c r="S724" i="1"/>
  <c r="R724" i="1"/>
  <c r="Q724" i="1"/>
  <c r="W723" i="1"/>
  <c r="V723" i="1"/>
  <c r="U723" i="1"/>
  <c r="T723" i="1"/>
  <c r="S723" i="1"/>
  <c r="R723" i="1"/>
  <c r="Q723" i="1"/>
  <c r="W722" i="1"/>
  <c r="V722" i="1"/>
  <c r="U722" i="1"/>
  <c r="T722" i="1"/>
  <c r="S722" i="1"/>
  <c r="R722" i="1"/>
  <c r="Q722" i="1"/>
  <c r="W721" i="1"/>
  <c r="V721" i="1"/>
  <c r="U721" i="1"/>
  <c r="T721" i="1"/>
  <c r="S721" i="1"/>
  <c r="R721" i="1"/>
  <c r="Q721" i="1"/>
  <c r="W720" i="1"/>
  <c r="V720" i="1"/>
  <c r="U720" i="1"/>
  <c r="T720" i="1"/>
  <c r="S720" i="1"/>
  <c r="R720" i="1"/>
  <c r="Q720" i="1"/>
  <c r="W719" i="1"/>
  <c r="V719" i="1"/>
  <c r="U719" i="1"/>
  <c r="T719" i="1"/>
  <c r="S719" i="1"/>
  <c r="R719" i="1"/>
  <c r="Q719" i="1"/>
  <c r="W718" i="1"/>
  <c r="V718" i="1"/>
  <c r="U718" i="1"/>
  <c r="T718" i="1"/>
  <c r="S718" i="1"/>
  <c r="R718" i="1"/>
  <c r="Q718" i="1"/>
  <c r="W717" i="1"/>
  <c r="V717" i="1"/>
  <c r="U717" i="1"/>
  <c r="T717" i="1"/>
  <c r="S717" i="1"/>
  <c r="R717" i="1"/>
  <c r="Q717" i="1"/>
  <c r="W716" i="1"/>
  <c r="V716" i="1"/>
  <c r="U716" i="1"/>
  <c r="T716" i="1"/>
  <c r="S716" i="1"/>
  <c r="R716" i="1"/>
  <c r="Q716" i="1"/>
  <c r="W715" i="1"/>
  <c r="V715" i="1"/>
  <c r="U715" i="1"/>
  <c r="T715" i="1"/>
  <c r="S715" i="1"/>
  <c r="R715" i="1"/>
  <c r="Q715" i="1"/>
  <c r="W714" i="1"/>
  <c r="V714" i="1"/>
  <c r="U714" i="1"/>
  <c r="T714" i="1"/>
  <c r="S714" i="1"/>
  <c r="R714" i="1"/>
  <c r="Q714" i="1"/>
  <c r="W713" i="1"/>
  <c r="V713" i="1"/>
  <c r="U713" i="1"/>
  <c r="T713" i="1"/>
  <c r="S713" i="1"/>
  <c r="R713" i="1"/>
  <c r="Q713" i="1"/>
  <c r="W712" i="1"/>
  <c r="V712" i="1"/>
  <c r="U712" i="1"/>
  <c r="T712" i="1"/>
  <c r="S712" i="1"/>
  <c r="R712" i="1"/>
  <c r="Q712" i="1"/>
  <c r="W711" i="1"/>
  <c r="V711" i="1"/>
  <c r="U711" i="1"/>
  <c r="T711" i="1"/>
  <c r="S711" i="1"/>
  <c r="R711" i="1"/>
  <c r="Q711" i="1"/>
  <c r="W710" i="1"/>
  <c r="V710" i="1"/>
  <c r="U710" i="1"/>
  <c r="T710" i="1"/>
  <c r="S710" i="1"/>
  <c r="R710" i="1"/>
  <c r="Q710" i="1"/>
  <c r="W709" i="1"/>
  <c r="V709" i="1"/>
  <c r="U709" i="1"/>
  <c r="T709" i="1"/>
  <c r="S709" i="1"/>
  <c r="R709" i="1"/>
  <c r="Q709" i="1"/>
  <c r="W708" i="1"/>
  <c r="V708" i="1"/>
  <c r="U708" i="1"/>
  <c r="T708" i="1"/>
  <c r="S708" i="1"/>
  <c r="R708" i="1"/>
  <c r="Q708" i="1"/>
  <c r="W707" i="1"/>
  <c r="V707" i="1"/>
  <c r="U707" i="1"/>
  <c r="T707" i="1"/>
  <c r="S707" i="1"/>
  <c r="R707" i="1"/>
  <c r="Q707" i="1"/>
  <c r="W706" i="1"/>
  <c r="V706" i="1"/>
  <c r="U706" i="1"/>
  <c r="T706" i="1"/>
  <c r="S706" i="1"/>
  <c r="R706" i="1"/>
  <c r="Q706" i="1"/>
  <c r="W705" i="1"/>
  <c r="V705" i="1"/>
  <c r="U705" i="1"/>
  <c r="T705" i="1"/>
  <c r="S705" i="1"/>
  <c r="R705" i="1"/>
  <c r="Q705" i="1"/>
  <c r="W704" i="1"/>
  <c r="V704" i="1"/>
  <c r="U704" i="1"/>
  <c r="T704" i="1"/>
  <c r="S704" i="1"/>
  <c r="R704" i="1"/>
  <c r="Q704" i="1"/>
  <c r="W703" i="1"/>
  <c r="V703" i="1"/>
  <c r="U703" i="1"/>
  <c r="T703" i="1"/>
  <c r="S703" i="1"/>
  <c r="R703" i="1"/>
  <c r="Q703" i="1"/>
  <c r="W702" i="1"/>
  <c r="V702" i="1"/>
  <c r="U702" i="1"/>
  <c r="T702" i="1"/>
  <c r="S702" i="1"/>
  <c r="R702" i="1"/>
  <c r="Q702" i="1"/>
  <c r="W701" i="1"/>
  <c r="V701" i="1"/>
  <c r="U701" i="1"/>
  <c r="T701" i="1"/>
  <c r="S701" i="1"/>
  <c r="R701" i="1"/>
  <c r="Q701" i="1"/>
  <c r="W700" i="1"/>
  <c r="V700" i="1"/>
  <c r="U700" i="1"/>
  <c r="T700" i="1"/>
  <c r="S700" i="1"/>
  <c r="R700" i="1"/>
  <c r="Q700" i="1"/>
  <c r="W699" i="1"/>
  <c r="V699" i="1"/>
  <c r="U699" i="1"/>
  <c r="T699" i="1"/>
  <c r="S699" i="1"/>
  <c r="R699" i="1"/>
  <c r="Q699" i="1"/>
  <c r="W698" i="1"/>
  <c r="V698" i="1"/>
  <c r="U698" i="1"/>
  <c r="T698" i="1"/>
  <c r="S698" i="1"/>
  <c r="R698" i="1"/>
  <c r="Q698" i="1"/>
  <c r="W697" i="1"/>
  <c r="V697" i="1"/>
  <c r="U697" i="1"/>
  <c r="T697" i="1"/>
  <c r="S697" i="1"/>
  <c r="R697" i="1"/>
  <c r="Q697" i="1"/>
  <c r="W696" i="1"/>
  <c r="V696" i="1"/>
  <c r="U696" i="1"/>
  <c r="T696" i="1"/>
  <c r="S696" i="1"/>
  <c r="R696" i="1"/>
  <c r="Q696" i="1"/>
  <c r="W695" i="1"/>
  <c r="V695" i="1"/>
  <c r="U695" i="1"/>
  <c r="T695" i="1"/>
  <c r="S695" i="1"/>
  <c r="R695" i="1"/>
  <c r="Q695" i="1"/>
  <c r="W694" i="1"/>
  <c r="V694" i="1"/>
  <c r="U694" i="1"/>
  <c r="T694" i="1"/>
  <c r="S694" i="1"/>
  <c r="R694" i="1"/>
  <c r="Q694" i="1"/>
  <c r="W693" i="1"/>
  <c r="V693" i="1"/>
  <c r="U693" i="1"/>
  <c r="T693" i="1"/>
  <c r="S693" i="1"/>
  <c r="R693" i="1"/>
  <c r="Q693" i="1"/>
  <c r="W692" i="1"/>
  <c r="V692" i="1"/>
  <c r="U692" i="1"/>
  <c r="T692" i="1"/>
  <c r="S692" i="1"/>
  <c r="R692" i="1"/>
  <c r="Q692" i="1"/>
  <c r="W691" i="1"/>
  <c r="V691" i="1"/>
  <c r="U691" i="1"/>
  <c r="T691" i="1"/>
  <c r="S691" i="1"/>
  <c r="R691" i="1"/>
  <c r="Q691" i="1"/>
  <c r="W690" i="1"/>
  <c r="V690" i="1"/>
  <c r="U690" i="1"/>
  <c r="T690" i="1"/>
  <c r="S690" i="1"/>
  <c r="R690" i="1"/>
  <c r="Q690" i="1"/>
  <c r="W689" i="1"/>
  <c r="V689" i="1"/>
  <c r="U689" i="1"/>
  <c r="T689" i="1"/>
  <c r="S689" i="1"/>
  <c r="R689" i="1"/>
  <c r="Q689" i="1"/>
  <c r="W688" i="1"/>
  <c r="V688" i="1"/>
  <c r="U688" i="1"/>
  <c r="T688" i="1"/>
  <c r="S688" i="1"/>
  <c r="R688" i="1"/>
  <c r="Q688" i="1"/>
  <c r="W687" i="1"/>
  <c r="V687" i="1"/>
  <c r="U687" i="1"/>
  <c r="T687" i="1"/>
  <c r="S687" i="1"/>
  <c r="R687" i="1"/>
  <c r="Q687" i="1"/>
  <c r="W686" i="1"/>
  <c r="V686" i="1"/>
  <c r="U686" i="1"/>
  <c r="T686" i="1"/>
  <c r="S686" i="1"/>
  <c r="R686" i="1"/>
  <c r="Q686" i="1"/>
  <c r="W685" i="1"/>
  <c r="V685" i="1"/>
  <c r="U685" i="1"/>
  <c r="T685" i="1"/>
  <c r="S685" i="1"/>
  <c r="R685" i="1"/>
  <c r="Q685" i="1"/>
  <c r="W684" i="1"/>
  <c r="V684" i="1"/>
  <c r="U684" i="1"/>
  <c r="T684" i="1"/>
  <c r="S684" i="1"/>
  <c r="R684" i="1"/>
  <c r="Q684" i="1"/>
  <c r="W683" i="1"/>
  <c r="V683" i="1"/>
  <c r="U683" i="1"/>
  <c r="T683" i="1"/>
  <c r="S683" i="1"/>
  <c r="R683" i="1"/>
  <c r="Q683" i="1"/>
  <c r="W682" i="1"/>
  <c r="V682" i="1"/>
  <c r="U682" i="1"/>
  <c r="T682" i="1"/>
  <c r="S682" i="1"/>
  <c r="R682" i="1"/>
  <c r="Q682" i="1"/>
  <c r="W681" i="1"/>
  <c r="V681" i="1"/>
  <c r="U681" i="1"/>
  <c r="T681" i="1"/>
  <c r="S681" i="1"/>
  <c r="R681" i="1"/>
  <c r="Q681" i="1"/>
  <c r="W680" i="1"/>
  <c r="V680" i="1"/>
  <c r="U680" i="1"/>
  <c r="T680" i="1"/>
  <c r="S680" i="1"/>
  <c r="R680" i="1"/>
  <c r="Q680" i="1"/>
  <c r="W679" i="1"/>
  <c r="V679" i="1"/>
  <c r="U679" i="1"/>
  <c r="T679" i="1"/>
  <c r="S679" i="1"/>
  <c r="R679" i="1"/>
  <c r="Q679" i="1"/>
  <c r="W678" i="1"/>
  <c r="V678" i="1"/>
  <c r="U678" i="1"/>
  <c r="T678" i="1"/>
  <c r="S678" i="1"/>
  <c r="R678" i="1"/>
  <c r="Q678" i="1"/>
  <c r="W677" i="1"/>
  <c r="V677" i="1"/>
  <c r="U677" i="1"/>
  <c r="T677" i="1"/>
  <c r="S677" i="1"/>
  <c r="R677" i="1"/>
  <c r="Q677" i="1"/>
  <c r="W676" i="1"/>
  <c r="V676" i="1"/>
  <c r="U676" i="1"/>
  <c r="T676" i="1"/>
  <c r="S676" i="1"/>
  <c r="R676" i="1"/>
  <c r="Q676" i="1"/>
  <c r="W675" i="1"/>
  <c r="V675" i="1"/>
  <c r="U675" i="1"/>
  <c r="T675" i="1"/>
  <c r="S675" i="1"/>
  <c r="R675" i="1"/>
  <c r="Q675" i="1"/>
  <c r="W674" i="1"/>
  <c r="V674" i="1"/>
  <c r="U674" i="1"/>
  <c r="T674" i="1"/>
  <c r="S674" i="1"/>
  <c r="R674" i="1"/>
  <c r="Q674" i="1"/>
  <c r="W673" i="1"/>
  <c r="V673" i="1"/>
  <c r="U673" i="1"/>
  <c r="T673" i="1"/>
  <c r="S673" i="1"/>
  <c r="R673" i="1"/>
  <c r="Q673" i="1"/>
  <c r="W672" i="1"/>
  <c r="V672" i="1"/>
  <c r="U672" i="1"/>
  <c r="T672" i="1"/>
  <c r="S672" i="1"/>
  <c r="R672" i="1"/>
  <c r="Q672" i="1"/>
  <c r="W671" i="1"/>
  <c r="V671" i="1"/>
  <c r="U671" i="1"/>
  <c r="T671" i="1"/>
  <c r="S671" i="1"/>
  <c r="R671" i="1"/>
  <c r="Q671" i="1"/>
  <c r="W670" i="1"/>
  <c r="V670" i="1"/>
  <c r="U670" i="1"/>
  <c r="T670" i="1"/>
  <c r="S670" i="1"/>
  <c r="R670" i="1"/>
  <c r="Q670" i="1"/>
  <c r="W669" i="1"/>
  <c r="V669" i="1"/>
  <c r="U669" i="1"/>
  <c r="T669" i="1"/>
  <c r="S669" i="1"/>
  <c r="R669" i="1"/>
  <c r="Q669" i="1"/>
  <c r="W668" i="1"/>
  <c r="V668" i="1"/>
  <c r="U668" i="1"/>
  <c r="T668" i="1"/>
  <c r="S668" i="1"/>
  <c r="R668" i="1"/>
  <c r="Q668" i="1"/>
  <c r="W667" i="1"/>
  <c r="V667" i="1"/>
  <c r="U667" i="1"/>
  <c r="T667" i="1"/>
  <c r="S667" i="1"/>
  <c r="R667" i="1"/>
  <c r="Q667" i="1"/>
  <c r="W666" i="1"/>
  <c r="V666" i="1"/>
  <c r="U666" i="1"/>
  <c r="T666" i="1"/>
  <c r="S666" i="1"/>
  <c r="R666" i="1"/>
  <c r="Q666" i="1"/>
  <c r="W665" i="1"/>
  <c r="V665" i="1"/>
  <c r="U665" i="1"/>
  <c r="T665" i="1"/>
  <c r="S665" i="1"/>
  <c r="R665" i="1"/>
  <c r="Q665" i="1"/>
  <c r="W664" i="1"/>
  <c r="V664" i="1"/>
  <c r="U664" i="1"/>
  <c r="T664" i="1"/>
  <c r="S664" i="1"/>
  <c r="R664" i="1"/>
  <c r="Q664" i="1"/>
  <c r="W663" i="1"/>
  <c r="V663" i="1"/>
  <c r="U663" i="1"/>
  <c r="T663" i="1"/>
  <c r="S663" i="1"/>
  <c r="R663" i="1"/>
  <c r="Q663" i="1"/>
  <c r="W662" i="1"/>
  <c r="V662" i="1"/>
  <c r="U662" i="1"/>
  <c r="T662" i="1"/>
  <c r="S662" i="1"/>
  <c r="R662" i="1"/>
  <c r="Q662" i="1"/>
  <c r="W661" i="1"/>
  <c r="V661" i="1"/>
  <c r="U661" i="1"/>
  <c r="T661" i="1"/>
  <c r="S661" i="1"/>
  <c r="R661" i="1"/>
  <c r="Q661" i="1"/>
  <c r="W660" i="1"/>
  <c r="V660" i="1"/>
  <c r="U660" i="1"/>
  <c r="T660" i="1"/>
  <c r="S660" i="1"/>
  <c r="R660" i="1"/>
  <c r="Q660" i="1"/>
  <c r="W659" i="1"/>
  <c r="V659" i="1"/>
  <c r="U659" i="1"/>
  <c r="T659" i="1"/>
  <c r="S659" i="1"/>
  <c r="R659" i="1"/>
  <c r="Q659" i="1"/>
  <c r="W658" i="1"/>
  <c r="V658" i="1"/>
  <c r="U658" i="1"/>
  <c r="T658" i="1"/>
  <c r="S658" i="1"/>
  <c r="R658" i="1"/>
  <c r="Q658" i="1"/>
  <c r="W657" i="1"/>
  <c r="V657" i="1"/>
  <c r="U657" i="1"/>
  <c r="T657" i="1"/>
  <c r="S657" i="1"/>
  <c r="R657" i="1"/>
  <c r="Q657" i="1"/>
  <c r="W656" i="1"/>
  <c r="V656" i="1"/>
  <c r="U656" i="1"/>
  <c r="T656" i="1"/>
  <c r="S656" i="1"/>
  <c r="R656" i="1"/>
  <c r="Q656" i="1"/>
  <c r="W655" i="1"/>
  <c r="V655" i="1"/>
  <c r="U655" i="1"/>
  <c r="T655" i="1"/>
  <c r="S655" i="1"/>
  <c r="R655" i="1"/>
  <c r="Q655" i="1"/>
  <c r="W654" i="1"/>
  <c r="V654" i="1"/>
  <c r="U654" i="1"/>
  <c r="T654" i="1"/>
  <c r="S654" i="1"/>
  <c r="R654" i="1"/>
  <c r="Q654" i="1"/>
  <c r="W653" i="1"/>
  <c r="V653" i="1"/>
  <c r="U653" i="1"/>
  <c r="T653" i="1"/>
  <c r="S653" i="1"/>
  <c r="R653" i="1"/>
  <c r="Q653" i="1"/>
  <c r="W652" i="1"/>
  <c r="V652" i="1"/>
  <c r="U652" i="1"/>
  <c r="T652" i="1"/>
  <c r="S652" i="1"/>
  <c r="R652" i="1"/>
  <c r="Q652" i="1"/>
  <c r="W651" i="1"/>
  <c r="V651" i="1"/>
  <c r="U651" i="1"/>
  <c r="T651" i="1"/>
  <c r="S651" i="1"/>
  <c r="R651" i="1"/>
  <c r="Q651" i="1"/>
  <c r="W650" i="1"/>
  <c r="V650" i="1"/>
  <c r="U650" i="1"/>
  <c r="T650" i="1"/>
  <c r="S650" i="1"/>
  <c r="R650" i="1"/>
  <c r="Q650" i="1"/>
  <c r="W649" i="1"/>
  <c r="V649" i="1"/>
  <c r="U649" i="1"/>
  <c r="T649" i="1"/>
  <c r="S649" i="1"/>
  <c r="R649" i="1"/>
  <c r="Q649" i="1"/>
  <c r="W648" i="1"/>
  <c r="V648" i="1"/>
  <c r="U648" i="1"/>
  <c r="T648" i="1"/>
  <c r="S648" i="1"/>
  <c r="R648" i="1"/>
  <c r="Q648" i="1"/>
  <c r="W647" i="1"/>
  <c r="V647" i="1"/>
  <c r="U647" i="1"/>
  <c r="T647" i="1"/>
  <c r="S647" i="1"/>
  <c r="R647" i="1"/>
  <c r="Q647" i="1"/>
  <c r="W646" i="1"/>
  <c r="V646" i="1"/>
  <c r="U646" i="1"/>
  <c r="T646" i="1"/>
  <c r="S646" i="1"/>
  <c r="R646" i="1"/>
  <c r="Q646" i="1"/>
  <c r="W645" i="1"/>
  <c r="V645" i="1"/>
  <c r="U645" i="1"/>
  <c r="T645" i="1"/>
  <c r="S645" i="1"/>
  <c r="R645" i="1"/>
  <c r="Q645" i="1"/>
  <c r="W644" i="1"/>
  <c r="V644" i="1"/>
  <c r="U644" i="1"/>
  <c r="T644" i="1"/>
  <c r="S644" i="1"/>
  <c r="R644" i="1"/>
  <c r="Q644" i="1"/>
  <c r="W643" i="1"/>
  <c r="V643" i="1"/>
  <c r="U643" i="1"/>
  <c r="T643" i="1"/>
  <c r="S643" i="1"/>
  <c r="R643" i="1"/>
  <c r="Q643" i="1"/>
  <c r="W642" i="1"/>
  <c r="V642" i="1"/>
  <c r="U642" i="1"/>
  <c r="T642" i="1"/>
  <c r="S642" i="1"/>
  <c r="R642" i="1"/>
  <c r="Q642" i="1"/>
  <c r="W641" i="1"/>
  <c r="V641" i="1"/>
  <c r="U641" i="1"/>
  <c r="T641" i="1"/>
  <c r="S641" i="1"/>
  <c r="R641" i="1"/>
  <c r="Q641" i="1"/>
  <c r="W640" i="1"/>
  <c r="V640" i="1"/>
  <c r="U640" i="1"/>
  <c r="T640" i="1"/>
  <c r="S640" i="1"/>
  <c r="R640" i="1"/>
  <c r="Q640" i="1"/>
  <c r="W639" i="1"/>
  <c r="V639" i="1"/>
  <c r="U639" i="1"/>
  <c r="T639" i="1"/>
  <c r="S639" i="1"/>
  <c r="R639" i="1"/>
  <c r="Q639" i="1"/>
  <c r="W638" i="1"/>
  <c r="V638" i="1"/>
  <c r="U638" i="1"/>
  <c r="T638" i="1"/>
  <c r="S638" i="1"/>
  <c r="R638" i="1"/>
  <c r="Q638" i="1"/>
  <c r="W637" i="1"/>
  <c r="V637" i="1"/>
  <c r="U637" i="1"/>
  <c r="T637" i="1"/>
  <c r="S637" i="1"/>
  <c r="R637" i="1"/>
  <c r="Q637" i="1"/>
  <c r="W636" i="1"/>
  <c r="V636" i="1"/>
  <c r="U636" i="1"/>
  <c r="T636" i="1"/>
  <c r="S636" i="1"/>
  <c r="R636" i="1"/>
  <c r="Q636" i="1"/>
  <c r="W635" i="1"/>
  <c r="V635" i="1"/>
  <c r="U635" i="1"/>
  <c r="T635" i="1"/>
  <c r="S635" i="1"/>
  <c r="R635" i="1"/>
  <c r="Q635" i="1"/>
  <c r="W634" i="1"/>
  <c r="V634" i="1"/>
  <c r="U634" i="1"/>
  <c r="T634" i="1"/>
  <c r="S634" i="1"/>
  <c r="R634" i="1"/>
  <c r="Q634" i="1"/>
  <c r="W633" i="1"/>
  <c r="V633" i="1"/>
  <c r="U633" i="1"/>
  <c r="T633" i="1"/>
  <c r="S633" i="1"/>
  <c r="R633" i="1"/>
  <c r="Q633" i="1"/>
  <c r="W632" i="1"/>
  <c r="V632" i="1"/>
  <c r="U632" i="1"/>
  <c r="T632" i="1"/>
  <c r="S632" i="1"/>
  <c r="R632" i="1"/>
  <c r="Q632" i="1"/>
  <c r="W631" i="1"/>
  <c r="V631" i="1"/>
  <c r="U631" i="1"/>
  <c r="T631" i="1"/>
  <c r="S631" i="1"/>
  <c r="R631" i="1"/>
  <c r="Q631" i="1"/>
  <c r="W630" i="1"/>
  <c r="V630" i="1"/>
  <c r="U630" i="1"/>
  <c r="T630" i="1"/>
  <c r="S630" i="1"/>
  <c r="R630" i="1"/>
  <c r="Q630" i="1"/>
  <c r="W629" i="1"/>
  <c r="V629" i="1"/>
  <c r="U629" i="1"/>
  <c r="T629" i="1"/>
  <c r="S629" i="1"/>
  <c r="R629" i="1"/>
  <c r="Q629" i="1"/>
  <c r="W628" i="1"/>
  <c r="V628" i="1"/>
  <c r="U628" i="1"/>
  <c r="T628" i="1"/>
  <c r="S628" i="1"/>
  <c r="R628" i="1"/>
  <c r="Q628" i="1"/>
  <c r="W627" i="1"/>
  <c r="V627" i="1"/>
  <c r="U627" i="1"/>
  <c r="T627" i="1"/>
  <c r="S627" i="1"/>
  <c r="R627" i="1"/>
  <c r="Q627" i="1"/>
  <c r="W626" i="1"/>
  <c r="V626" i="1"/>
  <c r="U626" i="1"/>
  <c r="T626" i="1"/>
  <c r="S626" i="1"/>
  <c r="R626" i="1"/>
  <c r="Q626" i="1"/>
  <c r="W625" i="1"/>
  <c r="V625" i="1"/>
  <c r="U625" i="1"/>
  <c r="T625" i="1"/>
  <c r="S625" i="1"/>
  <c r="R625" i="1"/>
  <c r="Q625" i="1"/>
  <c r="W624" i="1"/>
  <c r="V624" i="1"/>
  <c r="U624" i="1"/>
  <c r="T624" i="1"/>
  <c r="S624" i="1"/>
  <c r="R624" i="1"/>
  <c r="Q624" i="1"/>
  <c r="W623" i="1"/>
  <c r="V623" i="1"/>
  <c r="U623" i="1"/>
  <c r="T623" i="1"/>
  <c r="S623" i="1"/>
  <c r="R623" i="1"/>
  <c r="Q623" i="1"/>
  <c r="W622" i="1"/>
  <c r="V622" i="1"/>
  <c r="U622" i="1"/>
  <c r="T622" i="1"/>
  <c r="S622" i="1"/>
  <c r="R622" i="1"/>
  <c r="Q622" i="1"/>
  <c r="W621" i="1"/>
  <c r="V621" i="1"/>
  <c r="U621" i="1"/>
  <c r="T621" i="1"/>
  <c r="S621" i="1"/>
  <c r="R621" i="1"/>
  <c r="Q621" i="1"/>
  <c r="W620" i="1"/>
  <c r="V620" i="1"/>
  <c r="U620" i="1"/>
  <c r="T620" i="1"/>
  <c r="S620" i="1"/>
  <c r="R620" i="1"/>
  <c r="Q620" i="1"/>
  <c r="W619" i="1"/>
  <c r="V619" i="1"/>
  <c r="U619" i="1"/>
  <c r="T619" i="1"/>
  <c r="S619" i="1"/>
  <c r="R619" i="1"/>
  <c r="Q619" i="1"/>
  <c r="W618" i="1"/>
  <c r="V618" i="1"/>
  <c r="U618" i="1"/>
  <c r="T618" i="1"/>
  <c r="S618" i="1"/>
  <c r="R618" i="1"/>
  <c r="Q618" i="1"/>
  <c r="W617" i="1"/>
  <c r="V617" i="1"/>
  <c r="U617" i="1"/>
  <c r="T617" i="1"/>
  <c r="S617" i="1"/>
  <c r="R617" i="1"/>
  <c r="Q617" i="1"/>
  <c r="W616" i="1"/>
  <c r="V616" i="1"/>
  <c r="U616" i="1"/>
  <c r="T616" i="1"/>
  <c r="S616" i="1"/>
  <c r="R616" i="1"/>
  <c r="Q616" i="1"/>
  <c r="W615" i="1"/>
  <c r="V615" i="1"/>
  <c r="U615" i="1"/>
  <c r="T615" i="1"/>
  <c r="S615" i="1"/>
  <c r="R615" i="1"/>
  <c r="Q615" i="1"/>
  <c r="W614" i="1"/>
  <c r="V614" i="1"/>
  <c r="U614" i="1"/>
  <c r="T614" i="1"/>
  <c r="S614" i="1"/>
  <c r="R614" i="1"/>
  <c r="Q614" i="1"/>
  <c r="W613" i="1"/>
  <c r="V613" i="1"/>
  <c r="U613" i="1"/>
  <c r="T613" i="1"/>
  <c r="S613" i="1"/>
  <c r="R613" i="1"/>
  <c r="Q613" i="1"/>
  <c r="W612" i="1"/>
  <c r="V612" i="1"/>
  <c r="U612" i="1"/>
  <c r="T612" i="1"/>
  <c r="S612" i="1"/>
  <c r="R612" i="1"/>
  <c r="Q612" i="1"/>
  <c r="W611" i="1"/>
  <c r="V611" i="1"/>
  <c r="U611" i="1"/>
  <c r="T611" i="1"/>
  <c r="S611" i="1"/>
  <c r="R611" i="1"/>
  <c r="Q611" i="1"/>
  <c r="W610" i="1"/>
  <c r="V610" i="1"/>
  <c r="U610" i="1"/>
  <c r="T610" i="1"/>
  <c r="S610" i="1"/>
  <c r="R610" i="1"/>
  <c r="Q610" i="1"/>
  <c r="W609" i="1"/>
  <c r="V609" i="1"/>
  <c r="U609" i="1"/>
  <c r="T609" i="1"/>
  <c r="S609" i="1"/>
  <c r="R609" i="1"/>
  <c r="Q609" i="1"/>
  <c r="W608" i="1"/>
  <c r="V608" i="1"/>
  <c r="U608" i="1"/>
  <c r="T608" i="1"/>
  <c r="S608" i="1"/>
  <c r="R608" i="1"/>
  <c r="Q608" i="1"/>
  <c r="W607" i="1"/>
  <c r="V607" i="1"/>
  <c r="U607" i="1"/>
  <c r="T607" i="1"/>
  <c r="S607" i="1"/>
  <c r="R607" i="1"/>
  <c r="Q607" i="1"/>
  <c r="W606" i="1"/>
  <c r="V606" i="1"/>
  <c r="U606" i="1"/>
  <c r="T606" i="1"/>
  <c r="S606" i="1"/>
  <c r="R606" i="1"/>
  <c r="Q606" i="1"/>
  <c r="W605" i="1"/>
  <c r="V605" i="1"/>
  <c r="U605" i="1"/>
  <c r="T605" i="1"/>
  <c r="S605" i="1"/>
  <c r="R605" i="1"/>
  <c r="Q605" i="1"/>
  <c r="W604" i="1"/>
  <c r="V604" i="1"/>
  <c r="U604" i="1"/>
  <c r="T604" i="1"/>
  <c r="S604" i="1"/>
  <c r="R604" i="1"/>
  <c r="Q604" i="1"/>
  <c r="W603" i="1"/>
  <c r="V603" i="1"/>
  <c r="U603" i="1"/>
  <c r="T603" i="1"/>
  <c r="S603" i="1"/>
  <c r="R603" i="1"/>
  <c r="Q603" i="1"/>
  <c r="W602" i="1"/>
  <c r="V602" i="1"/>
  <c r="U602" i="1"/>
  <c r="T602" i="1"/>
  <c r="S602" i="1"/>
  <c r="R602" i="1"/>
  <c r="Q602" i="1"/>
  <c r="W601" i="1"/>
  <c r="V601" i="1"/>
  <c r="U601" i="1"/>
  <c r="T601" i="1"/>
  <c r="S601" i="1"/>
  <c r="R601" i="1"/>
  <c r="Q601" i="1"/>
  <c r="W600" i="1"/>
  <c r="V600" i="1"/>
  <c r="U600" i="1"/>
  <c r="T600" i="1"/>
  <c r="S600" i="1"/>
  <c r="R600" i="1"/>
  <c r="Q600" i="1"/>
  <c r="W599" i="1"/>
  <c r="V599" i="1"/>
  <c r="U599" i="1"/>
  <c r="T599" i="1"/>
  <c r="S599" i="1"/>
  <c r="R599" i="1"/>
  <c r="Q599" i="1"/>
  <c r="W598" i="1"/>
  <c r="V598" i="1"/>
  <c r="U598" i="1"/>
  <c r="T598" i="1"/>
  <c r="S598" i="1"/>
  <c r="R598" i="1"/>
  <c r="Q598" i="1"/>
  <c r="W597" i="1"/>
  <c r="V597" i="1"/>
  <c r="U597" i="1"/>
  <c r="T597" i="1"/>
  <c r="S597" i="1"/>
  <c r="R597" i="1"/>
  <c r="Q597" i="1"/>
  <c r="W596" i="1"/>
  <c r="V596" i="1"/>
  <c r="U596" i="1"/>
  <c r="T596" i="1"/>
  <c r="S596" i="1"/>
  <c r="R596" i="1"/>
  <c r="Q596" i="1"/>
  <c r="W595" i="1"/>
  <c r="V595" i="1"/>
  <c r="U595" i="1"/>
  <c r="T595" i="1"/>
  <c r="S595" i="1"/>
  <c r="R595" i="1"/>
  <c r="Q595" i="1"/>
  <c r="W594" i="1"/>
  <c r="V594" i="1"/>
  <c r="U594" i="1"/>
  <c r="T594" i="1"/>
  <c r="S594" i="1"/>
  <c r="R594" i="1"/>
  <c r="Q594" i="1"/>
  <c r="W593" i="1"/>
  <c r="V593" i="1"/>
  <c r="U593" i="1"/>
  <c r="T593" i="1"/>
  <c r="S593" i="1"/>
  <c r="R593" i="1"/>
  <c r="Q593" i="1"/>
  <c r="W592" i="1"/>
  <c r="V592" i="1"/>
  <c r="U592" i="1"/>
  <c r="T592" i="1"/>
  <c r="S592" i="1"/>
  <c r="R592" i="1"/>
  <c r="Q592" i="1"/>
  <c r="W591" i="1"/>
  <c r="V591" i="1"/>
  <c r="U591" i="1"/>
  <c r="T591" i="1"/>
  <c r="S591" i="1"/>
  <c r="R591" i="1"/>
  <c r="Q591" i="1"/>
  <c r="W590" i="1"/>
  <c r="V590" i="1"/>
  <c r="U590" i="1"/>
  <c r="T590" i="1"/>
  <c r="S590" i="1"/>
  <c r="R590" i="1"/>
  <c r="Q590" i="1"/>
  <c r="W589" i="1"/>
  <c r="V589" i="1"/>
  <c r="U589" i="1"/>
  <c r="T589" i="1"/>
  <c r="S589" i="1"/>
  <c r="R589" i="1"/>
  <c r="Q589" i="1"/>
  <c r="W588" i="1"/>
  <c r="V588" i="1"/>
  <c r="U588" i="1"/>
  <c r="T588" i="1"/>
  <c r="S588" i="1"/>
  <c r="R588" i="1"/>
  <c r="Q588" i="1"/>
  <c r="W587" i="1"/>
  <c r="V587" i="1"/>
  <c r="U587" i="1"/>
  <c r="T587" i="1"/>
  <c r="S587" i="1"/>
  <c r="R587" i="1"/>
  <c r="Q587" i="1"/>
  <c r="W586" i="1"/>
  <c r="V586" i="1"/>
  <c r="U586" i="1"/>
  <c r="T586" i="1"/>
  <c r="S586" i="1"/>
  <c r="R586" i="1"/>
  <c r="Q586" i="1"/>
  <c r="W585" i="1"/>
  <c r="V585" i="1"/>
  <c r="U585" i="1"/>
  <c r="T585" i="1"/>
  <c r="S585" i="1"/>
  <c r="R585" i="1"/>
  <c r="Q585" i="1"/>
  <c r="W584" i="1"/>
  <c r="V584" i="1"/>
  <c r="U584" i="1"/>
  <c r="T584" i="1"/>
  <c r="S584" i="1"/>
  <c r="R584" i="1"/>
  <c r="Q584" i="1"/>
  <c r="W583" i="1"/>
  <c r="V583" i="1"/>
  <c r="U583" i="1"/>
  <c r="T583" i="1"/>
  <c r="S583" i="1"/>
  <c r="R583" i="1"/>
  <c r="Q583" i="1"/>
  <c r="W582" i="1"/>
  <c r="V582" i="1"/>
  <c r="U582" i="1"/>
  <c r="T582" i="1"/>
  <c r="S582" i="1"/>
  <c r="R582" i="1"/>
  <c r="Q582" i="1"/>
  <c r="W581" i="1"/>
  <c r="V581" i="1"/>
  <c r="U581" i="1"/>
  <c r="T581" i="1"/>
  <c r="S581" i="1"/>
  <c r="R581" i="1"/>
  <c r="Q581" i="1"/>
  <c r="W580" i="1"/>
  <c r="V580" i="1"/>
  <c r="U580" i="1"/>
  <c r="T580" i="1"/>
  <c r="S580" i="1"/>
  <c r="R580" i="1"/>
  <c r="Q580" i="1"/>
  <c r="W579" i="1"/>
  <c r="V579" i="1"/>
  <c r="U579" i="1"/>
  <c r="T579" i="1"/>
  <c r="S579" i="1"/>
  <c r="R579" i="1"/>
  <c r="Q579" i="1"/>
  <c r="W578" i="1"/>
  <c r="V578" i="1"/>
  <c r="U578" i="1"/>
  <c r="T578" i="1"/>
  <c r="S578" i="1"/>
  <c r="R578" i="1"/>
  <c r="Q578" i="1"/>
  <c r="W577" i="1"/>
  <c r="V577" i="1"/>
  <c r="U577" i="1"/>
  <c r="T577" i="1"/>
  <c r="S577" i="1"/>
  <c r="R577" i="1"/>
  <c r="Q577" i="1"/>
  <c r="W576" i="1"/>
  <c r="V576" i="1"/>
  <c r="U576" i="1"/>
  <c r="T576" i="1"/>
  <c r="S576" i="1"/>
  <c r="R576" i="1"/>
  <c r="Q576" i="1"/>
  <c r="W575" i="1"/>
  <c r="V575" i="1"/>
  <c r="U575" i="1"/>
  <c r="T575" i="1"/>
  <c r="S575" i="1"/>
  <c r="R575" i="1"/>
  <c r="Q575" i="1"/>
  <c r="W574" i="1"/>
  <c r="V574" i="1"/>
  <c r="U574" i="1"/>
  <c r="T574" i="1"/>
  <c r="S574" i="1"/>
  <c r="R574" i="1"/>
  <c r="Q574" i="1"/>
  <c r="W573" i="1"/>
  <c r="V573" i="1"/>
  <c r="U573" i="1"/>
  <c r="T573" i="1"/>
  <c r="S573" i="1"/>
  <c r="R573" i="1"/>
  <c r="Q573" i="1"/>
  <c r="W572" i="1"/>
  <c r="V572" i="1"/>
  <c r="U572" i="1"/>
  <c r="T572" i="1"/>
  <c r="S572" i="1"/>
  <c r="R572" i="1"/>
  <c r="Q572" i="1"/>
  <c r="W571" i="1"/>
  <c r="V571" i="1"/>
  <c r="U571" i="1"/>
  <c r="T571" i="1"/>
  <c r="S571" i="1"/>
  <c r="R571" i="1"/>
  <c r="Q571" i="1"/>
  <c r="W570" i="1"/>
  <c r="V570" i="1"/>
  <c r="U570" i="1"/>
  <c r="T570" i="1"/>
  <c r="S570" i="1"/>
  <c r="R570" i="1"/>
  <c r="Q570" i="1"/>
  <c r="W569" i="1"/>
  <c r="V569" i="1"/>
  <c r="U569" i="1"/>
  <c r="T569" i="1"/>
  <c r="S569" i="1"/>
  <c r="R569" i="1"/>
  <c r="Q569" i="1"/>
  <c r="W568" i="1"/>
  <c r="V568" i="1"/>
  <c r="U568" i="1"/>
  <c r="T568" i="1"/>
  <c r="S568" i="1"/>
  <c r="R568" i="1"/>
  <c r="Q568" i="1"/>
  <c r="W567" i="1"/>
  <c r="V567" i="1"/>
  <c r="U567" i="1"/>
  <c r="T567" i="1"/>
  <c r="S567" i="1"/>
  <c r="R567" i="1"/>
  <c r="Q567" i="1"/>
  <c r="W566" i="1"/>
  <c r="V566" i="1"/>
  <c r="U566" i="1"/>
  <c r="T566" i="1"/>
  <c r="S566" i="1"/>
  <c r="R566" i="1"/>
  <c r="Q566" i="1"/>
  <c r="W565" i="1"/>
  <c r="V565" i="1"/>
  <c r="U565" i="1"/>
  <c r="T565" i="1"/>
  <c r="S565" i="1"/>
  <c r="R565" i="1"/>
  <c r="Q565" i="1"/>
  <c r="W564" i="1"/>
  <c r="V564" i="1"/>
  <c r="U564" i="1"/>
  <c r="T564" i="1"/>
  <c r="S564" i="1"/>
  <c r="R564" i="1"/>
  <c r="Q564" i="1"/>
  <c r="W563" i="1"/>
  <c r="V563" i="1"/>
  <c r="U563" i="1"/>
  <c r="T563" i="1"/>
  <c r="S563" i="1"/>
  <c r="R563" i="1"/>
  <c r="Q563" i="1"/>
  <c r="W562" i="1"/>
  <c r="V562" i="1"/>
  <c r="U562" i="1"/>
  <c r="T562" i="1"/>
  <c r="S562" i="1"/>
  <c r="R562" i="1"/>
  <c r="Q562" i="1"/>
  <c r="W561" i="1"/>
  <c r="V561" i="1"/>
  <c r="U561" i="1"/>
  <c r="T561" i="1"/>
  <c r="S561" i="1"/>
  <c r="R561" i="1"/>
  <c r="Q561" i="1"/>
  <c r="W560" i="1"/>
  <c r="V560" i="1"/>
  <c r="U560" i="1"/>
  <c r="T560" i="1"/>
  <c r="S560" i="1"/>
  <c r="R560" i="1"/>
  <c r="Q560" i="1"/>
  <c r="W559" i="1"/>
  <c r="V559" i="1"/>
  <c r="U559" i="1"/>
  <c r="T559" i="1"/>
  <c r="S559" i="1"/>
  <c r="R559" i="1"/>
  <c r="Q559" i="1"/>
  <c r="W558" i="1"/>
  <c r="V558" i="1"/>
  <c r="U558" i="1"/>
  <c r="T558" i="1"/>
  <c r="S558" i="1"/>
  <c r="R558" i="1"/>
  <c r="Q558" i="1"/>
  <c r="W557" i="1"/>
  <c r="V557" i="1"/>
  <c r="U557" i="1"/>
  <c r="T557" i="1"/>
  <c r="S557" i="1"/>
  <c r="R557" i="1"/>
  <c r="Q557" i="1"/>
  <c r="W556" i="1"/>
  <c r="V556" i="1"/>
  <c r="U556" i="1"/>
  <c r="T556" i="1"/>
  <c r="S556" i="1"/>
  <c r="R556" i="1"/>
  <c r="Q556" i="1"/>
  <c r="W555" i="1"/>
  <c r="V555" i="1"/>
  <c r="U555" i="1"/>
  <c r="T555" i="1"/>
  <c r="S555" i="1"/>
  <c r="R555" i="1"/>
  <c r="Q555" i="1"/>
  <c r="W554" i="1"/>
  <c r="V554" i="1"/>
  <c r="U554" i="1"/>
  <c r="T554" i="1"/>
  <c r="S554" i="1"/>
  <c r="R554" i="1"/>
  <c r="Q554" i="1"/>
  <c r="W553" i="1"/>
  <c r="V553" i="1"/>
  <c r="U553" i="1"/>
  <c r="T553" i="1"/>
  <c r="S553" i="1"/>
  <c r="R553" i="1"/>
  <c r="Q553" i="1"/>
  <c r="W552" i="1"/>
  <c r="V552" i="1"/>
  <c r="U552" i="1"/>
  <c r="T552" i="1"/>
  <c r="S552" i="1"/>
  <c r="R552" i="1"/>
  <c r="Q552" i="1"/>
  <c r="W551" i="1"/>
  <c r="V551" i="1"/>
  <c r="U551" i="1"/>
  <c r="T551" i="1"/>
  <c r="S551" i="1"/>
  <c r="R551" i="1"/>
  <c r="Q551" i="1"/>
  <c r="W550" i="1"/>
  <c r="V550" i="1"/>
  <c r="U550" i="1"/>
  <c r="T550" i="1"/>
  <c r="S550" i="1"/>
  <c r="R550" i="1"/>
  <c r="Q550" i="1"/>
  <c r="W549" i="1"/>
  <c r="V549" i="1"/>
  <c r="U549" i="1"/>
  <c r="T549" i="1"/>
  <c r="S549" i="1"/>
  <c r="R549" i="1"/>
  <c r="Q549" i="1"/>
  <c r="W548" i="1"/>
  <c r="V548" i="1"/>
  <c r="U548" i="1"/>
  <c r="T548" i="1"/>
  <c r="S548" i="1"/>
  <c r="R548" i="1"/>
  <c r="Q548" i="1"/>
  <c r="W547" i="1"/>
  <c r="V547" i="1"/>
  <c r="U547" i="1"/>
  <c r="T547" i="1"/>
  <c r="S547" i="1"/>
  <c r="R547" i="1"/>
  <c r="Q547" i="1"/>
  <c r="W546" i="1"/>
  <c r="V546" i="1"/>
  <c r="U546" i="1"/>
  <c r="T546" i="1"/>
  <c r="S546" i="1"/>
  <c r="R546" i="1"/>
  <c r="Q546" i="1"/>
  <c r="W545" i="1"/>
  <c r="V545" i="1"/>
  <c r="U545" i="1"/>
  <c r="T545" i="1"/>
  <c r="S545" i="1"/>
  <c r="R545" i="1"/>
  <c r="Q545" i="1"/>
  <c r="W544" i="1"/>
  <c r="V544" i="1"/>
  <c r="U544" i="1"/>
  <c r="T544" i="1"/>
  <c r="S544" i="1"/>
  <c r="R544" i="1"/>
  <c r="Q544" i="1"/>
  <c r="W543" i="1"/>
  <c r="V543" i="1"/>
  <c r="U543" i="1"/>
  <c r="T543" i="1"/>
  <c r="S543" i="1"/>
  <c r="R543" i="1"/>
  <c r="Q543" i="1"/>
  <c r="W542" i="1"/>
  <c r="V542" i="1"/>
  <c r="U542" i="1"/>
  <c r="T542" i="1"/>
  <c r="S542" i="1"/>
  <c r="R542" i="1"/>
  <c r="Q542" i="1"/>
  <c r="W541" i="1"/>
  <c r="V541" i="1"/>
  <c r="U541" i="1"/>
  <c r="T541" i="1"/>
  <c r="S541" i="1"/>
  <c r="R541" i="1"/>
  <c r="Q541" i="1"/>
  <c r="W540" i="1"/>
  <c r="V540" i="1"/>
  <c r="U540" i="1"/>
  <c r="T540" i="1"/>
  <c r="S540" i="1"/>
  <c r="R540" i="1"/>
  <c r="Q540" i="1"/>
  <c r="W539" i="1"/>
  <c r="V539" i="1"/>
  <c r="U539" i="1"/>
  <c r="T539" i="1"/>
  <c r="S539" i="1"/>
  <c r="R539" i="1"/>
  <c r="Q539" i="1"/>
  <c r="W538" i="1"/>
  <c r="V538" i="1"/>
  <c r="U538" i="1"/>
  <c r="T538" i="1"/>
  <c r="S538" i="1"/>
  <c r="R538" i="1"/>
  <c r="Q538" i="1"/>
  <c r="W537" i="1"/>
  <c r="V537" i="1"/>
  <c r="U537" i="1"/>
  <c r="T537" i="1"/>
  <c r="S537" i="1"/>
  <c r="R537" i="1"/>
  <c r="Q537" i="1"/>
  <c r="W536" i="1"/>
  <c r="V536" i="1"/>
  <c r="U536" i="1"/>
  <c r="T536" i="1"/>
  <c r="S536" i="1"/>
  <c r="R536" i="1"/>
  <c r="Q536" i="1"/>
  <c r="W535" i="1"/>
  <c r="V535" i="1"/>
  <c r="U535" i="1"/>
  <c r="T535" i="1"/>
  <c r="S535" i="1"/>
  <c r="R535" i="1"/>
  <c r="Q535" i="1"/>
  <c r="W534" i="1"/>
  <c r="V534" i="1"/>
  <c r="U534" i="1"/>
  <c r="T534" i="1"/>
  <c r="S534" i="1"/>
  <c r="R534" i="1"/>
  <c r="Q534" i="1"/>
  <c r="W533" i="1"/>
  <c r="V533" i="1"/>
  <c r="U533" i="1"/>
  <c r="T533" i="1"/>
  <c r="S533" i="1"/>
  <c r="R533" i="1"/>
  <c r="Q533" i="1"/>
  <c r="W532" i="1"/>
  <c r="V532" i="1"/>
  <c r="U532" i="1"/>
  <c r="T532" i="1"/>
  <c r="S532" i="1"/>
  <c r="R532" i="1"/>
  <c r="Q532" i="1"/>
  <c r="W531" i="1"/>
  <c r="V531" i="1"/>
  <c r="U531" i="1"/>
  <c r="T531" i="1"/>
  <c r="S531" i="1"/>
  <c r="R531" i="1"/>
  <c r="Q531" i="1"/>
  <c r="W530" i="1"/>
  <c r="V530" i="1"/>
  <c r="U530" i="1"/>
  <c r="T530" i="1"/>
  <c r="S530" i="1"/>
  <c r="R530" i="1"/>
  <c r="Q530" i="1"/>
  <c r="W529" i="1"/>
  <c r="V529" i="1"/>
  <c r="U529" i="1"/>
  <c r="T529" i="1"/>
  <c r="S529" i="1"/>
  <c r="R529" i="1"/>
  <c r="Q529" i="1"/>
  <c r="W528" i="1"/>
  <c r="V528" i="1"/>
  <c r="U528" i="1"/>
  <c r="T528" i="1"/>
  <c r="S528" i="1"/>
  <c r="R528" i="1"/>
  <c r="Q528" i="1"/>
  <c r="W527" i="1"/>
  <c r="V527" i="1"/>
  <c r="U527" i="1"/>
  <c r="T527" i="1"/>
  <c r="S527" i="1"/>
  <c r="R527" i="1"/>
  <c r="Q527" i="1"/>
  <c r="W526" i="1"/>
  <c r="V526" i="1"/>
  <c r="U526" i="1"/>
  <c r="T526" i="1"/>
  <c r="S526" i="1"/>
  <c r="R526" i="1"/>
  <c r="Q526" i="1"/>
  <c r="W525" i="1"/>
  <c r="V525" i="1"/>
  <c r="U525" i="1"/>
  <c r="T525" i="1"/>
  <c r="S525" i="1"/>
  <c r="R525" i="1"/>
  <c r="Q525" i="1"/>
  <c r="W524" i="1"/>
  <c r="V524" i="1"/>
  <c r="U524" i="1"/>
  <c r="T524" i="1"/>
  <c r="S524" i="1"/>
  <c r="R524" i="1"/>
  <c r="Q524" i="1"/>
  <c r="W523" i="1"/>
  <c r="V523" i="1"/>
  <c r="U523" i="1"/>
  <c r="T523" i="1"/>
  <c r="S523" i="1"/>
  <c r="R523" i="1"/>
  <c r="Q523" i="1"/>
  <c r="W522" i="1"/>
  <c r="V522" i="1"/>
  <c r="U522" i="1"/>
  <c r="T522" i="1"/>
  <c r="S522" i="1"/>
  <c r="R522" i="1"/>
  <c r="Q522" i="1"/>
  <c r="W521" i="1"/>
  <c r="V521" i="1"/>
  <c r="U521" i="1"/>
  <c r="T521" i="1"/>
  <c r="S521" i="1"/>
  <c r="R521" i="1"/>
  <c r="Q521" i="1"/>
  <c r="W520" i="1"/>
  <c r="V520" i="1"/>
  <c r="U520" i="1"/>
  <c r="T520" i="1"/>
  <c r="S520" i="1"/>
  <c r="R520" i="1"/>
  <c r="Q520" i="1"/>
  <c r="W519" i="1"/>
  <c r="V519" i="1"/>
  <c r="U519" i="1"/>
  <c r="T519" i="1"/>
  <c r="S519" i="1"/>
  <c r="R519" i="1"/>
  <c r="Q519" i="1"/>
  <c r="W518" i="1"/>
  <c r="V518" i="1"/>
  <c r="U518" i="1"/>
  <c r="T518" i="1"/>
  <c r="S518" i="1"/>
  <c r="R518" i="1"/>
  <c r="Q518" i="1"/>
  <c r="W517" i="1"/>
  <c r="V517" i="1"/>
  <c r="U517" i="1"/>
  <c r="T517" i="1"/>
  <c r="S517" i="1"/>
  <c r="R517" i="1"/>
  <c r="Q517" i="1"/>
  <c r="W516" i="1"/>
  <c r="V516" i="1"/>
  <c r="U516" i="1"/>
  <c r="T516" i="1"/>
  <c r="S516" i="1"/>
  <c r="R516" i="1"/>
  <c r="Q516" i="1"/>
  <c r="W515" i="1"/>
  <c r="V515" i="1"/>
  <c r="U515" i="1"/>
  <c r="T515" i="1"/>
  <c r="S515" i="1"/>
  <c r="R515" i="1"/>
  <c r="Q515" i="1"/>
  <c r="W514" i="1"/>
  <c r="V514" i="1"/>
  <c r="U514" i="1"/>
  <c r="T514" i="1"/>
  <c r="S514" i="1"/>
  <c r="R514" i="1"/>
  <c r="Q514" i="1"/>
  <c r="W513" i="1"/>
  <c r="V513" i="1"/>
  <c r="U513" i="1"/>
  <c r="T513" i="1"/>
  <c r="S513" i="1"/>
  <c r="R513" i="1"/>
  <c r="Q513" i="1"/>
  <c r="W512" i="1"/>
  <c r="V512" i="1"/>
  <c r="U512" i="1"/>
  <c r="T512" i="1"/>
  <c r="S512" i="1"/>
  <c r="R512" i="1"/>
  <c r="Q512" i="1"/>
  <c r="W511" i="1"/>
  <c r="V511" i="1"/>
  <c r="U511" i="1"/>
  <c r="T511" i="1"/>
  <c r="S511" i="1"/>
  <c r="R511" i="1"/>
  <c r="Q511" i="1"/>
  <c r="W510" i="1"/>
  <c r="V510" i="1"/>
  <c r="U510" i="1"/>
  <c r="T510" i="1"/>
  <c r="S510" i="1"/>
  <c r="R510" i="1"/>
  <c r="Q510" i="1"/>
  <c r="W509" i="1"/>
  <c r="V509" i="1"/>
  <c r="U509" i="1"/>
  <c r="T509" i="1"/>
  <c r="S509" i="1"/>
  <c r="R509" i="1"/>
  <c r="Q509" i="1"/>
  <c r="W508" i="1"/>
  <c r="V508" i="1"/>
  <c r="U508" i="1"/>
  <c r="T508" i="1"/>
  <c r="S508" i="1"/>
  <c r="R508" i="1"/>
  <c r="Q508" i="1"/>
  <c r="W507" i="1"/>
  <c r="V507" i="1"/>
  <c r="U507" i="1"/>
  <c r="T507" i="1"/>
  <c r="S507" i="1"/>
  <c r="R507" i="1"/>
  <c r="Q507" i="1"/>
  <c r="W506" i="1"/>
  <c r="V506" i="1"/>
  <c r="U506" i="1"/>
  <c r="T506" i="1"/>
  <c r="S506" i="1"/>
  <c r="R506" i="1"/>
  <c r="Q506" i="1"/>
  <c r="W505" i="1"/>
  <c r="V505" i="1"/>
  <c r="U505" i="1"/>
  <c r="T505" i="1"/>
  <c r="S505" i="1"/>
  <c r="R505" i="1"/>
  <c r="Q505" i="1"/>
  <c r="W504" i="1"/>
  <c r="V504" i="1"/>
  <c r="U504" i="1"/>
  <c r="T504" i="1"/>
  <c r="S504" i="1"/>
  <c r="R504" i="1"/>
  <c r="Q504" i="1"/>
  <c r="W503" i="1"/>
  <c r="V503" i="1"/>
  <c r="U503" i="1"/>
  <c r="T503" i="1"/>
  <c r="S503" i="1"/>
  <c r="R503" i="1"/>
  <c r="Q503" i="1"/>
  <c r="W502" i="1"/>
  <c r="V502" i="1"/>
  <c r="U502" i="1"/>
  <c r="T502" i="1"/>
  <c r="S502" i="1"/>
  <c r="R502" i="1"/>
  <c r="Q502" i="1"/>
  <c r="W501" i="1"/>
  <c r="V501" i="1"/>
  <c r="U501" i="1"/>
  <c r="T501" i="1"/>
  <c r="S501" i="1"/>
  <c r="R501" i="1"/>
  <c r="Q501" i="1"/>
  <c r="W500" i="1"/>
  <c r="V500" i="1"/>
  <c r="U500" i="1"/>
  <c r="T500" i="1"/>
  <c r="S500" i="1"/>
  <c r="R500" i="1"/>
  <c r="Q500" i="1"/>
  <c r="W499" i="1"/>
  <c r="V499" i="1"/>
  <c r="U499" i="1"/>
  <c r="T499" i="1"/>
  <c r="S499" i="1"/>
  <c r="R499" i="1"/>
  <c r="Q499" i="1"/>
  <c r="W498" i="1"/>
  <c r="V498" i="1"/>
  <c r="U498" i="1"/>
  <c r="T498" i="1"/>
  <c r="S498" i="1"/>
  <c r="R498" i="1"/>
  <c r="Q498" i="1"/>
  <c r="W497" i="1"/>
  <c r="V497" i="1"/>
  <c r="U497" i="1"/>
  <c r="T497" i="1"/>
  <c r="S497" i="1"/>
  <c r="R497" i="1"/>
  <c r="Q497" i="1"/>
  <c r="W496" i="1"/>
  <c r="V496" i="1"/>
  <c r="U496" i="1"/>
  <c r="T496" i="1"/>
  <c r="S496" i="1"/>
  <c r="R496" i="1"/>
  <c r="Q496" i="1"/>
  <c r="W495" i="1"/>
  <c r="V495" i="1"/>
  <c r="U495" i="1"/>
  <c r="T495" i="1"/>
  <c r="S495" i="1"/>
  <c r="R495" i="1"/>
  <c r="Q495" i="1"/>
  <c r="W494" i="1"/>
  <c r="V494" i="1"/>
  <c r="U494" i="1"/>
  <c r="T494" i="1"/>
  <c r="S494" i="1"/>
  <c r="R494" i="1"/>
  <c r="Q494" i="1"/>
  <c r="W493" i="1"/>
  <c r="V493" i="1"/>
  <c r="U493" i="1"/>
  <c r="T493" i="1"/>
  <c r="S493" i="1"/>
  <c r="R493" i="1"/>
  <c r="Q493" i="1"/>
  <c r="W492" i="1"/>
  <c r="V492" i="1"/>
  <c r="U492" i="1"/>
  <c r="T492" i="1"/>
  <c r="S492" i="1"/>
  <c r="R492" i="1"/>
  <c r="Q492" i="1"/>
  <c r="W491" i="1"/>
  <c r="V491" i="1"/>
  <c r="U491" i="1"/>
  <c r="T491" i="1"/>
  <c r="S491" i="1"/>
  <c r="R491" i="1"/>
  <c r="Q491" i="1"/>
  <c r="W490" i="1"/>
  <c r="V490" i="1"/>
  <c r="U490" i="1"/>
  <c r="T490" i="1"/>
  <c r="S490" i="1"/>
  <c r="R490" i="1"/>
  <c r="Q490" i="1"/>
  <c r="W489" i="1"/>
  <c r="V489" i="1"/>
  <c r="U489" i="1"/>
  <c r="T489" i="1"/>
  <c r="S489" i="1"/>
  <c r="R489" i="1"/>
  <c r="Q489" i="1"/>
  <c r="W488" i="1"/>
  <c r="V488" i="1"/>
  <c r="U488" i="1"/>
  <c r="T488" i="1"/>
  <c r="S488" i="1"/>
  <c r="R488" i="1"/>
  <c r="Q488" i="1"/>
  <c r="W487" i="1"/>
  <c r="V487" i="1"/>
  <c r="U487" i="1"/>
  <c r="T487" i="1"/>
  <c r="S487" i="1"/>
  <c r="R487" i="1"/>
  <c r="Q487" i="1"/>
  <c r="W486" i="1"/>
  <c r="V486" i="1"/>
  <c r="U486" i="1"/>
  <c r="T486" i="1"/>
  <c r="S486" i="1"/>
  <c r="R486" i="1"/>
  <c r="Q486" i="1"/>
  <c r="W485" i="1"/>
  <c r="V485" i="1"/>
  <c r="U485" i="1"/>
  <c r="T485" i="1"/>
  <c r="S485" i="1"/>
  <c r="R485" i="1"/>
  <c r="Q485" i="1"/>
  <c r="W484" i="1"/>
  <c r="V484" i="1"/>
  <c r="U484" i="1"/>
  <c r="T484" i="1"/>
  <c r="S484" i="1"/>
  <c r="R484" i="1"/>
  <c r="Q484" i="1"/>
  <c r="W483" i="1"/>
  <c r="V483" i="1"/>
  <c r="U483" i="1"/>
  <c r="T483" i="1"/>
  <c r="S483" i="1"/>
  <c r="R483" i="1"/>
  <c r="Q483" i="1"/>
  <c r="W482" i="1"/>
  <c r="V482" i="1"/>
  <c r="U482" i="1"/>
  <c r="T482" i="1"/>
  <c r="S482" i="1"/>
  <c r="R482" i="1"/>
  <c r="Q482" i="1"/>
  <c r="W481" i="1"/>
  <c r="V481" i="1"/>
  <c r="U481" i="1"/>
  <c r="T481" i="1"/>
  <c r="S481" i="1"/>
  <c r="R481" i="1"/>
  <c r="Q481" i="1"/>
  <c r="W480" i="1"/>
  <c r="V480" i="1"/>
  <c r="U480" i="1"/>
  <c r="T480" i="1"/>
  <c r="S480" i="1"/>
  <c r="R480" i="1"/>
  <c r="Q480" i="1"/>
  <c r="W479" i="1"/>
  <c r="V479" i="1"/>
  <c r="U479" i="1"/>
  <c r="T479" i="1"/>
  <c r="S479" i="1"/>
  <c r="R479" i="1"/>
  <c r="Q479" i="1"/>
  <c r="W478" i="1"/>
  <c r="V478" i="1"/>
  <c r="U478" i="1"/>
  <c r="T478" i="1"/>
  <c r="S478" i="1"/>
  <c r="R478" i="1"/>
  <c r="Q478" i="1"/>
  <c r="W477" i="1"/>
  <c r="V477" i="1"/>
  <c r="U477" i="1"/>
  <c r="T477" i="1"/>
  <c r="S477" i="1"/>
  <c r="R477" i="1"/>
  <c r="Q477" i="1"/>
  <c r="W476" i="1"/>
  <c r="V476" i="1"/>
  <c r="U476" i="1"/>
  <c r="T476" i="1"/>
  <c r="S476" i="1"/>
  <c r="R476" i="1"/>
  <c r="Q476" i="1"/>
  <c r="W475" i="1"/>
  <c r="V475" i="1"/>
  <c r="U475" i="1"/>
  <c r="T475" i="1"/>
  <c r="S475" i="1"/>
  <c r="R475" i="1"/>
  <c r="Q475" i="1"/>
  <c r="W474" i="1"/>
  <c r="V474" i="1"/>
  <c r="U474" i="1"/>
  <c r="T474" i="1"/>
  <c r="S474" i="1"/>
  <c r="R474" i="1"/>
  <c r="Q474" i="1"/>
  <c r="W473" i="1"/>
  <c r="V473" i="1"/>
  <c r="U473" i="1"/>
  <c r="T473" i="1"/>
  <c r="S473" i="1"/>
  <c r="R473" i="1"/>
  <c r="Q473" i="1"/>
  <c r="W472" i="1"/>
  <c r="V472" i="1"/>
  <c r="U472" i="1"/>
  <c r="T472" i="1"/>
  <c r="S472" i="1"/>
  <c r="R472" i="1"/>
  <c r="Q472" i="1"/>
  <c r="W471" i="1"/>
  <c r="V471" i="1"/>
  <c r="U471" i="1"/>
  <c r="T471" i="1"/>
  <c r="S471" i="1"/>
  <c r="R471" i="1"/>
  <c r="Q471" i="1"/>
  <c r="W470" i="1"/>
  <c r="V470" i="1"/>
  <c r="U470" i="1"/>
  <c r="T470" i="1"/>
  <c r="S470" i="1"/>
  <c r="R470" i="1"/>
  <c r="Q470" i="1"/>
  <c r="W469" i="1"/>
  <c r="V469" i="1"/>
  <c r="U469" i="1"/>
  <c r="T469" i="1"/>
  <c r="S469" i="1"/>
  <c r="R469" i="1"/>
  <c r="Q469" i="1"/>
  <c r="W468" i="1"/>
  <c r="V468" i="1"/>
  <c r="U468" i="1"/>
  <c r="T468" i="1"/>
  <c r="S468" i="1"/>
  <c r="R468" i="1"/>
  <c r="Q468" i="1"/>
  <c r="W467" i="1"/>
  <c r="V467" i="1"/>
  <c r="U467" i="1"/>
  <c r="T467" i="1"/>
  <c r="S467" i="1"/>
  <c r="R467" i="1"/>
  <c r="Q467" i="1"/>
  <c r="W466" i="1"/>
  <c r="V466" i="1"/>
  <c r="U466" i="1"/>
  <c r="T466" i="1"/>
  <c r="S466" i="1"/>
  <c r="R466" i="1"/>
  <c r="Q466" i="1"/>
  <c r="W465" i="1"/>
  <c r="V465" i="1"/>
  <c r="U465" i="1"/>
  <c r="T465" i="1"/>
  <c r="S465" i="1"/>
  <c r="R465" i="1"/>
  <c r="Q465" i="1"/>
  <c r="W464" i="1"/>
  <c r="V464" i="1"/>
  <c r="U464" i="1"/>
  <c r="T464" i="1"/>
  <c r="S464" i="1"/>
  <c r="R464" i="1"/>
  <c r="Q464" i="1"/>
  <c r="W463" i="1"/>
  <c r="V463" i="1"/>
  <c r="U463" i="1"/>
  <c r="T463" i="1"/>
  <c r="S463" i="1"/>
  <c r="R463" i="1"/>
  <c r="Q463" i="1"/>
  <c r="W462" i="1"/>
  <c r="V462" i="1"/>
  <c r="U462" i="1"/>
  <c r="T462" i="1"/>
  <c r="S462" i="1"/>
  <c r="R462" i="1"/>
  <c r="Q462" i="1"/>
  <c r="W461" i="1"/>
  <c r="V461" i="1"/>
  <c r="U461" i="1"/>
  <c r="T461" i="1"/>
  <c r="S461" i="1"/>
  <c r="R461" i="1"/>
  <c r="Q461" i="1"/>
  <c r="W460" i="1"/>
  <c r="V460" i="1"/>
  <c r="U460" i="1"/>
  <c r="T460" i="1"/>
  <c r="S460" i="1"/>
  <c r="R460" i="1"/>
  <c r="Q460" i="1"/>
  <c r="W459" i="1"/>
  <c r="V459" i="1"/>
  <c r="U459" i="1"/>
  <c r="T459" i="1"/>
  <c r="S459" i="1"/>
  <c r="R459" i="1"/>
  <c r="Q459" i="1"/>
  <c r="W458" i="1"/>
  <c r="V458" i="1"/>
  <c r="U458" i="1"/>
  <c r="T458" i="1"/>
  <c r="S458" i="1"/>
  <c r="R458" i="1"/>
  <c r="Q458" i="1"/>
  <c r="W457" i="1"/>
  <c r="V457" i="1"/>
  <c r="U457" i="1"/>
  <c r="T457" i="1"/>
  <c r="S457" i="1"/>
  <c r="R457" i="1"/>
  <c r="Q457" i="1"/>
  <c r="W456" i="1"/>
  <c r="V456" i="1"/>
  <c r="U456" i="1"/>
  <c r="T456" i="1"/>
  <c r="S456" i="1"/>
  <c r="R456" i="1"/>
  <c r="Q456" i="1"/>
  <c r="W455" i="1"/>
  <c r="V455" i="1"/>
  <c r="U455" i="1"/>
  <c r="T455" i="1"/>
  <c r="S455" i="1"/>
  <c r="R455" i="1"/>
  <c r="Q455" i="1"/>
  <c r="W454" i="1"/>
  <c r="V454" i="1"/>
  <c r="U454" i="1"/>
  <c r="T454" i="1"/>
  <c r="S454" i="1"/>
  <c r="R454" i="1"/>
  <c r="Q454" i="1"/>
  <c r="W453" i="1"/>
  <c r="V453" i="1"/>
  <c r="U453" i="1"/>
  <c r="T453" i="1"/>
  <c r="S453" i="1"/>
  <c r="R453" i="1"/>
  <c r="Q453" i="1"/>
  <c r="W452" i="1"/>
  <c r="V452" i="1"/>
  <c r="U452" i="1"/>
  <c r="T452" i="1"/>
  <c r="S452" i="1"/>
  <c r="R452" i="1"/>
  <c r="Q452" i="1"/>
  <c r="W451" i="1"/>
  <c r="V451" i="1"/>
  <c r="U451" i="1"/>
  <c r="T451" i="1"/>
  <c r="S451" i="1"/>
  <c r="R451" i="1"/>
  <c r="Q451" i="1"/>
  <c r="W450" i="1"/>
  <c r="V450" i="1"/>
  <c r="U450" i="1"/>
  <c r="T450" i="1"/>
  <c r="S450" i="1"/>
  <c r="R450" i="1"/>
  <c r="Q450" i="1"/>
  <c r="W449" i="1"/>
  <c r="V449" i="1"/>
  <c r="U449" i="1"/>
  <c r="T449" i="1"/>
  <c r="S449" i="1"/>
  <c r="R449" i="1"/>
  <c r="Q449" i="1"/>
  <c r="W448" i="1"/>
  <c r="V448" i="1"/>
  <c r="U448" i="1"/>
  <c r="T448" i="1"/>
  <c r="S448" i="1"/>
  <c r="R448" i="1"/>
  <c r="Q448" i="1"/>
  <c r="W447" i="1"/>
  <c r="V447" i="1"/>
  <c r="U447" i="1"/>
  <c r="T447" i="1"/>
  <c r="S447" i="1"/>
  <c r="R447" i="1"/>
  <c r="Q447" i="1"/>
  <c r="W446" i="1"/>
  <c r="V446" i="1"/>
  <c r="U446" i="1"/>
  <c r="T446" i="1"/>
  <c r="S446" i="1"/>
  <c r="R446" i="1"/>
  <c r="Q446" i="1"/>
  <c r="W445" i="1"/>
  <c r="V445" i="1"/>
  <c r="U445" i="1"/>
  <c r="T445" i="1"/>
  <c r="S445" i="1"/>
  <c r="R445" i="1"/>
  <c r="Q445" i="1"/>
  <c r="W444" i="1"/>
  <c r="V444" i="1"/>
  <c r="U444" i="1"/>
  <c r="T444" i="1"/>
  <c r="S444" i="1"/>
  <c r="R444" i="1"/>
  <c r="Q444" i="1"/>
  <c r="W443" i="1"/>
  <c r="V443" i="1"/>
  <c r="U443" i="1"/>
  <c r="T443" i="1"/>
  <c r="S443" i="1"/>
  <c r="R443" i="1"/>
  <c r="Q443" i="1"/>
  <c r="W442" i="1"/>
  <c r="V442" i="1"/>
  <c r="U442" i="1"/>
  <c r="T442" i="1"/>
  <c r="S442" i="1"/>
  <c r="R442" i="1"/>
  <c r="Q442" i="1"/>
  <c r="W441" i="1"/>
  <c r="V441" i="1"/>
  <c r="U441" i="1"/>
  <c r="T441" i="1"/>
  <c r="S441" i="1"/>
  <c r="R441" i="1"/>
  <c r="Q441" i="1"/>
  <c r="W440" i="1"/>
  <c r="V440" i="1"/>
  <c r="U440" i="1"/>
  <c r="T440" i="1"/>
  <c r="S440" i="1"/>
  <c r="R440" i="1"/>
  <c r="Q440" i="1"/>
  <c r="W439" i="1"/>
  <c r="V439" i="1"/>
  <c r="U439" i="1"/>
  <c r="T439" i="1"/>
  <c r="S439" i="1"/>
  <c r="R439" i="1"/>
  <c r="Q439" i="1"/>
  <c r="W438" i="1"/>
  <c r="V438" i="1"/>
  <c r="U438" i="1"/>
  <c r="T438" i="1"/>
  <c r="S438" i="1"/>
  <c r="R438" i="1"/>
  <c r="Q438" i="1"/>
  <c r="W437" i="1"/>
  <c r="V437" i="1"/>
  <c r="U437" i="1"/>
  <c r="T437" i="1"/>
  <c r="S437" i="1"/>
  <c r="R437" i="1"/>
  <c r="Q437" i="1"/>
  <c r="W436" i="1"/>
  <c r="V436" i="1"/>
  <c r="U436" i="1"/>
  <c r="T436" i="1"/>
  <c r="S436" i="1"/>
  <c r="R436" i="1"/>
  <c r="Q436" i="1"/>
  <c r="W435" i="1"/>
  <c r="V435" i="1"/>
  <c r="U435" i="1"/>
  <c r="T435" i="1"/>
  <c r="S435" i="1"/>
  <c r="R435" i="1"/>
  <c r="Q435" i="1"/>
  <c r="W434" i="1"/>
  <c r="V434" i="1"/>
  <c r="U434" i="1"/>
  <c r="T434" i="1"/>
  <c r="S434" i="1"/>
  <c r="R434" i="1"/>
  <c r="Q434" i="1"/>
  <c r="W433" i="1"/>
  <c r="V433" i="1"/>
  <c r="U433" i="1"/>
  <c r="T433" i="1"/>
  <c r="S433" i="1"/>
  <c r="R433" i="1"/>
  <c r="Q433" i="1"/>
  <c r="W432" i="1"/>
  <c r="V432" i="1"/>
  <c r="U432" i="1"/>
  <c r="T432" i="1"/>
  <c r="S432" i="1"/>
  <c r="R432" i="1"/>
  <c r="Q432" i="1"/>
  <c r="W431" i="1"/>
  <c r="V431" i="1"/>
  <c r="U431" i="1"/>
  <c r="T431" i="1"/>
  <c r="S431" i="1"/>
  <c r="R431" i="1"/>
  <c r="Q431" i="1"/>
  <c r="W430" i="1"/>
  <c r="V430" i="1"/>
  <c r="U430" i="1"/>
  <c r="T430" i="1"/>
  <c r="S430" i="1"/>
  <c r="R430" i="1"/>
  <c r="Q430" i="1"/>
  <c r="W429" i="1"/>
  <c r="V429" i="1"/>
  <c r="U429" i="1"/>
  <c r="T429" i="1"/>
  <c r="S429" i="1"/>
  <c r="R429" i="1"/>
  <c r="Q429" i="1"/>
  <c r="W428" i="1"/>
  <c r="V428" i="1"/>
  <c r="U428" i="1"/>
  <c r="T428" i="1"/>
  <c r="S428" i="1"/>
  <c r="R428" i="1"/>
  <c r="Q428" i="1"/>
  <c r="W427" i="1"/>
  <c r="V427" i="1"/>
  <c r="U427" i="1"/>
  <c r="T427" i="1"/>
  <c r="S427" i="1"/>
  <c r="R427" i="1"/>
  <c r="Q427" i="1"/>
  <c r="W426" i="1"/>
  <c r="V426" i="1"/>
  <c r="U426" i="1"/>
  <c r="T426" i="1"/>
  <c r="S426" i="1"/>
  <c r="R426" i="1"/>
  <c r="Q426" i="1"/>
  <c r="W425" i="1"/>
  <c r="V425" i="1"/>
  <c r="U425" i="1"/>
  <c r="T425" i="1"/>
  <c r="S425" i="1"/>
  <c r="R425" i="1"/>
  <c r="Q425" i="1"/>
  <c r="W424" i="1"/>
  <c r="V424" i="1"/>
  <c r="U424" i="1"/>
  <c r="T424" i="1"/>
  <c r="S424" i="1"/>
  <c r="R424" i="1"/>
  <c r="Q424" i="1"/>
  <c r="W423" i="1"/>
  <c r="V423" i="1"/>
  <c r="U423" i="1"/>
  <c r="T423" i="1"/>
  <c r="S423" i="1"/>
  <c r="R423" i="1"/>
  <c r="Q423" i="1"/>
  <c r="W422" i="1"/>
  <c r="V422" i="1"/>
  <c r="U422" i="1"/>
  <c r="T422" i="1"/>
  <c r="S422" i="1"/>
  <c r="R422" i="1"/>
  <c r="Q422" i="1"/>
  <c r="W421" i="1"/>
  <c r="V421" i="1"/>
  <c r="U421" i="1"/>
  <c r="T421" i="1"/>
  <c r="S421" i="1"/>
  <c r="R421" i="1"/>
  <c r="Q421" i="1"/>
  <c r="W420" i="1"/>
  <c r="V420" i="1"/>
  <c r="U420" i="1"/>
  <c r="T420" i="1"/>
  <c r="S420" i="1"/>
  <c r="R420" i="1"/>
  <c r="Q420" i="1"/>
  <c r="W419" i="1"/>
  <c r="V419" i="1"/>
  <c r="U419" i="1"/>
  <c r="T419" i="1"/>
  <c r="S419" i="1"/>
  <c r="R419" i="1"/>
  <c r="Q419" i="1"/>
  <c r="W418" i="1"/>
  <c r="V418" i="1"/>
  <c r="U418" i="1"/>
  <c r="T418" i="1"/>
  <c r="S418" i="1"/>
  <c r="R418" i="1"/>
  <c r="Q418" i="1"/>
  <c r="W417" i="1"/>
  <c r="V417" i="1"/>
  <c r="U417" i="1"/>
  <c r="T417" i="1"/>
  <c r="S417" i="1"/>
  <c r="R417" i="1"/>
  <c r="Q417" i="1"/>
  <c r="W416" i="1"/>
  <c r="V416" i="1"/>
  <c r="U416" i="1"/>
  <c r="T416" i="1"/>
  <c r="S416" i="1"/>
  <c r="R416" i="1"/>
  <c r="Q416" i="1"/>
  <c r="W415" i="1"/>
  <c r="V415" i="1"/>
  <c r="U415" i="1"/>
  <c r="T415" i="1"/>
  <c r="S415" i="1"/>
  <c r="R415" i="1"/>
  <c r="Q415" i="1"/>
  <c r="W414" i="1"/>
  <c r="V414" i="1"/>
  <c r="U414" i="1"/>
  <c r="T414" i="1"/>
  <c r="S414" i="1"/>
  <c r="R414" i="1"/>
  <c r="Q414" i="1"/>
  <c r="W413" i="1"/>
  <c r="V413" i="1"/>
  <c r="U413" i="1"/>
  <c r="T413" i="1"/>
  <c r="S413" i="1"/>
  <c r="R413" i="1"/>
  <c r="Q413" i="1"/>
  <c r="W412" i="1"/>
  <c r="V412" i="1"/>
  <c r="U412" i="1"/>
  <c r="T412" i="1"/>
  <c r="S412" i="1"/>
  <c r="R412" i="1"/>
  <c r="Q412" i="1"/>
  <c r="W411" i="1"/>
  <c r="V411" i="1"/>
  <c r="U411" i="1"/>
  <c r="T411" i="1"/>
  <c r="S411" i="1"/>
  <c r="R411" i="1"/>
  <c r="Q411" i="1"/>
  <c r="W410" i="1"/>
  <c r="V410" i="1"/>
  <c r="U410" i="1"/>
  <c r="T410" i="1"/>
  <c r="S410" i="1"/>
  <c r="R410" i="1"/>
  <c r="Q410" i="1"/>
  <c r="W409" i="1"/>
  <c r="V409" i="1"/>
  <c r="U409" i="1"/>
  <c r="T409" i="1"/>
  <c r="S409" i="1"/>
  <c r="R409" i="1"/>
  <c r="Q409" i="1"/>
  <c r="W408" i="1"/>
  <c r="V408" i="1"/>
  <c r="U408" i="1"/>
  <c r="T408" i="1"/>
  <c r="S408" i="1"/>
  <c r="R408" i="1"/>
  <c r="Q408" i="1"/>
  <c r="W407" i="1"/>
  <c r="V407" i="1"/>
  <c r="U407" i="1"/>
  <c r="T407" i="1"/>
  <c r="S407" i="1"/>
  <c r="R407" i="1"/>
  <c r="Q407" i="1"/>
  <c r="W406" i="1"/>
  <c r="V406" i="1"/>
  <c r="U406" i="1"/>
  <c r="T406" i="1"/>
  <c r="S406" i="1"/>
  <c r="R406" i="1"/>
  <c r="Q406" i="1"/>
  <c r="W405" i="1"/>
  <c r="V405" i="1"/>
  <c r="U405" i="1"/>
  <c r="T405" i="1"/>
  <c r="S405" i="1"/>
  <c r="R405" i="1"/>
  <c r="Q405" i="1"/>
  <c r="W404" i="1"/>
  <c r="V404" i="1"/>
  <c r="U404" i="1"/>
  <c r="T404" i="1"/>
  <c r="S404" i="1"/>
  <c r="R404" i="1"/>
  <c r="Q404" i="1"/>
  <c r="W403" i="1"/>
  <c r="V403" i="1"/>
  <c r="U403" i="1"/>
  <c r="T403" i="1"/>
  <c r="S403" i="1"/>
  <c r="R403" i="1"/>
  <c r="Q403" i="1"/>
  <c r="W402" i="1"/>
  <c r="V402" i="1"/>
  <c r="U402" i="1"/>
  <c r="T402" i="1"/>
  <c r="S402" i="1"/>
  <c r="R402" i="1"/>
  <c r="Q402" i="1"/>
  <c r="W401" i="1"/>
  <c r="V401" i="1"/>
  <c r="U401" i="1"/>
  <c r="T401" i="1"/>
  <c r="S401" i="1"/>
  <c r="R401" i="1"/>
  <c r="Q401" i="1"/>
  <c r="W400" i="1"/>
  <c r="V400" i="1"/>
  <c r="U400" i="1"/>
  <c r="T400" i="1"/>
  <c r="S400" i="1"/>
  <c r="R400" i="1"/>
  <c r="Q400" i="1"/>
  <c r="W399" i="1"/>
  <c r="V399" i="1"/>
  <c r="U399" i="1"/>
  <c r="T399" i="1"/>
  <c r="S399" i="1"/>
  <c r="R399" i="1"/>
  <c r="Q399" i="1"/>
  <c r="W398" i="1"/>
  <c r="V398" i="1"/>
  <c r="U398" i="1"/>
  <c r="T398" i="1"/>
  <c r="S398" i="1"/>
  <c r="R398" i="1"/>
  <c r="Q398" i="1"/>
  <c r="W397" i="1"/>
  <c r="V397" i="1"/>
  <c r="U397" i="1"/>
  <c r="T397" i="1"/>
  <c r="S397" i="1"/>
  <c r="R397" i="1"/>
  <c r="Q397" i="1"/>
  <c r="W396" i="1"/>
  <c r="V396" i="1"/>
  <c r="U396" i="1"/>
  <c r="T396" i="1"/>
  <c r="S396" i="1"/>
  <c r="R396" i="1"/>
  <c r="Q396" i="1"/>
  <c r="W395" i="1"/>
  <c r="V395" i="1"/>
  <c r="U395" i="1"/>
  <c r="T395" i="1"/>
  <c r="S395" i="1"/>
  <c r="R395" i="1"/>
  <c r="Q395" i="1"/>
  <c r="W394" i="1"/>
  <c r="V394" i="1"/>
  <c r="U394" i="1"/>
  <c r="T394" i="1"/>
  <c r="S394" i="1"/>
  <c r="R394" i="1"/>
  <c r="Q394" i="1"/>
  <c r="W393" i="1"/>
  <c r="V393" i="1"/>
  <c r="U393" i="1"/>
  <c r="T393" i="1"/>
  <c r="S393" i="1"/>
  <c r="R393" i="1"/>
  <c r="Q393" i="1"/>
  <c r="W392" i="1"/>
  <c r="V392" i="1"/>
  <c r="U392" i="1"/>
  <c r="T392" i="1"/>
  <c r="S392" i="1"/>
  <c r="R392" i="1"/>
  <c r="Q392" i="1"/>
  <c r="W391" i="1"/>
  <c r="V391" i="1"/>
  <c r="U391" i="1"/>
  <c r="T391" i="1"/>
  <c r="S391" i="1"/>
  <c r="R391" i="1"/>
  <c r="Q391" i="1"/>
  <c r="W390" i="1"/>
  <c r="V390" i="1"/>
  <c r="U390" i="1"/>
  <c r="T390" i="1"/>
  <c r="S390" i="1"/>
  <c r="R390" i="1"/>
  <c r="Q390" i="1"/>
  <c r="W389" i="1"/>
  <c r="V389" i="1"/>
  <c r="U389" i="1"/>
  <c r="T389" i="1"/>
  <c r="S389" i="1"/>
  <c r="R389" i="1"/>
  <c r="Q389" i="1"/>
  <c r="W388" i="1"/>
  <c r="V388" i="1"/>
  <c r="U388" i="1"/>
  <c r="T388" i="1"/>
  <c r="S388" i="1"/>
  <c r="R388" i="1"/>
  <c r="Q388" i="1"/>
  <c r="W387" i="1"/>
  <c r="V387" i="1"/>
  <c r="U387" i="1"/>
  <c r="T387" i="1"/>
  <c r="S387" i="1"/>
  <c r="R387" i="1"/>
  <c r="Q387" i="1"/>
  <c r="W386" i="1"/>
  <c r="V386" i="1"/>
  <c r="U386" i="1"/>
  <c r="T386" i="1"/>
  <c r="S386" i="1"/>
  <c r="R386" i="1"/>
  <c r="Q386" i="1"/>
  <c r="W385" i="1"/>
  <c r="V385" i="1"/>
  <c r="U385" i="1"/>
  <c r="T385" i="1"/>
  <c r="S385" i="1"/>
  <c r="R385" i="1"/>
  <c r="Q385" i="1"/>
  <c r="W384" i="1"/>
  <c r="V384" i="1"/>
  <c r="U384" i="1"/>
  <c r="T384" i="1"/>
  <c r="S384" i="1"/>
  <c r="R384" i="1"/>
  <c r="Q384" i="1"/>
  <c r="W383" i="1"/>
  <c r="V383" i="1"/>
  <c r="U383" i="1"/>
  <c r="T383" i="1"/>
  <c r="S383" i="1"/>
  <c r="R383" i="1"/>
  <c r="Q383" i="1"/>
  <c r="W382" i="1"/>
  <c r="V382" i="1"/>
  <c r="U382" i="1"/>
  <c r="T382" i="1"/>
  <c r="S382" i="1"/>
  <c r="R382" i="1"/>
  <c r="Q382" i="1"/>
  <c r="W381" i="1"/>
  <c r="V381" i="1"/>
  <c r="U381" i="1"/>
  <c r="T381" i="1"/>
  <c r="S381" i="1"/>
  <c r="R381" i="1"/>
  <c r="Q381" i="1"/>
  <c r="W380" i="1"/>
  <c r="V380" i="1"/>
  <c r="U380" i="1"/>
  <c r="T380" i="1"/>
  <c r="S380" i="1"/>
  <c r="R380" i="1"/>
  <c r="Q380" i="1"/>
  <c r="W379" i="1"/>
  <c r="V379" i="1"/>
  <c r="U379" i="1"/>
  <c r="T379" i="1"/>
  <c r="S379" i="1"/>
  <c r="R379" i="1"/>
  <c r="Q379" i="1"/>
  <c r="W378" i="1"/>
  <c r="V378" i="1"/>
  <c r="U378" i="1"/>
  <c r="T378" i="1"/>
  <c r="S378" i="1"/>
  <c r="R378" i="1"/>
  <c r="Q378" i="1"/>
  <c r="W377" i="1"/>
  <c r="V377" i="1"/>
  <c r="U377" i="1"/>
  <c r="T377" i="1"/>
  <c r="S377" i="1"/>
  <c r="R377" i="1"/>
  <c r="Q377" i="1"/>
  <c r="W376" i="1"/>
  <c r="V376" i="1"/>
  <c r="U376" i="1"/>
  <c r="T376" i="1"/>
  <c r="S376" i="1"/>
  <c r="R376" i="1"/>
  <c r="Q376" i="1"/>
  <c r="W375" i="1"/>
  <c r="V375" i="1"/>
  <c r="U375" i="1"/>
  <c r="T375" i="1"/>
  <c r="S375" i="1"/>
  <c r="R375" i="1"/>
  <c r="Q375" i="1"/>
  <c r="W374" i="1"/>
  <c r="V374" i="1"/>
  <c r="U374" i="1"/>
  <c r="T374" i="1"/>
  <c r="S374" i="1"/>
  <c r="R374" i="1"/>
  <c r="Q374" i="1"/>
  <c r="W373" i="1"/>
  <c r="V373" i="1"/>
  <c r="U373" i="1"/>
  <c r="T373" i="1"/>
  <c r="S373" i="1"/>
  <c r="R373" i="1"/>
  <c r="Q373" i="1"/>
  <c r="W372" i="1"/>
  <c r="V372" i="1"/>
  <c r="U372" i="1"/>
  <c r="T372" i="1"/>
  <c r="S372" i="1"/>
  <c r="R372" i="1"/>
  <c r="Q372" i="1"/>
  <c r="W371" i="1"/>
  <c r="V371" i="1"/>
  <c r="U371" i="1"/>
  <c r="T371" i="1"/>
  <c r="S371" i="1"/>
  <c r="R371" i="1"/>
  <c r="Q371" i="1"/>
  <c r="W370" i="1"/>
  <c r="V370" i="1"/>
  <c r="U370" i="1"/>
  <c r="T370" i="1"/>
  <c r="S370" i="1"/>
  <c r="R370" i="1"/>
  <c r="Q370" i="1"/>
  <c r="W369" i="1"/>
  <c r="V369" i="1"/>
  <c r="U369" i="1"/>
  <c r="T369" i="1"/>
  <c r="S369" i="1"/>
  <c r="R369" i="1"/>
  <c r="Q369" i="1"/>
  <c r="W368" i="1"/>
  <c r="V368" i="1"/>
  <c r="U368" i="1"/>
  <c r="T368" i="1"/>
  <c r="S368" i="1"/>
  <c r="R368" i="1"/>
  <c r="Q368" i="1"/>
  <c r="W367" i="1"/>
  <c r="V367" i="1"/>
  <c r="U367" i="1"/>
  <c r="T367" i="1"/>
  <c r="S367" i="1"/>
  <c r="R367" i="1"/>
  <c r="Q367" i="1"/>
  <c r="W366" i="1"/>
  <c r="V366" i="1"/>
  <c r="U366" i="1"/>
  <c r="T366" i="1"/>
  <c r="S366" i="1"/>
  <c r="R366" i="1"/>
  <c r="Q366" i="1"/>
  <c r="W365" i="1"/>
  <c r="V365" i="1"/>
  <c r="U365" i="1"/>
  <c r="T365" i="1"/>
  <c r="S365" i="1"/>
  <c r="R365" i="1"/>
  <c r="Q365" i="1"/>
  <c r="W364" i="1"/>
  <c r="V364" i="1"/>
  <c r="U364" i="1"/>
  <c r="T364" i="1"/>
  <c r="S364" i="1"/>
  <c r="R364" i="1"/>
  <c r="Q364" i="1"/>
  <c r="W363" i="1"/>
  <c r="V363" i="1"/>
  <c r="U363" i="1"/>
  <c r="T363" i="1"/>
  <c r="S363" i="1"/>
  <c r="R363" i="1"/>
  <c r="Q363" i="1"/>
  <c r="W362" i="1"/>
  <c r="V362" i="1"/>
  <c r="U362" i="1"/>
  <c r="T362" i="1"/>
  <c r="S362" i="1"/>
  <c r="R362" i="1"/>
  <c r="Q362" i="1"/>
  <c r="W361" i="1"/>
  <c r="V361" i="1"/>
  <c r="U361" i="1"/>
  <c r="T361" i="1"/>
  <c r="S361" i="1"/>
  <c r="R361" i="1"/>
  <c r="Q361" i="1"/>
  <c r="W360" i="1"/>
  <c r="V360" i="1"/>
  <c r="U360" i="1"/>
  <c r="T360" i="1"/>
  <c r="S360" i="1"/>
  <c r="R360" i="1"/>
  <c r="Q360" i="1"/>
  <c r="W359" i="1"/>
  <c r="V359" i="1"/>
  <c r="U359" i="1"/>
  <c r="T359" i="1"/>
  <c r="S359" i="1"/>
  <c r="R359" i="1"/>
  <c r="Q359" i="1"/>
  <c r="W358" i="1"/>
  <c r="V358" i="1"/>
  <c r="U358" i="1"/>
  <c r="T358" i="1"/>
  <c r="S358" i="1"/>
  <c r="R358" i="1"/>
  <c r="Q358" i="1"/>
  <c r="W357" i="1"/>
  <c r="V357" i="1"/>
  <c r="U357" i="1"/>
  <c r="T357" i="1"/>
  <c r="S357" i="1"/>
  <c r="R357" i="1"/>
  <c r="Q357" i="1"/>
  <c r="W356" i="1"/>
  <c r="V356" i="1"/>
  <c r="U356" i="1"/>
  <c r="T356" i="1"/>
  <c r="S356" i="1"/>
  <c r="R356" i="1"/>
  <c r="Q356" i="1"/>
  <c r="W355" i="1"/>
  <c r="V355" i="1"/>
  <c r="U355" i="1"/>
  <c r="T355" i="1"/>
  <c r="S355" i="1"/>
  <c r="R355" i="1"/>
  <c r="Q355" i="1"/>
  <c r="W354" i="1"/>
  <c r="V354" i="1"/>
  <c r="U354" i="1"/>
  <c r="T354" i="1"/>
  <c r="S354" i="1"/>
  <c r="R354" i="1"/>
  <c r="Q354" i="1"/>
  <c r="W353" i="1"/>
  <c r="V353" i="1"/>
  <c r="U353" i="1"/>
  <c r="T353" i="1"/>
  <c r="S353" i="1"/>
  <c r="R353" i="1"/>
  <c r="Q353" i="1"/>
  <c r="W352" i="1"/>
  <c r="V352" i="1"/>
  <c r="U352" i="1"/>
  <c r="T352" i="1"/>
  <c r="S352" i="1"/>
  <c r="R352" i="1"/>
  <c r="Q352" i="1"/>
  <c r="W351" i="1"/>
  <c r="V351" i="1"/>
  <c r="U351" i="1"/>
  <c r="T351" i="1"/>
  <c r="S351" i="1"/>
  <c r="R351" i="1"/>
  <c r="Q351" i="1"/>
  <c r="W350" i="1"/>
  <c r="V350" i="1"/>
  <c r="U350" i="1"/>
  <c r="T350" i="1"/>
  <c r="S350" i="1"/>
  <c r="R350" i="1"/>
  <c r="Q350" i="1"/>
  <c r="W349" i="1"/>
  <c r="V349" i="1"/>
  <c r="U349" i="1"/>
  <c r="T349" i="1"/>
  <c r="S349" i="1"/>
  <c r="R349" i="1"/>
  <c r="Q349" i="1"/>
  <c r="W348" i="1"/>
  <c r="V348" i="1"/>
  <c r="U348" i="1"/>
  <c r="T348" i="1"/>
  <c r="S348" i="1"/>
  <c r="R348" i="1"/>
  <c r="Q348" i="1"/>
  <c r="W347" i="1"/>
  <c r="V347" i="1"/>
  <c r="U347" i="1"/>
  <c r="T347" i="1"/>
  <c r="S347" i="1"/>
  <c r="R347" i="1"/>
  <c r="Q347" i="1"/>
  <c r="W346" i="1"/>
  <c r="V346" i="1"/>
  <c r="U346" i="1"/>
  <c r="T346" i="1"/>
  <c r="S346" i="1"/>
  <c r="R346" i="1"/>
  <c r="Q346" i="1"/>
  <c r="W345" i="1"/>
  <c r="V345" i="1"/>
  <c r="U345" i="1"/>
  <c r="T345" i="1"/>
  <c r="S345" i="1"/>
  <c r="R345" i="1"/>
  <c r="Q345" i="1"/>
  <c r="W344" i="1"/>
  <c r="V344" i="1"/>
  <c r="U344" i="1"/>
  <c r="T344" i="1"/>
  <c r="S344" i="1"/>
  <c r="R344" i="1"/>
  <c r="Q344" i="1"/>
  <c r="W343" i="1"/>
  <c r="V343" i="1"/>
  <c r="U343" i="1"/>
  <c r="T343" i="1"/>
  <c r="S343" i="1"/>
  <c r="R343" i="1"/>
  <c r="Q343" i="1"/>
  <c r="W342" i="1"/>
  <c r="V342" i="1"/>
  <c r="U342" i="1"/>
  <c r="T342" i="1"/>
  <c r="S342" i="1"/>
  <c r="R342" i="1"/>
  <c r="Q342" i="1"/>
  <c r="W341" i="1"/>
  <c r="V341" i="1"/>
  <c r="U341" i="1"/>
  <c r="T341" i="1"/>
  <c r="S341" i="1"/>
  <c r="R341" i="1"/>
  <c r="Q341" i="1"/>
  <c r="W340" i="1"/>
  <c r="V340" i="1"/>
  <c r="U340" i="1"/>
  <c r="T340" i="1"/>
  <c r="S340" i="1"/>
  <c r="R340" i="1"/>
  <c r="Q340" i="1"/>
  <c r="W339" i="1"/>
  <c r="V339" i="1"/>
  <c r="U339" i="1"/>
  <c r="T339" i="1"/>
  <c r="S339" i="1"/>
  <c r="R339" i="1"/>
  <c r="Q339" i="1"/>
  <c r="W338" i="1"/>
  <c r="V338" i="1"/>
  <c r="U338" i="1"/>
  <c r="T338" i="1"/>
  <c r="S338" i="1"/>
  <c r="R338" i="1"/>
  <c r="Q338" i="1"/>
  <c r="W337" i="1"/>
  <c r="V337" i="1"/>
  <c r="U337" i="1"/>
  <c r="T337" i="1"/>
  <c r="S337" i="1"/>
  <c r="R337" i="1"/>
  <c r="Q337" i="1"/>
  <c r="W336" i="1"/>
  <c r="V336" i="1"/>
  <c r="U336" i="1"/>
  <c r="T336" i="1"/>
  <c r="S336" i="1"/>
  <c r="R336" i="1"/>
  <c r="Q336" i="1"/>
  <c r="W335" i="1"/>
  <c r="V335" i="1"/>
  <c r="U335" i="1"/>
  <c r="T335" i="1"/>
  <c r="S335" i="1"/>
  <c r="R335" i="1"/>
  <c r="Q335" i="1"/>
  <c r="W334" i="1"/>
  <c r="V334" i="1"/>
  <c r="U334" i="1"/>
  <c r="T334" i="1"/>
  <c r="S334" i="1"/>
  <c r="R334" i="1"/>
  <c r="Q334" i="1"/>
  <c r="W333" i="1"/>
  <c r="V333" i="1"/>
  <c r="U333" i="1"/>
  <c r="T333" i="1"/>
  <c r="S333" i="1"/>
  <c r="R333" i="1"/>
  <c r="Q333" i="1"/>
  <c r="W332" i="1"/>
  <c r="V332" i="1"/>
  <c r="U332" i="1"/>
  <c r="T332" i="1"/>
  <c r="S332" i="1"/>
  <c r="R332" i="1"/>
  <c r="Q332" i="1"/>
  <c r="W331" i="1"/>
  <c r="V331" i="1"/>
  <c r="U331" i="1"/>
  <c r="T331" i="1"/>
  <c r="S331" i="1"/>
  <c r="R331" i="1"/>
  <c r="Q331" i="1"/>
  <c r="W330" i="1"/>
  <c r="V330" i="1"/>
  <c r="U330" i="1"/>
  <c r="T330" i="1"/>
  <c r="S330" i="1"/>
  <c r="R330" i="1"/>
  <c r="Q330" i="1"/>
  <c r="W329" i="1"/>
  <c r="V329" i="1"/>
  <c r="U329" i="1"/>
  <c r="T329" i="1"/>
  <c r="S329" i="1"/>
  <c r="R329" i="1"/>
  <c r="Q329" i="1"/>
  <c r="W328" i="1"/>
  <c r="V328" i="1"/>
  <c r="U328" i="1"/>
  <c r="T328" i="1"/>
  <c r="S328" i="1"/>
  <c r="R328" i="1"/>
  <c r="Q328" i="1"/>
  <c r="W327" i="1"/>
  <c r="V327" i="1"/>
  <c r="U327" i="1"/>
  <c r="T327" i="1"/>
  <c r="S327" i="1"/>
  <c r="R327" i="1"/>
  <c r="Q327" i="1"/>
  <c r="W326" i="1"/>
  <c r="V326" i="1"/>
  <c r="U326" i="1"/>
  <c r="T326" i="1"/>
  <c r="S326" i="1"/>
  <c r="R326" i="1"/>
  <c r="Q326" i="1"/>
  <c r="W325" i="1"/>
  <c r="V325" i="1"/>
  <c r="U325" i="1"/>
  <c r="T325" i="1"/>
  <c r="S325" i="1"/>
  <c r="R325" i="1"/>
  <c r="Q325" i="1"/>
  <c r="W324" i="1"/>
  <c r="V324" i="1"/>
  <c r="U324" i="1"/>
  <c r="T324" i="1"/>
  <c r="S324" i="1"/>
  <c r="R324" i="1"/>
  <c r="Q324" i="1"/>
  <c r="W323" i="1"/>
  <c r="V323" i="1"/>
  <c r="U323" i="1"/>
  <c r="T323" i="1"/>
  <c r="S323" i="1"/>
  <c r="R323" i="1"/>
  <c r="Q323" i="1"/>
  <c r="W322" i="1"/>
  <c r="V322" i="1"/>
  <c r="U322" i="1"/>
  <c r="T322" i="1"/>
  <c r="S322" i="1"/>
  <c r="R322" i="1"/>
  <c r="Q322" i="1"/>
  <c r="W321" i="1"/>
  <c r="V321" i="1"/>
  <c r="U321" i="1"/>
  <c r="T321" i="1"/>
  <c r="S321" i="1"/>
  <c r="R321" i="1"/>
  <c r="Q321" i="1"/>
  <c r="W320" i="1"/>
  <c r="V320" i="1"/>
  <c r="U320" i="1"/>
  <c r="T320" i="1"/>
  <c r="S320" i="1"/>
  <c r="R320" i="1"/>
  <c r="Q320" i="1"/>
  <c r="W319" i="1"/>
  <c r="V319" i="1"/>
  <c r="U319" i="1"/>
  <c r="T319" i="1"/>
  <c r="S319" i="1"/>
  <c r="R319" i="1"/>
  <c r="Q319" i="1"/>
  <c r="W318" i="1"/>
  <c r="V318" i="1"/>
  <c r="U318" i="1"/>
  <c r="T318" i="1"/>
  <c r="S318" i="1"/>
  <c r="R318" i="1"/>
  <c r="Q318" i="1"/>
  <c r="W317" i="1"/>
  <c r="V317" i="1"/>
  <c r="U317" i="1"/>
  <c r="T317" i="1"/>
  <c r="S317" i="1"/>
  <c r="R317" i="1"/>
  <c r="Q317" i="1"/>
  <c r="W316" i="1"/>
  <c r="V316" i="1"/>
  <c r="U316" i="1"/>
  <c r="T316" i="1"/>
  <c r="S316" i="1"/>
  <c r="R316" i="1"/>
  <c r="Q316" i="1"/>
  <c r="W315" i="1"/>
  <c r="V315" i="1"/>
  <c r="U315" i="1"/>
  <c r="T315" i="1"/>
  <c r="S315" i="1"/>
  <c r="R315" i="1"/>
  <c r="Q315" i="1"/>
  <c r="W314" i="1"/>
  <c r="V314" i="1"/>
  <c r="U314" i="1"/>
  <c r="T314" i="1"/>
  <c r="S314" i="1"/>
  <c r="R314" i="1"/>
  <c r="Q314" i="1"/>
  <c r="W313" i="1"/>
  <c r="V313" i="1"/>
  <c r="U313" i="1"/>
  <c r="T313" i="1"/>
  <c r="S313" i="1"/>
  <c r="R313" i="1"/>
  <c r="Q313" i="1"/>
  <c r="W312" i="1"/>
  <c r="V312" i="1"/>
  <c r="U312" i="1"/>
  <c r="T312" i="1"/>
  <c r="S312" i="1"/>
  <c r="R312" i="1"/>
  <c r="Q312" i="1"/>
  <c r="W311" i="1"/>
  <c r="V311" i="1"/>
  <c r="U311" i="1"/>
  <c r="T311" i="1"/>
  <c r="S311" i="1"/>
  <c r="R311" i="1"/>
  <c r="Q311" i="1"/>
  <c r="W310" i="1"/>
  <c r="V310" i="1"/>
  <c r="U310" i="1"/>
  <c r="T310" i="1"/>
  <c r="S310" i="1"/>
  <c r="R310" i="1"/>
  <c r="Q310" i="1"/>
  <c r="W309" i="1"/>
  <c r="V309" i="1"/>
  <c r="U309" i="1"/>
  <c r="T309" i="1"/>
  <c r="S309" i="1"/>
  <c r="R309" i="1"/>
  <c r="Q309" i="1"/>
  <c r="W308" i="1"/>
  <c r="V308" i="1"/>
  <c r="U308" i="1"/>
  <c r="T308" i="1"/>
  <c r="S308" i="1"/>
  <c r="R308" i="1"/>
  <c r="Q308" i="1"/>
  <c r="W307" i="1"/>
  <c r="V307" i="1"/>
  <c r="U307" i="1"/>
  <c r="T307" i="1"/>
  <c r="S307" i="1"/>
  <c r="R307" i="1"/>
  <c r="Q307" i="1"/>
  <c r="W306" i="1"/>
  <c r="V306" i="1"/>
  <c r="U306" i="1"/>
  <c r="T306" i="1"/>
  <c r="S306" i="1"/>
  <c r="R306" i="1"/>
  <c r="Q306" i="1"/>
  <c r="W305" i="1"/>
  <c r="V305" i="1"/>
  <c r="U305" i="1"/>
  <c r="T305" i="1"/>
  <c r="S305" i="1"/>
  <c r="R305" i="1"/>
  <c r="Q305" i="1"/>
  <c r="W304" i="1"/>
  <c r="V304" i="1"/>
  <c r="U304" i="1"/>
  <c r="T304" i="1"/>
  <c r="S304" i="1"/>
  <c r="R304" i="1"/>
  <c r="Q304" i="1"/>
  <c r="W303" i="1"/>
  <c r="V303" i="1"/>
  <c r="U303" i="1"/>
  <c r="T303" i="1"/>
  <c r="S303" i="1"/>
  <c r="R303" i="1"/>
  <c r="Q303" i="1"/>
  <c r="W302" i="1"/>
  <c r="V302" i="1"/>
  <c r="U302" i="1"/>
  <c r="T302" i="1"/>
  <c r="S302" i="1"/>
  <c r="R302" i="1"/>
  <c r="Q302" i="1"/>
  <c r="W301" i="1"/>
  <c r="V301" i="1"/>
  <c r="U301" i="1"/>
  <c r="T301" i="1"/>
  <c r="S301" i="1"/>
  <c r="R301" i="1"/>
  <c r="Q301" i="1"/>
  <c r="W300" i="1"/>
  <c r="V300" i="1"/>
  <c r="U300" i="1"/>
  <c r="T300" i="1"/>
  <c r="S300" i="1"/>
  <c r="R300" i="1"/>
  <c r="Q300" i="1"/>
  <c r="W299" i="1"/>
  <c r="V299" i="1"/>
  <c r="U299" i="1"/>
  <c r="T299" i="1"/>
  <c r="S299" i="1"/>
  <c r="R299" i="1"/>
  <c r="Q299" i="1"/>
  <c r="W298" i="1"/>
  <c r="V298" i="1"/>
  <c r="U298" i="1"/>
  <c r="T298" i="1"/>
  <c r="S298" i="1"/>
  <c r="R298" i="1"/>
  <c r="Q298" i="1"/>
  <c r="W297" i="1"/>
  <c r="V297" i="1"/>
  <c r="U297" i="1"/>
  <c r="T297" i="1"/>
  <c r="S297" i="1"/>
  <c r="R297" i="1"/>
  <c r="Q297" i="1"/>
  <c r="W296" i="1"/>
  <c r="V296" i="1"/>
  <c r="U296" i="1"/>
  <c r="T296" i="1"/>
  <c r="S296" i="1"/>
  <c r="R296" i="1"/>
  <c r="Q296" i="1"/>
  <c r="W295" i="1"/>
  <c r="V295" i="1"/>
  <c r="U295" i="1"/>
  <c r="T295" i="1"/>
  <c r="S295" i="1"/>
  <c r="R295" i="1"/>
  <c r="Q295" i="1"/>
  <c r="W294" i="1"/>
  <c r="V294" i="1"/>
  <c r="U294" i="1"/>
  <c r="T294" i="1"/>
  <c r="S294" i="1"/>
  <c r="R294" i="1"/>
  <c r="Q294" i="1"/>
  <c r="W293" i="1"/>
  <c r="V293" i="1"/>
  <c r="U293" i="1"/>
  <c r="T293" i="1"/>
  <c r="S293" i="1"/>
  <c r="R293" i="1"/>
  <c r="Q293" i="1"/>
  <c r="W292" i="1"/>
  <c r="V292" i="1"/>
  <c r="U292" i="1"/>
  <c r="T292" i="1"/>
  <c r="S292" i="1"/>
  <c r="R292" i="1"/>
  <c r="Q292" i="1"/>
  <c r="W291" i="1"/>
  <c r="V291" i="1"/>
  <c r="U291" i="1"/>
  <c r="T291" i="1"/>
  <c r="S291" i="1"/>
  <c r="R291" i="1"/>
  <c r="Q291" i="1"/>
  <c r="W290" i="1"/>
  <c r="V290" i="1"/>
  <c r="U290" i="1"/>
  <c r="T290" i="1"/>
  <c r="S290" i="1"/>
  <c r="R290" i="1"/>
  <c r="Q290" i="1"/>
  <c r="W289" i="1"/>
  <c r="V289" i="1"/>
  <c r="U289" i="1"/>
  <c r="T289" i="1"/>
  <c r="S289" i="1"/>
  <c r="R289" i="1"/>
  <c r="Q289" i="1"/>
  <c r="W288" i="1"/>
  <c r="V288" i="1"/>
  <c r="U288" i="1"/>
  <c r="T288" i="1"/>
  <c r="S288" i="1"/>
  <c r="R288" i="1"/>
  <c r="Q288" i="1"/>
  <c r="W287" i="1"/>
  <c r="V287" i="1"/>
  <c r="U287" i="1"/>
  <c r="T287" i="1"/>
  <c r="S287" i="1"/>
  <c r="R287" i="1"/>
  <c r="Q287" i="1"/>
  <c r="W286" i="1"/>
  <c r="V286" i="1"/>
  <c r="U286" i="1"/>
  <c r="T286" i="1"/>
  <c r="S286" i="1"/>
  <c r="R286" i="1"/>
  <c r="Q286" i="1"/>
  <c r="W285" i="1"/>
  <c r="V285" i="1"/>
  <c r="U285" i="1"/>
  <c r="T285" i="1"/>
  <c r="S285" i="1"/>
  <c r="R285" i="1"/>
  <c r="Q285" i="1"/>
  <c r="W284" i="1"/>
  <c r="V284" i="1"/>
  <c r="U284" i="1"/>
  <c r="T284" i="1"/>
  <c r="S284" i="1"/>
  <c r="R284" i="1"/>
  <c r="Q284" i="1"/>
  <c r="W283" i="1"/>
  <c r="V283" i="1"/>
  <c r="U283" i="1"/>
  <c r="T283" i="1"/>
  <c r="S283" i="1"/>
  <c r="R283" i="1"/>
  <c r="Q283" i="1"/>
  <c r="W282" i="1"/>
  <c r="V282" i="1"/>
  <c r="U282" i="1"/>
  <c r="T282" i="1"/>
  <c r="S282" i="1"/>
  <c r="R282" i="1"/>
  <c r="Q282" i="1"/>
  <c r="W281" i="1"/>
  <c r="V281" i="1"/>
  <c r="U281" i="1"/>
  <c r="T281" i="1"/>
  <c r="S281" i="1"/>
  <c r="R281" i="1"/>
  <c r="Q281" i="1"/>
  <c r="W280" i="1"/>
  <c r="V280" i="1"/>
  <c r="U280" i="1"/>
  <c r="T280" i="1"/>
  <c r="S280" i="1"/>
  <c r="R280" i="1"/>
  <c r="Q280" i="1"/>
  <c r="W279" i="1"/>
  <c r="V279" i="1"/>
  <c r="U279" i="1"/>
  <c r="T279" i="1"/>
  <c r="S279" i="1"/>
  <c r="R279" i="1"/>
  <c r="Q279" i="1"/>
  <c r="W278" i="1"/>
  <c r="V278" i="1"/>
  <c r="U278" i="1"/>
  <c r="T278" i="1"/>
  <c r="S278" i="1"/>
  <c r="R278" i="1"/>
  <c r="Q278" i="1"/>
  <c r="W277" i="1"/>
  <c r="V277" i="1"/>
  <c r="U277" i="1"/>
  <c r="T277" i="1"/>
  <c r="S277" i="1"/>
  <c r="R277" i="1"/>
  <c r="Q277" i="1"/>
  <c r="W276" i="1"/>
  <c r="V276" i="1"/>
  <c r="U276" i="1"/>
  <c r="T276" i="1"/>
  <c r="S276" i="1"/>
  <c r="R276" i="1"/>
  <c r="Q276" i="1"/>
  <c r="W275" i="1"/>
  <c r="V275" i="1"/>
  <c r="U275" i="1"/>
  <c r="T275" i="1"/>
  <c r="S275" i="1"/>
  <c r="R275" i="1"/>
  <c r="Q275" i="1"/>
  <c r="W274" i="1"/>
  <c r="V274" i="1"/>
  <c r="U274" i="1"/>
  <c r="T274" i="1"/>
  <c r="S274" i="1"/>
  <c r="R274" i="1"/>
  <c r="Q274" i="1"/>
  <c r="W273" i="1"/>
  <c r="V273" i="1"/>
  <c r="U273" i="1"/>
  <c r="T273" i="1"/>
  <c r="S273" i="1"/>
  <c r="R273" i="1"/>
  <c r="Q273" i="1"/>
  <c r="W272" i="1"/>
  <c r="V272" i="1"/>
  <c r="U272" i="1"/>
  <c r="T272" i="1"/>
  <c r="S272" i="1"/>
  <c r="R272" i="1"/>
  <c r="Q272" i="1"/>
  <c r="W271" i="1"/>
  <c r="V271" i="1"/>
  <c r="U271" i="1"/>
  <c r="T271" i="1"/>
  <c r="S271" i="1"/>
  <c r="R271" i="1"/>
  <c r="Q271" i="1"/>
  <c r="W270" i="1"/>
  <c r="V270" i="1"/>
  <c r="U270" i="1"/>
  <c r="T270" i="1"/>
  <c r="S270" i="1"/>
  <c r="R270" i="1"/>
  <c r="Q270" i="1"/>
  <c r="W269" i="1"/>
  <c r="V269" i="1"/>
  <c r="U269" i="1"/>
  <c r="T269" i="1"/>
  <c r="S269" i="1"/>
  <c r="R269" i="1"/>
  <c r="Q269" i="1"/>
  <c r="W268" i="1"/>
  <c r="V268" i="1"/>
  <c r="U268" i="1"/>
  <c r="T268" i="1"/>
  <c r="S268" i="1"/>
  <c r="R268" i="1"/>
  <c r="Q268" i="1"/>
  <c r="W267" i="1"/>
  <c r="V267" i="1"/>
  <c r="U267" i="1"/>
  <c r="T267" i="1"/>
  <c r="S267" i="1"/>
  <c r="R267" i="1"/>
  <c r="Q267" i="1"/>
  <c r="W266" i="1"/>
  <c r="V266" i="1"/>
  <c r="U266" i="1"/>
  <c r="T266" i="1"/>
  <c r="S266" i="1"/>
  <c r="R266" i="1"/>
  <c r="Q266" i="1"/>
  <c r="W265" i="1"/>
  <c r="V265" i="1"/>
  <c r="U265" i="1"/>
  <c r="T265" i="1"/>
  <c r="S265" i="1"/>
  <c r="R265" i="1"/>
  <c r="Q265" i="1"/>
  <c r="W264" i="1"/>
  <c r="V264" i="1"/>
  <c r="U264" i="1"/>
  <c r="T264" i="1"/>
  <c r="S264" i="1"/>
  <c r="R264" i="1"/>
  <c r="Q264" i="1"/>
  <c r="W263" i="1"/>
  <c r="V263" i="1"/>
  <c r="U263" i="1"/>
  <c r="T263" i="1"/>
  <c r="S263" i="1"/>
  <c r="R263" i="1"/>
  <c r="Q263" i="1"/>
  <c r="W262" i="1"/>
  <c r="V262" i="1"/>
  <c r="U262" i="1"/>
  <c r="T262" i="1"/>
  <c r="S262" i="1"/>
  <c r="R262" i="1"/>
  <c r="Q262" i="1"/>
  <c r="W261" i="1"/>
  <c r="V261" i="1"/>
  <c r="U261" i="1"/>
  <c r="T261" i="1"/>
  <c r="S261" i="1"/>
  <c r="R261" i="1"/>
  <c r="Q261" i="1"/>
  <c r="W260" i="1"/>
  <c r="V260" i="1"/>
  <c r="U260" i="1"/>
  <c r="T260" i="1"/>
  <c r="S260" i="1"/>
  <c r="R260" i="1"/>
  <c r="Q260" i="1"/>
  <c r="W259" i="1"/>
  <c r="V259" i="1"/>
  <c r="U259" i="1"/>
  <c r="T259" i="1"/>
  <c r="S259" i="1"/>
  <c r="R259" i="1"/>
  <c r="Q259" i="1"/>
  <c r="W258" i="1"/>
  <c r="V258" i="1"/>
  <c r="U258" i="1"/>
  <c r="T258" i="1"/>
  <c r="S258" i="1"/>
  <c r="R258" i="1"/>
  <c r="Q258" i="1"/>
  <c r="W257" i="1"/>
  <c r="V257" i="1"/>
  <c r="U257" i="1"/>
  <c r="T257" i="1"/>
  <c r="S257" i="1"/>
  <c r="R257" i="1"/>
  <c r="Q257" i="1"/>
  <c r="W256" i="1"/>
  <c r="V256" i="1"/>
  <c r="U256" i="1"/>
  <c r="T256" i="1"/>
  <c r="S256" i="1"/>
  <c r="R256" i="1"/>
  <c r="Q256" i="1"/>
  <c r="W255" i="1"/>
  <c r="V255" i="1"/>
  <c r="U255" i="1"/>
  <c r="T255" i="1"/>
  <c r="S255" i="1"/>
  <c r="R255" i="1"/>
  <c r="Q255" i="1"/>
  <c r="W254" i="1"/>
  <c r="V254" i="1"/>
  <c r="U254" i="1"/>
  <c r="T254" i="1"/>
  <c r="S254" i="1"/>
  <c r="R254" i="1"/>
  <c r="Q254" i="1"/>
  <c r="W253" i="1"/>
  <c r="V253" i="1"/>
  <c r="U253" i="1"/>
  <c r="T253" i="1"/>
  <c r="S253" i="1"/>
  <c r="R253" i="1"/>
  <c r="Q253" i="1"/>
  <c r="W252" i="1"/>
  <c r="V252" i="1"/>
  <c r="U252" i="1"/>
  <c r="T252" i="1"/>
  <c r="S252" i="1"/>
  <c r="R252" i="1"/>
  <c r="Q252" i="1"/>
  <c r="W251" i="1"/>
  <c r="V251" i="1"/>
  <c r="U251" i="1"/>
  <c r="T251" i="1"/>
  <c r="S251" i="1"/>
  <c r="R251" i="1"/>
  <c r="Q251" i="1"/>
  <c r="W250" i="1"/>
  <c r="V250" i="1"/>
  <c r="U250" i="1"/>
  <c r="T250" i="1"/>
  <c r="S250" i="1"/>
  <c r="R250" i="1"/>
  <c r="Q250" i="1"/>
  <c r="W249" i="1"/>
  <c r="V249" i="1"/>
  <c r="U249" i="1"/>
  <c r="T249" i="1"/>
  <c r="S249" i="1"/>
  <c r="R249" i="1"/>
  <c r="Q249" i="1"/>
  <c r="W248" i="1"/>
  <c r="V248" i="1"/>
  <c r="U248" i="1"/>
  <c r="T248" i="1"/>
  <c r="S248" i="1"/>
  <c r="R248" i="1"/>
  <c r="Q248" i="1"/>
  <c r="W247" i="1"/>
  <c r="V247" i="1"/>
  <c r="U247" i="1"/>
  <c r="T247" i="1"/>
  <c r="S247" i="1"/>
  <c r="R247" i="1"/>
  <c r="Q247" i="1"/>
  <c r="W246" i="1"/>
  <c r="V246" i="1"/>
  <c r="U246" i="1"/>
  <c r="T246" i="1"/>
  <c r="S246" i="1"/>
  <c r="R246" i="1"/>
  <c r="Q246" i="1"/>
  <c r="W245" i="1"/>
  <c r="V245" i="1"/>
  <c r="U245" i="1"/>
  <c r="T245" i="1"/>
  <c r="S245" i="1"/>
  <c r="R245" i="1"/>
  <c r="Q245" i="1"/>
  <c r="W244" i="1"/>
  <c r="V244" i="1"/>
  <c r="U244" i="1"/>
  <c r="T244" i="1"/>
  <c r="S244" i="1"/>
  <c r="R244" i="1"/>
  <c r="Q244" i="1"/>
  <c r="W243" i="1"/>
  <c r="V243" i="1"/>
  <c r="U243" i="1"/>
  <c r="T243" i="1"/>
  <c r="S243" i="1"/>
  <c r="R243" i="1"/>
  <c r="Q243" i="1"/>
  <c r="W242" i="1"/>
  <c r="V242" i="1"/>
  <c r="U242" i="1"/>
  <c r="T242" i="1"/>
  <c r="S242" i="1"/>
  <c r="R242" i="1"/>
  <c r="Q242" i="1"/>
  <c r="W241" i="1"/>
  <c r="V241" i="1"/>
  <c r="U241" i="1"/>
  <c r="T241" i="1"/>
  <c r="S241" i="1"/>
  <c r="R241" i="1"/>
  <c r="Q241" i="1"/>
  <c r="W240" i="1"/>
  <c r="V240" i="1"/>
  <c r="U240" i="1"/>
  <c r="T240" i="1"/>
  <c r="S240" i="1"/>
  <c r="R240" i="1"/>
  <c r="Q240" i="1"/>
  <c r="W239" i="1"/>
  <c r="V239" i="1"/>
  <c r="U239" i="1"/>
  <c r="T239" i="1"/>
  <c r="S239" i="1"/>
  <c r="R239" i="1"/>
  <c r="Q239" i="1"/>
  <c r="W238" i="1"/>
  <c r="V238" i="1"/>
  <c r="U238" i="1"/>
  <c r="T238" i="1"/>
  <c r="S238" i="1"/>
  <c r="R238" i="1"/>
  <c r="Q238" i="1"/>
  <c r="W237" i="1"/>
  <c r="V237" i="1"/>
  <c r="U237" i="1"/>
  <c r="T237" i="1"/>
  <c r="S237" i="1"/>
  <c r="R237" i="1"/>
  <c r="Q237" i="1"/>
  <c r="W236" i="1"/>
  <c r="V236" i="1"/>
  <c r="U236" i="1"/>
  <c r="T236" i="1"/>
  <c r="S236" i="1"/>
  <c r="R236" i="1"/>
  <c r="Q236" i="1"/>
  <c r="W235" i="1"/>
  <c r="V235" i="1"/>
  <c r="U235" i="1"/>
  <c r="T235" i="1"/>
  <c r="S235" i="1"/>
  <c r="R235" i="1"/>
  <c r="Q235" i="1"/>
  <c r="W234" i="1"/>
  <c r="V234" i="1"/>
  <c r="U234" i="1"/>
  <c r="T234" i="1"/>
  <c r="S234" i="1"/>
  <c r="R234" i="1"/>
  <c r="Q234" i="1"/>
  <c r="W233" i="1"/>
  <c r="V233" i="1"/>
  <c r="U233" i="1"/>
  <c r="T233" i="1"/>
  <c r="S233" i="1"/>
  <c r="R233" i="1"/>
  <c r="Q233" i="1"/>
  <c r="W232" i="1"/>
  <c r="V232" i="1"/>
  <c r="U232" i="1"/>
  <c r="T232" i="1"/>
  <c r="S232" i="1"/>
  <c r="R232" i="1"/>
  <c r="Q232" i="1"/>
  <c r="W231" i="1"/>
  <c r="V231" i="1"/>
  <c r="U231" i="1"/>
  <c r="T231" i="1"/>
  <c r="S231" i="1"/>
  <c r="R231" i="1"/>
  <c r="Q231" i="1"/>
  <c r="W230" i="1"/>
  <c r="V230" i="1"/>
  <c r="U230" i="1"/>
  <c r="T230" i="1"/>
  <c r="S230" i="1"/>
  <c r="R230" i="1"/>
  <c r="Q230" i="1"/>
  <c r="W229" i="1"/>
  <c r="V229" i="1"/>
  <c r="U229" i="1"/>
  <c r="T229" i="1"/>
  <c r="S229" i="1"/>
  <c r="R229" i="1"/>
  <c r="Q229" i="1"/>
  <c r="W228" i="1"/>
  <c r="V228" i="1"/>
  <c r="U228" i="1"/>
  <c r="T228" i="1"/>
  <c r="S228" i="1"/>
  <c r="R228" i="1"/>
  <c r="Q228" i="1"/>
  <c r="W227" i="1"/>
  <c r="V227" i="1"/>
  <c r="U227" i="1"/>
  <c r="T227" i="1"/>
  <c r="S227" i="1"/>
  <c r="R227" i="1"/>
  <c r="Q227" i="1"/>
  <c r="W226" i="1"/>
  <c r="V226" i="1"/>
  <c r="U226" i="1"/>
  <c r="T226" i="1"/>
  <c r="S226" i="1"/>
  <c r="R226" i="1"/>
  <c r="Q226" i="1"/>
  <c r="W225" i="1"/>
  <c r="V225" i="1"/>
  <c r="U225" i="1"/>
  <c r="T225" i="1"/>
  <c r="S225" i="1"/>
  <c r="R225" i="1"/>
  <c r="Q225" i="1"/>
  <c r="W224" i="1"/>
  <c r="V224" i="1"/>
  <c r="U224" i="1"/>
  <c r="T224" i="1"/>
  <c r="S224" i="1"/>
  <c r="R224" i="1"/>
  <c r="Q224" i="1"/>
  <c r="W223" i="1"/>
  <c r="V223" i="1"/>
  <c r="U223" i="1"/>
  <c r="T223" i="1"/>
  <c r="S223" i="1"/>
  <c r="R223" i="1"/>
  <c r="Q223" i="1"/>
  <c r="W222" i="1"/>
  <c r="V222" i="1"/>
  <c r="U222" i="1"/>
  <c r="T222" i="1"/>
  <c r="S222" i="1"/>
  <c r="R222" i="1"/>
  <c r="Q222" i="1"/>
  <c r="W221" i="1"/>
  <c r="V221" i="1"/>
  <c r="U221" i="1"/>
  <c r="T221" i="1"/>
  <c r="S221" i="1"/>
  <c r="R221" i="1"/>
  <c r="Q221" i="1"/>
  <c r="W220" i="1"/>
  <c r="V220" i="1"/>
  <c r="U220" i="1"/>
  <c r="T220" i="1"/>
  <c r="S220" i="1"/>
  <c r="R220" i="1"/>
  <c r="Q220" i="1"/>
  <c r="W219" i="1"/>
  <c r="V219" i="1"/>
  <c r="U219" i="1"/>
  <c r="T219" i="1"/>
  <c r="S219" i="1"/>
  <c r="R219" i="1"/>
  <c r="Q219" i="1"/>
  <c r="W218" i="1"/>
  <c r="V218" i="1"/>
  <c r="U218" i="1"/>
  <c r="T218" i="1"/>
  <c r="S218" i="1"/>
  <c r="R218" i="1"/>
  <c r="Q218" i="1"/>
  <c r="W217" i="1"/>
  <c r="V217" i="1"/>
  <c r="U217" i="1"/>
  <c r="T217" i="1"/>
  <c r="S217" i="1"/>
  <c r="R217" i="1"/>
  <c r="Q217" i="1"/>
  <c r="W216" i="1"/>
  <c r="V216" i="1"/>
  <c r="U216" i="1"/>
  <c r="T216" i="1"/>
  <c r="S216" i="1"/>
  <c r="R216" i="1"/>
  <c r="Q216" i="1"/>
  <c r="W215" i="1"/>
  <c r="V215" i="1"/>
  <c r="U215" i="1"/>
  <c r="T215" i="1"/>
  <c r="S215" i="1"/>
  <c r="R215" i="1"/>
  <c r="Q215" i="1"/>
  <c r="W214" i="1"/>
  <c r="V214" i="1"/>
  <c r="U214" i="1"/>
  <c r="T214" i="1"/>
  <c r="S214" i="1"/>
  <c r="R214" i="1"/>
  <c r="Q214" i="1"/>
  <c r="W213" i="1"/>
  <c r="V213" i="1"/>
  <c r="U213" i="1"/>
  <c r="T213" i="1"/>
  <c r="S213" i="1"/>
  <c r="R213" i="1"/>
  <c r="Q213" i="1"/>
  <c r="W212" i="1"/>
  <c r="V212" i="1"/>
  <c r="U212" i="1"/>
  <c r="T212" i="1"/>
  <c r="S212" i="1"/>
  <c r="R212" i="1"/>
  <c r="Q212" i="1"/>
  <c r="W211" i="1"/>
  <c r="V211" i="1"/>
  <c r="U211" i="1"/>
  <c r="T211" i="1"/>
  <c r="S211" i="1"/>
  <c r="R211" i="1"/>
  <c r="Q211" i="1"/>
  <c r="W210" i="1"/>
  <c r="V210" i="1"/>
  <c r="U210" i="1"/>
  <c r="T210" i="1"/>
  <c r="S210" i="1"/>
  <c r="R210" i="1"/>
  <c r="Q210" i="1"/>
  <c r="W209" i="1"/>
  <c r="V209" i="1"/>
  <c r="U209" i="1"/>
  <c r="T209" i="1"/>
  <c r="S209" i="1"/>
  <c r="R209" i="1"/>
  <c r="Q209" i="1"/>
  <c r="W208" i="1"/>
  <c r="V208" i="1"/>
  <c r="U208" i="1"/>
  <c r="T208" i="1"/>
  <c r="S208" i="1"/>
  <c r="R208" i="1"/>
  <c r="Q208" i="1"/>
  <c r="W207" i="1"/>
  <c r="V207" i="1"/>
  <c r="U207" i="1"/>
  <c r="T207" i="1"/>
  <c r="S207" i="1"/>
  <c r="R207" i="1"/>
  <c r="Q207" i="1"/>
  <c r="W206" i="1"/>
  <c r="V206" i="1"/>
  <c r="U206" i="1"/>
  <c r="T206" i="1"/>
  <c r="S206" i="1"/>
  <c r="R206" i="1"/>
  <c r="Q206" i="1"/>
  <c r="W205" i="1"/>
  <c r="V205" i="1"/>
  <c r="U205" i="1"/>
  <c r="T205" i="1"/>
  <c r="S205" i="1"/>
  <c r="R205" i="1"/>
  <c r="Q205" i="1"/>
  <c r="W204" i="1"/>
  <c r="V204" i="1"/>
  <c r="U204" i="1"/>
  <c r="T204" i="1"/>
  <c r="S204" i="1"/>
  <c r="R204" i="1"/>
  <c r="Q204" i="1"/>
  <c r="W203" i="1"/>
  <c r="V203" i="1"/>
  <c r="U203" i="1"/>
  <c r="T203" i="1"/>
  <c r="S203" i="1"/>
  <c r="R203" i="1"/>
  <c r="Q203" i="1"/>
  <c r="W202" i="1"/>
  <c r="V202" i="1"/>
  <c r="U202" i="1"/>
  <c r="T202" i="1"/>
  <c r="S202" i="1"/>
  <c r="R202" i="1"/>
  <c r="Q202" i="1"/>
  <c r="W201" i="1"/>
  <c r="V201" i="1"/>
  <c r="U201" i="1"/>
  <c r="T201" i="1"/>
  <c r="S201" i="1"/>
  <c r="R201" i="1"/>
  <c r="Q201" i="1"/>
  <c r="W200" i="1"/>
  <c r="V200" i="1"/>
  <c r="U200" i="1"/>
  <c r="T200" i="1"/>
  <c r="S200" i="1"/>
  <c r="R200" i="1"/>
  <c r="Q200" i="1"/>
  <c r="W199" i="1"/>
  <c r="V199" i="1"/>
  <c r="U199" i="1"/>
  <c r="T199" i="1"/>
  <c r="S199" i="1"/>
  <c r="R199" i="1"/>
  <c r="Q199" i="1"/>
  <c r="W198" i="1"/>
  <c r="V198" i="1"/>
  <c r="U198" i="1"/>
  <c r="T198" i="1"/>
  <c r="S198" i="1"/>
  <c r="R198" i="1"/>
  <c r="Q198" i="1"/>
  <c r="W197" i="1"/>
  <c r="V197" i="1"/>
  <c r="U197" i="1"/>
  <c r="T197" i="1"/>
  <c r="S197" i="1"/>
  <c r="R197" i="1"/>
  <c r="Q197" i="1"/>
  <c r="W196" i="1"/>
  <c r="V196" i="1"/>
  <c r="U196" i="1"/>
  <c r="T196" i="1"/>
  <c r="S196" i="1"/>
  <c r="R196" i="1"/>
  <c r="Q196" i="1"/>
  <c r="W195" i="1"/>
  <c r="V195" i="1"/>
  <c r="U195" i="1"/>
  <c r="T195" i="1"/>
  <c r="S195" i="1"/>
  <c r="R195" i="1"/>
  <c r="Q195" i="1"/>
  <c r="W194" i="1"/>
  <c r="V194" i="1"/>
  <c r="U194" i="1"/>
  <c r="T194" i="1"/>
  <c r="S194" i="1"/>
  <c r="R194" i="1"/>
  <c r="Q194" i="1"/>
  <c r="W193" i="1"/>
  <c r="V193" i="1"/>
  <c r="U193" i="1"/>
  <c r="T193" i="1"/>
  <c r="S193" i="1"/>
  <c r="R193" i="1"/>
  <c r="Q193" i="1"/>
  <c r="W192" i="1"/>
  <c r="V192" i="1"/>
  <c r="U192" i="1"/>
  <c r="T192" i="1"/>
  <c r="S192" i="1"/>
  <c r="R192" i="1"/>
  <c r="Q192" i="1"/>
  <c r="W191" i="1"/>
  <c r="V191" i="1"/>
  <c r="U191" i="1"/>
  <c r="T191" i="1"/>
  <c r="S191" i="1"/>
  <c r="R191" i="1"/>
  <c r="Q191" i="1"/>
  <c r="W190" i="1"/>
  <c r="V190" i="1"/>
  <c r="U190" i="1"/>
  <c r="T190" i="1"/>
  <c r="S190" i="1"/>
  <c r="R190" i="1"/>
  <c r="Q190" i="1"/>
  <c r="W189" i="1"/>
  <c r="V189" i="1"/>
  <c r="U189" i="1"/>
  <c r="T189" i="1"/>
  <c r="S189" i="1"/>
  <c r="R189" i="1"/>
  <c r="Q189" i="1"/>
  <c r="W188" i="1"/>
  <c r="V188" i="1"/>
  <c r="U188" i="1"/>
  <c r="T188" i="1"/>
  <c r="S188" i="1"/>
  <c r="R188" i="1"/>
  <c r="Q188" i="1"/>
  <c r="W187" i="1"/>
  <c r="V187" i="1"/>
  <c r="U187" i="1"/>
  <c r="T187" i="1"/>
  <c r="S187" i="1"/>
  <c r="R187" i="1"/>
  <c r="Q187" i="1"/>
  <c r="W186" i="1"/>
  <c r="V186" i="1"/>
  <c r="U186" i="1"/>
  <c r="T186" i="1"/>
  <c r="S186" i="1"/>
  <c r="R186" i="1"/>
  <c r="Q186" i="1"/>
  <c r="W185" i="1"/>
  <c r="V185" i="1"/>
  <c r="U185" i="1"/>
  <c r="T185" i="1"/>
  <c r="S185" i="1"/>
  <c r="R185" i="1"/>
  <c r="Q185" i="1"/>
  <c r="W184" i="1"/>
  <c r="V184" i="1"/>
  <c r="U184" i="1"/>
  <c r="T184" i="1"/>
  <c r="S184" i="1"/>
  <c r="R184" i="1"/>
  <c r="Q184" i="1"/>
  <c r="W183" i="1"/>
  <c r="V183" i="1"/>
  <c r="U183" i="1"/>
  <c r="T183" i="1"/>
  <c r="S183" i="1"/>
  <c r="R183" i="1"/>
  <c r="Q183" i="1"/>
  <c r="W182" i="1"/>
  <c r="V182" i="1"/>
  <c r="U182" i="1"/>
  <c r="T182" i="1"/>
  <c r="S182" i="1"/>
  <c r="R182" i="1"/>
  <c r="Q182" i="1"/>
  <c r="W181" i="1"/>
  <c r="V181" i="1"/>
  <c r="U181" i="1"/>
  <c r="T181" i="1"/>
  <c r="S181" i="1"/>
  <c r="R181" i="1"/>
  <c r="Q181" i="1"/>
  <c r="W180" i="1"/>
  <c r="V180" i="1"/>
  <c r="U180" i="1"/>
  <c r="T180" i="1"/>
  <c r="S180" i="1"/>
  <c r="R180" i="1"/>
  <c r="Q180" i="1"/>
  <c r="W179" i="1"/>
  <c r="V179" i="1"/>
  <c r="U179" i="1"/>
  <c r="T179" i="1"/>
  <c r="S179" i="1"/>
  <c r="R179" i="1"/>
  <c r="Q179" i="1"/>
  <c r="W178" i="1"/>
  <c r="V178" i="1"/>
  <c r="U178" i="1"/>
  <c r="T178" i="1"/>
  <c r="S178" i="1"/>
  <c r="R178" i="1"/>
  <c r="Q178" i="1"/>
  <c r="W177" i="1"/>
  <c r="V177" i="1"/>
  <c r="U177" i="1"/>
  <c r="T177" i="1"/>
  <c r="S177" i="1"/>
  <c r="R177" i="1"/>
  <c r="Q177" i="1"/>
  <c r="W176" i="1"/>
  <c r="V176" i="1"/>
  <c r="U176" i="1"/>
  <c r="T176" i="1"/>
  <c r="S176" i="1"/>
  <c r="R176" i="1"/>
  <c r="Q176" i="1"/>
  <c r="W175" i="1"/>
  <c r="V175" i="1"/>
  <c r="U175" i="1"/>
  <c r="T175" i="1"/>
  <c r="S175" i="1"/>
  <c r="R175" i="1"/>
  <c r="Q175" i="1"/>
  <c r="W174" i="1"/>
  <c r="V174" i="1"/>
  <c r="U174" i="1"/>
  <c r="T174" i="1"/>
  <c r="S174" i="1"/>
  <c r="R174" i="1"/>
  <c r="Q174" i="1"/>
  <c r="W173" i="1"/>
  <c r="V173" i="1"/>
  <c r="U173" i="1"/>
  <c r="T173" i="1"/>
  <c r="S173" i="1"/>
  <c r="R173" i="1"/>
  <c r="Q173" i="1"/>
  <c r="W172" i="1"/>
  <c r="V172" i="1"/>
  <c r="U172" i="1"/>
  <c r="T172" i="1"/>
  <c r="S172" i="1"/>
  <c r="R172" i="1"/>
  <c r="Q172" i="1"/>
  <c r="W171" i="1"/>
  <c r="V171" i="1"/>
  <c r="U171" i="1"/>
  <c r="T171" i="1"/>
  <c r="S171" i="1"/>
  <c r="R171" i="1"/>
  <c r="Q171" i="1"/>
  <c r="W170" i="1"/>
  <c r="V170" i="1"/>
  <c r="U170" i="1"/>
  <c r="T170" i="1"/>
  <c r="S170" i="1"/>
  <c r="R170" i="1"/>
  <c r="Q170" i="1"/>
  <c r="W169" i="1"/>
  <c r="V169" i="1"/>
  <c r="U169" i="1"/>
  <c r="T169" i="1"/>
  <c r="S169" i="1"/>
  <c r="R169" i="1"/>
  <c r="Q169" i="1"/>
  <c r="W168" i="1"/>
  <c r="V168" i="1"/>
  <c r="U168" i="1"/>
  <c r="T168" i="1"/>
  <c r="S168" i="1"/>
  <c r="R168" i="1"/>
  <c r="Q168" i="1"/>
  <c r="W167" i="1"/>
  <c r="V167" i="1"/>
  <c r="U167" i="1"/>
  <c r="T167" i="1"/>
  <c r="S167" i="1"/>
  <c r="R167" i="1"/>
  <c r="Q167" i="1"/>
  <c r="W166" i="1"/>
  <c r="V166" i="1"/>
  <c r="U166" i="1"/>
  <c r="T166" i="1"/>
  <c r="S166" i="1"/>
  <c r="R166" i="1"/>
  <c r="Q166" i="1"/>
  <c r="W165" i="1"/>
  <c r="V165" i="1"/>
  <c r="U165" i="1"/>
  <c r="T165" i="1"/>
  <c r="S165" i="1"/>
  <c r="R165" i="1"/>
  <c r="Q165" i="1"/>
  <c r="W164" i="1"/>
  <c r="V164" i="1"/>
  <c r="U164" i="1"/>
  <c r="T164" i="1"/>
  <c r="S164" i="1"/>
  <c r="R164" i="1"/>
  <c r="Q164" i="1"/>
  <c r="W163" i="1"/>
  <c r="V163" i="1"/>
  <c r="U163" i="1"/>
  <c r="T163" i="1"/>
  <c r="S163" i="1"/>
  <c r="R163" i="1"/>
  <c r="Q163" i="1"/>
  <c r="W162" i="1"/>
  <c r="V162" i="1"/>
  <c r="U162" i="1"/>
  <c r="T162" i="1"/>
  <c r="S162" i="1"/>
  <c r="R162" i="1"/>
  <c r="Q162" i="1"/>
  <c r="W161" i="1"/>
  <c r="V161" i="1"/>
  <c r="U161" i="1"/>
  <c r="T161" i="1"/>
  <c r="S161" i="1"/>
  <c r="R161" i="1"/>
  <c r="Q161" i="1"/>
  <c r="W160" i="1"/>
  <c r="V160" i="1"/>
  <c r="U160" i="1"/>
  <c r="T160" i="1"/>
  <c r="S160" i="1"/>
  <c r="R160" i="1"/>
  <c r="Q160" i="1"/>
  <c r="W159" i="1"/>
  <c r="V159" i="1"/>
  <c r="U159" i="1"/>
  <c r="T159" i="1"/>
  <c r="S159" i="1"/>
  <c r="R159" i="1"/>
  <c r="Q159" i="1"/>
  <c r="W158" i="1"/>
  <c r="V158" i="1"/>
  <c r="U158" i="1"/>
  <c r="T158" i="1"/>
  <c r="S158" i="1"/>
  <c r="R158" i="1"/>
  <c r="Q158" i="1"/>
  <c r="W157" i="1"/>
  <c r="V157" i="1"/>
  <c r="U157" i="1"/>
  <c r="T157" i="1"/>
  <c r="S157" i="1"/>
  <c r="R157" i="1"/>
  <c r="Q157" i="1"/>
  <c r="W156" i="1"/>
  <c r="V156" i="1"/>
  <c r="U156" i="1"/>
  <c r="T156" i="1"/>
  <c r="S156" i="1"/>
  <c r="R156" i="1"/>
  <c r="Q156" i="1"/>
  <c r="W155" i="1"/>
  <c r="V155" i="1"/>
  <c r="U155" i="1"/>
  <c r="T155" i="1"/>
  <c r="S155" i="1"/>
  <c r="R155" i="1"/>
  <c r="Q155" i="1"/>
  <c r="W154" i="1"/>
  <c r="V154" i="1"/>
  <c r="U154" i="1"/>
  <c r="T154" i="1"/>
  <c r="S154" i="1"/>
  <c r="R154" i="1"/>
  <c r="Q154" i="1"/>
  <c r="W153" i="1"/>
  <c r="V153" i="1"/>
  <c r="U153" i="1"/>
  <c r="T153" i="1"/>
  <c r="S153" i="1"/>
  <c r="R153" i="1"/>
  <c r="Q153" i="1"/>
  <c r="W152" i="1"/>
  <c r="V152" i="1"/>
  <c r="U152" i="1"/>
  <c r="T152" i="1"/>
  <c r="S152" i="1"/>
  <c r="R152" i="1"/>
  <c r="Q152" i="1"/>
  <c r="W151" i="1"/>
  <c r="V151" i="1"/>
  <c r="U151" i="1"/>
  <c r="T151" i="1"/>
  <c r="S151" i="1"/>
  <c r="R151" i="1"/>
  <c r="Q151" i="1"/>
  <c r="W150" i="1"/>
  <c r="V150" i="1"/>
  <c r="U150" i="1"/>
  <c r="T150" i="1"/>
  <c r="S150" i="1"/>
  <c r="R150" i="1"/>
  <c r="Q150" i="1"/>
  <c r="W149" i="1"/>
  <c r="V149" i="1"/>
  <c r="U149" i="1"/>
  <c r="T149" i="1"/>
  <c r="S149" i="1"/>
  <c r="R149" i="1"/>
  <c r="Q149" i="1"/>
  <c r="W148" i="1"/>
  <c r="V148" i="1"/>
  <c r="U148" i="1"/>
  <c r="T148" i="1"/>
  <c r="S148" i="1"/>
  <c r="R148" i="1"/>
  <c r="Q148" i="1"/>
  <c r="W147" i="1"/>
  <c r="V147" i="1"/>
  <c r="U147" i="1"/>
  <c r="T147" i="1"/>
  <c r="S147" i="1"/>
  <c r="R147" i="1"/>
  <c r="Q147" i="1"/>
  <c r="W146" i="1"/>
  <c r="V146" i="1"/>
  <c r="U146" i="1"/>
  <c r="T146" i="1"/>
  <c r="S146" i="1"/>
  <c r="R146" i="1"/>
  <c r="Q146" i="1"/>
  <c r="W145" i="1"/>
  <c r="V145" i="1"/>
  <c r="U145" i="1"/>
  <c r="T145" i="1"/>
  <c r="S145" i="1"/>
  <c r="R145" i="1"/>
  <c r="Q145" i="1"/>
  <c r="W144" i="1"/>
  <c r="V144" i="1"/>
  <c r="U144" i="1"/>
  <c r="T144" i="1"/>
  <c r="S144" i="1"/>
  <c r="R144" i="1"/>
  <c r="Q144" i="1"/>
  <c r="W143" i="1"/>
  <c r="V143" i="1"/>
  <c r="U143" i="1"/>
  <c r="T143" i="1"/>
  <c r="S143" i="1"/>
  <c r="R143" i="1"/>
  <c r="Q143" i="1"/>
  <c r="W142" i="1"/>
  <c r="V142" i="1"/>
  <c r="U142" i="1"/>
  <c r="T142" i="1"/>
  <c r="S142" i="1"/>
  <c r="R142" i="1"/>
  <c r="Q142" i="1"/>
  <c r="W141" i="1"/>
  <c r="V141" i="1"/>
  <c r="U141" i="1"/>
  <c r="T141" i="1"/>
  <c r="S141" i="1"/>
  <c r="R141" i="1"/>
  <c r="Q141" i="1"/>
  <c r="W140" i="1"/>
  <c r="V140" i="1"/>
  <c r="U140" i="1"/>
  <c r="T140" i="1"/>
  <c r="S140" i="1"/>
  <c r="R140" i="1"/>
  <c r="Q140" i="1"/>
  <c r="W139" i="1"/>
  <c r="V139" i="1"/>
  <c r="U139" i="1"/>
  <c r="T139" i="1"/>
  <c r="S139" i="1"/>
  <c r="R139" i="1"/>
  <c r="Q139" i="1"/>
  <c r="W138" i="1"/>
  <c r="V138" i="1"/>
  <c r="U138" i="1"/>
  <c r="T138" i="1"/>
  <c r="S138" i="1"/>
  <c r="R138" i="1"/>
  <c r="Q138" i="1"/>
  <c r="W137" i="1"/>
  <c r="V137" i="1"/>
  <c r="U137" i="1"/>
  <c r="T137" i="1"/>
  <c r="S137" i="1"/>
  <c r="R137" i="1"/>
  <c r="Q137" i="1"/>
  <c r="W136" i="1"/>
  <c r="V136" i="1"/>
  <c r="U136" i="1"/>
  <c r="T136" i="1"/>
  <c r="S136" i="1"/>
  <c r="R136" i="1"/>
  <c r="Q136" i="1"/>
  <c r="W135" i="1"/>
  <c r="V135" i="1"/>
  <c r="U135" i="1"/>
  <c r="T135" i="1"/>
  <c r="S135" i="1"/>
  <c r="R135" i="1"/>
  <c r="Q135" i="1"/>
  <c r="W134" i="1"/>
  <c r="V134" i="1"/>
  <c r="U134" i="1"/>
  <c r="T134" i="1"/>
  <c r="S134" i="1"/>
  <c r="R134" i="1"/>
  <c r="Q134" i="1"/>
  <c r="W133" i="1"/>
  <c r="V133" i="1"/>
  <c r="U133" i="1"/>
  <c r="T133" i="1"/>
  <c r="S133" i="1"/>
  <c r="R133" i="1"/>
  <c r="Q133" i="1"/>
  <c r="W132" i="1"/>
  <c r="V132" i="1"/>
  <c r="U132" i="1"/>
  <c r="T132" i="1"/>
  <c r="S132" i="1"/>
  <c r="R132" i="1"/>
  <c r="Q132" i="1"/>
  <c r="W131" i="1"/>
  <c r="V131" i="1"/>
  <c r="U131" i="1"/>
  <c r="T131" i="1"/>
  <c r="S131" i="1"/>
  <c r="R131" i="1"/>
  <c r="Q131" i="1"/>
  <c r="W130" i="1"/>
  <c r="V130" i="1"/>
  <c r="U130" i="1"/>
  <c r="T130" i="1"/>
  <c r="S130" i="1"/>
  <c r="R130" i="1"/>
  <c r="Q130" i="1"/>
  <c r="W129" i="1"/>
  <c r="V129" i="1"/>
  <c r="U129" i="1"/>
  <c r="T129" i="1"/>
  <c r="S129" i="1"/>
  <c r="R129" i="1"/>
  <c r="Q129" i="1"/>
  <c r="W128" i="1"/>
  <c r="V128" i="1"/>
  <c r="U128" i="1"/>
  <c r="T128" i="1"/>
  <c r="S128" i="1"/>
  <c r="R128" i="1"/>
  <c r="Q128" i="1"/>
  <c r="W127" i="1"/>
  <c r="V127" i="1"/>
  <c r="U127" i="1"/>
  <c r="T127" i="1"/>
  <c r="S127" i="1"/>
  <c r="R127" i="1"/>
  <c r="Q127" i="1"/>
  <c r="W126" i="1"/>
  <c r="V126" i="1"/>
  <c r="U126" i="1"/>
  <c r="T126" i="1"/>
  <c r="S126" i="1"/>
  <c r="R126" i="1"/>
  <c r="Q126" i="1"/>
  <c r="W125" i="1"/>
  <c r="V125" i="1"/>
  <c r="U125" i="1"/>
  <c r="T125" i="1"/>
  <c r="S125" i="1"/>
  <c r="R125" i="1"/>
  <c r="Q125" i="1"/>
  <c r="W124" i="1"/>
  <c r="V124" i="1"/>
  <c r="U124" i="1"/>
  <c r="T124" i="1"/>
  <c r="S124" i="1"/>
  <c r="R124" i="1"/>
  <c r="Q124" i="1"/>
  <c r="W123" i="1"/>
  <c r="V123" i="1"/>
  <c r="U123" i="1"/>
  <c r="T123" i="1"/>
  <c r="S123" i="1"/>
  <c r="R123" i="1"/>
  <c r="Q123" i="1"/>
  <c r="W122" i="1"/>
  <c r="V122" i="1"/>
  <c r="U122" i="1"/>
  <c r="T122" i="1"/>
  <c r="S122" i="1"/>
  <c r="R122" i="1"/>
  <c r="Q122" i="1"/>
  <c r="W121" i="1"/>
  <c r="V121" i="1"/>
  <c r="U121" i="1"/>
  <c r="T121" i="1"/>
  <c r="S121" i="1"/>
  <c r="R121" i="1"/>
  <c r="Q121" i="1"/>
  <c r="W120" i="1"/>
  <c r="V120" i="1"/>
  <c r="U120" i="1"/>
  <c r="T120" i="1"/>
  <c r="S120" i="1"/>
  <c r="R120" i="1"/>
  <c r="Q120" i="1"/>
  <c r="W119" i="1"/>
  <c r="V119" i="1"/>
  <c r="U119" i="1"/>
  <c r="T119" i="1"/>
  <c r="S119" i="1"/>
  <c r="R119" i="1"/>
  <c r="Q119" i="1"/>
  <c r="W118" i="1"/>
  <c r="V118" i="1"/>
  <c r="U118" i="1"/>
  <c r="T118" i="1"/>
  <c r="S118" i="1"/>
  <c r="R118" i="1"/>
  <c r="Q118" i="1"/>
  <c r="W117" i="1"/>
  <c r="V117" i="1"/>
  <c r="U117" i="1"/>
  <c r="T117" i="1"/>
  <c r="S117" i="1"/>
  <c r="R117" i="1"/>
  <c r="Q117" i="1"/>
  <c r="W116" i="1"/>
  <c r="V116" i="1"/>
  <c r="U116" i="1"/>
  <c r="T116" i="1"/>
  <c r="S116" i="1"/>
  <c r="R116" i="1"/>
  <c r="Q116" i="1"/>
  <c r="W115" i="1"/>
  <c r="V115" i="1"/>
  <c r="U115" i="1"/>
  <c r="T115" i="1"/>
  <c r="S115" i="1"/>
  <c r="R115" i="1"/>
  <c r="Q115" i="1"/>
  <c r="W114" i="1"/>
  <c r="V114" i="1"/>
  <c r="U114" i="1"/>
  <c r="T114" i="1"/>
  <c r="S114" i="1"/>
  <c r="R114" i="1"/>
  <c r="Q114" i="1"/>
  <c r="W113" i="1"/>
  <c r="V113" i="1"/>
  <c r="U113" i="1"/>
  <c r="T113" i="1"/>
  <c r="S113" i="1"/>
  <c r="R113" i="1"/>
  <c r="Q113" i="1"/>
  <c r="W112" i="1"/>
  <c r="V112" i="1"/>
  <c r="U112" i="1"/>
  <c r="T112" i="1"/>
  <c r="S112" i="1"/>
  <c r="R112" i="1"/>
  <c r="Q112" i="1"/>
  <c r="W111" i="1"/>
  <c r="V111" i="1"/>
  <c r="U111" i="1"/>
  <c r="T111" i="1"/>
  <c r="S111" i="1"/>
  <c r="R111" i="1"/>
  <c r="Q111" i="1"/>
  <c r="W110" i="1"/>
  <c r="V110" i="1"/>
  <c r="U110" i="1"/>
  <c r="T110" i="1"/>
  <c r="S110" i="1"/>
  <c r="R110" i="1"/>
  <c r="Q110" i="1"/>
  <c r="W109" i="1"/>
  <c r="V109" i="1"/>
  <c r="U109" i="1"/>
  <c r="T109" i="1"/>
  <c r="S109" i="1"/>
  <c r="R109" i="1"/>
  <c r="Q109" i="1"/>
  <c r="W108" i="1"/>
  <c r="V108" i="1"/>
  <c r="U108" i="1"/>
  <c r="T108" i="1"/>
  <c r="S108" i="1"/>
  <c r="R108" i="1"/>
  <c r="Q108" i="1"/>
  <c r="W107" i="1"/>
  <c r="V107" i="1"/>
  <c r="U107" i="1"/>
  <c r="T107" i="1"/>
  <c r="S107" i="1"/>
  <c r="R107" i="1"/>
  <c r="Q107" i="1"/>
  <c r="W106" i="1"/>
  <c r="V106" i="1"/>
  <c r="U106" i="1"/>
  <c r="T106" i="1"/>
  <c r="S106" i="1"/>
  <c r="R106" i="1"/>
  <c r="Q106" i="1"/>
  <c r="W105" i="1"/>
  <c r="V105" i="1"/>
  <c r="U105" i="1"/>
  <c r="T105" i="1"/>
  <c r="S105" i="1"/>
  <c r="R105" i="1"/>
  <c r="Q105" i="1"/>
  <c r="W104" i="1"/>
  <c r="V104" i="1"/>
  <c r="U104" i="1"/>
  <c r="T104" i="1"/>
  <c r="S104" i="1"/>
  <c r="R104" i="1"/>
  <c r="Q104" i="1"/>
  <c r="W103" i="1"/>
  <c r="V103" i="1"/>
  <c r="U103" i="1"/>
  <c r="T103" i="1"/>
  <c r="S103" i="1"/>
  <c r="R103" i="1"/>
  <c r="Q103" i="1"/>
  <c r="W102" i="1"/>
  <c r="V102" i="1"/>
  <c r="U102" i="1"/>
  <c r="T102" i="1"/>
  <c r="S102" i="1"/>
  <c r="R102" i="1"/>
  <c r="Q102" i="1"/>
  <c r="W101" i="1"/>
  <c r="V101" i="1"/>
  <c r="U101" i="1"/>
  <c r="T101" i="1"/>
  <c r="S101" i="1"/>
  <c r="R101" i="1"/>
  <c r="Q101" i="1"/>
  <c r="W100" i="1"/>
  <c r="V100" i="1"/>
  <c r="U100" i="1"/>
  <c r="T100" i="1"/>
  <c r="S100" i="1"/>
  <c r="R100" i="1"/>
  <c r="Q100" i="1"/>
  <c r="W99" i="1"/>
  <c r="V99" i="1"/>
  <c r="U99" i="1"/>
  <c r="T99" i="1"/>
  <c r="S99" i="1"/>
  <c r="R99" i="1"/>
  <c r="Q99" i="1"/>
  <c r="W98" i="1"/>
  <c r="V98" i="1"/>
  <c r="U98" i="1"/>
  <c r="T98" i="1"/>
  <c r="S98" i="1"/>
  <c r="R98" i="1"/>
  <c r="Q98" i="1"/>
  <c r="W97" i="1"/>
  <c r="V97" i="1"/>
  <c r="U97" i="1"/>
  <c r="T97" i="1"/>
  <c r="S97" i="1"/>
  <c r="R97" i="1"/>
  <c r="Q97" i="1"/>
  <c r="W96" i="1"/>
  <c r="V96" i="1"/>
  <c r="U96" i="1"/>
  <c r="T96" i="1"/>
  <c r="S96" i="1"/>
  <c r="R96" i="1"/>
  <c r="Q96" i="1"/>
  <c r="W95" i="1"/>
  <c r="V95" i="1"/>
  <c r="U95" i="1"/>
  <c r="T95" i="1"/>
  <c r="S95" i="1"/>
  <c r="R95" i="1"/>
  <c r="Q95" i="1"/>
  <c r="W94" i="1"/>
  <c r="V94" i="1"/>
  <c r="U94" i="1"/>
  <c r="T94" i="1"/>
  <c r="S94" i="1"/>
  <c r="R94" i="1"/>
  <c r="Q94" i="1"/>
  <c r="W93" i="1"/>
  <c r="V93" i="1"/>
  <c r="U93" i="1"/>
  <c r="T93" i="1"/>
  <c r="S93" i="1"/>
  <c r="R93" i="1"/>
  <c r="Q93" i="1"/>
  <c r="W92" i="1"/>
  <c r="V92" i="1"/>
  <c r="U92" i="1"/>
  <c r="T92" i="1"/>
  <c r="S92" i="1"/>
  <c r="R92" i="1"/>
  <c r="Q92" i="1"/>
  <c r="W91" i="1"/>
  <c r="V91" i="1"/>
  <c r="U91" i="1"/>
  <c r="T91" i="1"/>
  <c r="S91" i="1"/>
  <c r="R91" i="1"/>
  <c r="Q91" i="1"/>
  <c r="W90" i="1"/>
  <c r="V90" i="1"/>
  <c r="U90" i="1"/>
  <c r="T90" i="1"/>
  <c r="S90" i="1"/>
  <c r="R90" i="1"/>
  <c r="Q90" i="1"/>
  <c r="W89" i="1"/>
  <c r="V89" i="1"/>
  <c r="U89" i="1"/>
  <c r="T89" i="1"/>
  <c r="S89" i="1"/>
  <c r="R89" i="1"/>
  <c r="Q89" i="1"/>
  <c r="W88" i="1"/>
  <c r="V88" i="1"/>
  <c r="U88" i="1"/>
  <c r="T88" i="1"/>
  <c r="S88" i="1"/>
  <c r="R88" i="1"/>
  <c r="Q88" i="1"/>
  <c r="W87" i="1"/>
  <c r="V87" i="1"/>
  <c r="U87" i="1"/>
  <c r="T87" i="1"/>
  <c r="S87" i="1"/>
  <c r="R87" i="1"/>
  <c r="Q87" i="1"/>
  <c r="W86" i="1"/>
  <c r="V86" i="1"/>
  <c r="U86" i="1"/>
  <c r="T86" i="1"/>
  <c r="S86" i="1"/>
  <c r="R86" i="1"/>
  <c r="Q86" i="1"/>
  <c r="W85" i="1"/>
  <c r="V85" i="1"/>
  <c r="U85" i="1"/>
  <c r="T85" i="1"/>
  <c r="S85" i="1"/>
  <c r="R85" i="1"/>
  <c r="Q85" i="1"/>
  <c r="W84" i="1"/>
  <c r="V84" i="1"/>
  <c r="U84" i="1"/>
  <c r="T84" i="1"/>
  <c r="S84" i="1"/>
  <c r="R84" i="1"/>
  <c r="Q84" i="1"/>
  <c r="W83" i="1"/>
  <c r="V83" i="1"/>
  <c r="U83" i="1"/>
  <c r="T83" i="1"/>
  <c r="S83" i="1"/>
  <c r="R83" i="1"/>
  <c r="Q83" i="1"/>
  <c r="W82" i="1"/>
  <c r="V82" i="1"/>
  <c r="U82" i="1"/>
  <c r="T82" i="1"/>
  <c r="S82" i="1"/>
  <c r="R82" i="1"/>
  <c r="Q82" i="1"/>
  <c r="W81" i="1"/>
  <c r="V81" i="1"/>
  <c r="U81" i="1"/>
  <c r="T81" i="1"/>
  <c r="S81" i="1"/>
  <c r="R81" i="1"/>
  <c r="Q81" i="1"/>
  <c r="W80" i="1"/>
  <c r="V80" i="1"/>
  <c r="U80" i="1"/>
  <c r="T80" i="1"/>
  <c r="S80" i="1"/>
  <c r="R80" i="1"/>
  <c r="Q80" i="1"/>
  <c r="W79" i="1"/>
  <c r="V79" i="1"/>
  <c r="U79" i="1"/>
  <c r="T79" i="1"/>
  <c r="S79" i="1"/>
  <c r="R79" i="1"/>
  <c r="Q79" i="1"/>
  <c r="W78" i="1"/>
  <c r="V78" i="1"/>
  <c r="U78" i="1"/>
  <c r="T78" i="1"/>
  <c r="S78" i="1"/>
  <c r="R78" i="1"/>
  <c r="Q78" i="1"/>
  <c r="W77" i="1"/>
  <c r="V77" i="1"/>
  <c r="U77" i="1"/>
  <c r="T77" i="1"/>
  <c r="S77" i="1"/>
  <c r="R77" i="1"/>
  <c r="Q77" i="1"/>
  <c r="W76" i="1"/>
  <c r="V76" i="1"/>
  <c r="U76" i="1"/>
  <c r="T76" i="1"/>
  <c r="S76" i="1"/>
  <c r="R76" i="1"/>
  <c r="Q76" i="1"/>
  <c r="W75" i="1"/>
  <c r="V75" i="1"/>
  <c r="U75" i="1"/>
  <c r="T75" i="1"/>
  <c r="S75" i="1"/>
  <c r="R75" i="1"/>
  <c r="Q75" i="1"/>
  <c r="W74" i="1"/>
  <c r="V74" i="1"/>
  <c r="U74" i="1"/>
  <c r="T74" i="1"/>
  <c r="S74" i="1"/>
  <c r="R74" i="1"/>
  <c r="Q74" i="1"/>
  <c r="W73" i="1"/>
  <c r="V73" i="1"/>
  <c r="U73" i="1"/>
  <c r="T73" i="1"/>
  <c r="S73" i="1"/>
  <c r="R73" i="1"/>
  <c r="Q73" i="1"/>
  <c r="W72" i="1"/>
  <c r="V72" i="1"/>
  <c r="U72" i="1"/>
  <c r="T72" i="1"/>
  <c r="S72" i="1"/>
  <c r="R72" i="1"/>
  <c r="Q72" i="1"/>
  <c r="W71" i="1"/>
  <c r="V71" i="1"/>
  <c r="U71" i="1"/>
  <c r="T71" i="1"/>
  <c r="S71" i="1"/>
  <c r="R71" i="1"/>
  <c r="Q71" i="1"/>
  <c r="W70" i="1"/>
  <c r="V70" i="1"/>
  <c r="U70" i="1"/>
  <c r="T70" i="1"/>
  <c r="S70" i="1"/>
  <c r="R70" i="1"/>
  <c r="Q70" i="1"/>
  <c r="W69" i="1"/>
  <c r="V69" i="1"/>
  <c r="U69" i="1"/>
  <c r="T69" i="1"/>
  <c r="S69" i="1"/>
  <c r="R69" i="1"/>
  <c r="Q69" i="1"/>
  <c r="W68" i="1"/>
  <c r="V68" i="1"/>
  <c r="U68" i="1"/>
  <c r="T68" i="1"/>
  <c r="S68" i="1"/>
  <c r="R68" i="1"/>
  <c r="Q68" i="1"/>
  <c r="W67" i="1"/>
  <c r="V67" i="1"/>
  <c r="U67" i="1"/>
  <c r="T67" i="1"/>
  <c r="S67" i="1"/>
  <c r="R67" i="1"/>
  <c r="Q67" i="1"/>
  <c r="W66" i="1"/>
  <c r="V66" i="1"/>
  <c r="U66" i="1"/>
  <c r="T66" i="1"/>
  <c r="S66" i="1"/>
  <c r="R66" i="1"/>
  <c r="Q66" i="1"/>
  <c r="W65" i="1"/>
  <c r="V65" i="1"/>
  <c r="U65" i="1"/>
  <c r="T65" i="1"/>
  <c r="S65" i="1"/>
  <c r="R65" i="1"/>
  <c r="Q65" i="1"/>
  <c r="W64" i="1"/>
  <c r="V64" i="1"/>
  <c r="U64" i="1"/>
  <c r="T64" i="1"/>
  <c r="S64" i="1"/>
  <c r="R64" i="1"/>
  <c r="Q64" i="1"/>
  <c r="W63" i="1"/>
  <c r="V63" i="1"/>
  <c r="U63" i="1"/>
  <c r="T63" i="1"/>
  <c r="S63" i="1"/>
  <c r="R63" i="1"/>
  <c r="Q63" i="1"/>
  <c r="W62" i="1"/>
  <c r="V62" i="1"/>
  <c r="U62" i="1"/>
  <c r="T62" i="1"/>
  <c r="S62" i="1"/>
  <c r="R62" i="1"/>
  <c r="Q62" i="1"/>
  <c r="W61" i="1"/>
  <c r="V61" i="1"/>
  <c r="U61" i="1"/>
  <c r="T61" i="1"/>
  <c r="S61" i="1"/>
  <c r="R61" i="1"/>
  <c r="Q61" i="1"/>
  <c r="W60" i="1"/>
  <c r="V60" i="1"/>
  <c r="U60" i="1"/>
  <c r="T60" i="1"/>
  <c r="S60" i="1"/>
  <c r="R60" i="1"/>
  <c r="Q60" i="1"/>
  <c r="W59" i="1"/>
  <c r="V59" i="1"/>
  <c r="U59" i="1"/>
  <c r="T59" i="1"/>
  <c r="S59" i="1"/>
  <c r="R59" i="1"/>
  <c r="Q59" i="1"/>
  <c r="W58" i="1"/>
  <c r="V58" i="1"/>
  <c r="U58" i="1"/>
  <c r="T58" i="1"/>
  <c r="S58" i="1"/>
  <c r="R58" i="1"/>
  <c r="Q58" i="1"/>
  <c r="W57" i="1"/>
  <c r="V57" i="1"/>
  <c r="U57" i="1"/>
  <c r="T57" i="1"/>
  <c r="S57" i="1"/>
  <c r="R57" i="1"/>
  <c r="Q57" i="1"/>
  <c r="W56" i="1"/>
  <c r="V56" i="1"/>
  <c r="U56" i="1"/>
  <c r="T56" i="1"/>
  <c r="S56" i="1"/>
  <c r="R56" i="1"/>
  <c r="Q56" i="1"/>
  <c r="W55" i="1"/>
  <c r="V55" i="1"/>
  <c r="U55" i="1"/>
  <c r="T55" i="1"/>
  <c r="S55" i="1"/>
  <c r="R55" i="1"/>
  <c r="Q55" i="1"/>
  <c r="W54" i="1"/>
  <c r="V54" i="1"/>
  <c r="U54" i="1"/>
  <c r="T54" i="1"/>
  <c r="S54" i="1"/>
  <c r="R54" i="1"/>
  <c r="Q54" i="1"/>
  <c r="W53" i="1"/>
  <c r="V53" i="1"/>
  <c r="U53" i="1"/>
  <c r="T53" i="1"/>
  <c r="S53" i="1"/>
  <c r="R53" i="1"/>
  <c r="Q53" i="1"/>
  <c r="W52" i="1"/>
  <c r="V52" i="1"/>
  <c r="U52" i="1"/>
  <c r="T52" i="1"/>
  <c r="S52" i="1"/>
  <c r="R52" i="1"/>
  <c r="Q52" i="1"/>
  <c r="W51" i="1"/>
  <c r="V51" i="1"/>
  <c r="U51" i="1"/>
  <c r="T51" i="1"/>
  <c r="S51" i="1"/>
  <c r="R51" i="1"/>
  <c r="Q51" i="1"/>
  <c r="W50" i="1"/>
  <c r="V50" i="1"/>
  <c r="U50" i="1"/>
  <c r="T50" i="1"/>
  <c r="S50" i="1"/>
  <c r="R50" i="1"/>
  <c r="Q50" i="1"/>
  <c r="W49" i="1"/>
  <c r="V49" i="1"/>
  <c r="U49" i="1"/>
  <c r="T49" i="1"/>
  <c r="S49" i="1"/>
  <c r="R49" i="1"/>
  <c r="Q49" i="1"/>
  <c r="W48" i="1"/>
  <c r="V48" i="1"/>
  <c r="U48" i="1"/>
  <c r="T48" i="1"/>
  <c r="S48" i="1"/>
  <c r="R48" i="1"/>
  <c r="Q48" i="1"/>
  <c r="W47" i="1"/>
  <c r="V47" i="1"/>
  <c r="U47" i="1"/>
  <c r="T47" i="1"/>
  <c r="S47" i="1"/>
  <c r="R47" i="1"/>
  <c r="Q47" i="1"/>
  <c r="W46" i="1"/>
  <c r="V46" i="1"/>
  <c r="U46" i="1"/>
  <c r="T46" i="1"/>
  <c r="S46" i="1"/>
  <c r="R46" i="1"/>
  <c r="Q46" i="1"/>
  <c r="W45" i="1"/>
  <c r="V45" i="1"/>
  <c r="U45" i="1"/>
  <c r="T45" i="1"/>
  <c r="S45" i="1"/>
  <c r="R45" i="1"/>
  <c r="Q45" i="1"/>
  <c r="W44" i="1"/>
  <c r="V44" i="1"/>
  <c r="U44" i="1"/>
  <c r="T44" i="1"/>
  <c r="S44" i="1"/>
  <c r="R44" i="1"/>
  <c r="Q44" i="1"/>
  <c r="W43" i="1"/>
  <c r="V43" i="1"/>
  <c r="U43" i="1"/>
  <c r="T43" i="1"/>
  <c r="S43" i="1"/>
  <c r="R43" i="1"/>
  <c r="Q43" i="1"/>
  <c r="W42" i="1"/>
  <c r="V42" i="1"/>
  <c r="U42" i="1"/>
  <c r="T42" i="1"/>
  <c r="S42" i="1"/>
  <c r="R42" i="1"/>
  <c r="Q42" i="1"/>
  <c r="W41" i="1"/>
  <c r="V41" i="1"/>
  <c r="U41" i="1"/>
  <c r="T41" i="1"/>
  <c r="S41" i="1"/>
  <c r="R41" i="1"/>
  <c r="Q41" i="1"/>
  <c r="W40" i="1"/>
  <c r="V40" i="1"/>
  <c r="U40" i="1"/>
  <c r="T40" i="1"/>
  <c r="S40" i="1"/>
  <c r="R40" i="1"/>
  <c r="Q40" i="1"/>
  <c r="W39" i="1"/>
  <c r="V39" i="1"/>
  <c r="U39" i="1"/>
  <c r="T39" i="1"/>
  <c r="S39" i="1"/>
  <c r="R39" i="1"/>
  <c r="Q39" i="1"/>
  <c r="W38" i="1"/>
  <c r="V38" i="1"/>
  <c r="U38" i="1"/>
  <c r="T38" i="1"/>
  <c r="S38" i="1"/>
  <c r="R38" i="1"/>
  <c r="Q38" i="1"/>
  <c r="W37" i="1"/>
  <c r="V37" i="1"/>
  <c r="U37" i="1"/>
  <c r="T37" i="1"/>
  <c r="S37" i="1"/>
  <c r="R37" i="1"/>
  <c r="Q37" i="1"/>
  <c r="W36" i="1"/>
  <c r="V36" i="1"/>
  <c r="U36" i="1"/>
  <c r="T36" i="1"/>
  <c r="S36" i="1"/>
  <c r="R36" i="1"/>
  <c r="Q36" i="1"/>
  <c r="W35" i="1"/>
  <c r="V35" i="1"/>
  <c r="U35" i="1"/>
  <c r="T35" i="1"/>
  <c r="S35" i="1"/>
  <c r="R35" i="1"/>
  <c r="Q35" i="1"/>
  <c r="W34" i="1"/>
  <c r="V34" i="1"/>
  <c r="U34" i="1"/>
  <c r="T34" i="1"/>
  <c r="S34" i="1"/>
  <c r="R34" i="1"/>
  <c r="Q34" i="1"/>
  <c r="W33" i="1"/>
  <c r="V33" i="1"/>
  <c r="U33" i="1"/>
  <c r="T33" i="1"/>
  <c r="S33" i="1"/>
  <c r="R33" i="1"/>
  <c r="Q33" i="1"/>
  <c r="W32" i="1"/>
  <c r="V32" i="1"/>
  <c r="U32" i="1"/>
  <c r="T32" i="1"/>
  <c r="S32" i="1"/>
  <c r="R32" i="1"/>
  <c r="Q32" i="1"/>
  <c r="W31" i="1"/>
  <c r="V31" i="1"/>
  <c r="U31" i="1"/>
  <c r="T31" i="1"/>
  <c r="S31" i="1"/>
  <c r="R31" i="1"/>
  <c r="Q31" i="1"/>
  <c r="W30" i="1"/>
  <c r="V30" i="1"/>
  <c r="U30" i="1"/>
  <c r="T30" i="1"/>
  <c r="S30" i="1"/>
  <c r="R30" i="1"/>
  <c r="Q30" i="1"/>
  <c r="W29" i="1"/>
  <c r="V29" i="1"/>
  <c r="U29" i="1"/>
  <c r="T29" i="1"/>
  <c r="S29" i="1"/>
  <c r="R29" i="1"/>
  <c r="Q29" i="1"/>
  <c r="W28" i="1"/>
  <c r="V28" i="1"/>
  <c r="U28" i="1"/>
  <c r="T28" i="1"/>
  <c r="S28" i="1"/>
  <c r="R28" i="1"/>
  <c r="Q28" i="1"/>
  <c r="W27" i="1"/>
  <c r="V27" i="1"/>
  <c r="U27" i="1"/>
  <c r="T27" i="1"/>
  <c r="S27" i="1"/>
  <c r="R27" i="1"/>
  <c r="Q27" i="1"/>
  <c r="W26" i="1"/>
  <c r="V26" i="1"/>
  <c r="U26" i="1"/>
  <c r="T26" i="1"/>
  <c r="S26" i="1"/>
  <c r="R26" i="1"/>
  <c r="Q26" i="1"/>
  <c r="W25" i="1"/>
  <c r="V25" i="1"/>
  <c r="U25" i="1"/>
  <c r="T25" i="1"/>
  <c r="S25" i="1"/>
  <c r="R25" i="1"/>
  <c r="Q25" i="1"/>
  <c r="W24" i="1"/>
  <c r="V24" i="1"/>
  <c r="U24" i="1"/>
  <c r="T24" i="1"/>
  <c r="S24" i="1"/>
  <c r="R24" i="1"/>
  <c r="Q24" i="1"/>
  <c r="W23" i="1"/>
  <c r="V23" i="1"/>
  <c r="U23" i="1"/>
  <c r="T23" i="1"/>
  <c r="S23" i="1"/>
  <c r="R23" i="1"/>
  <c r="Q23" i="1"/>
  <c r="W22" i="1"/>
  <c r="V22" i="1"/>
  <c r="U22" i="1"/>
  <c r="T22" i="1"/>
  <c r="S22" i="1"/>
  <c r="R22" i="1"/>
  <c r="Q22" i="1"/>
  <c r="W21" i="1"/>
  <c r="V21" i="1"/>
  <c r="U21" i="1"/>
  <c r="T21" i="1"/>
  <c r="S21" i="1"/>
  <c r="R21" i="1"/>
  <c r="Q21" i="1"/>
  <c r="W20" i="1"/>
  <c r="V20" i="1"/>
  <c r="U20" i="1"/>
  <c r="T20" i="1"/>
  <c r="S20" i="1"/>
  <c r="R20" i="1"/>
  <c r="Q20" i="1"/>
  <c r="W19" i="1"/>
  <c r="V19" i="1"/>
  <c r="U19" i="1"/>
  <c r="T19" i="1"/>
  <c r="S19" i="1"/>
  <c r="R19" i="1"/>
  <c r="Q19" i="1"/>
  <c r="W18" i="1"/>
  <c r="V18" i="1"/>
  <c r="U18" i="1"/>
  <c r="T18" i="1"/>
  <c r="S18" i="1"/>
  <c r="R18" i="1"/>
  <c r="Q18" i="1"/>
  <c r="W17" i="1"/>
  <c r="V17" i="1"/>
  <c r="U17" i="1"/>
  <c r="T17" i="1"/>
  <c r="S17" i="1"/>
  <c r="R17" i="1"/>
  <c r="Q17" i="1"/>
  <c r="W16" i="1"/>
  <c r="V16" i="1"/>
  <c r="U16" i="1"/>
  <c r="T16" i="1"/>
  <c r="S16" i="1"/>
  <c r="R16" i="1"/>
  <c r="Q16" i="1"/>
  <c r="W15" i="1"/>
  <c r="V15" i="1"/>
  <c r="U15" i="1"/>
  <c r="T15" i="1"/>
  <c r="S15" i="1"/>
  <c r="R15" i="1"/>
  <c r="Q15" i="1"/>
  <c r="W14" i="1"/>
  <c r="V14" i="1"/>
  <c r="U14" i="1"/>
  <c r="T14" i="1"/>
  <c r="S14" i="1"/>
  <c r="R14" i="1"/>
  <c r="Q14" i="1"/>
  <c r="W13" i="1"/>
  <c r="V13" i="1"/>
  <c r="U13" i="1"/>
  <c r="T13" i="1"/>
  <c r="S13" i="1"/>
  <c r="R13" i="1"/>
  <c r="Q13" i="1"/>
  <c r="W12" i="1"/>
  <c r="V12" i="1"/>
  <c r="U12" i="1"/>
  <c r="T12" i="1"/>
  <c r="S12" i="1"/>
  <c r="R12" i="1"/>
  <c r="Q12" i="1"/>
  <c r="W11" i="1"/>
  <c r="V11" i="1"/>
  <c r="U11" i="1"/>
  <c r="T11" i="1"/>
  <c r="S11" i="1"/>
  <c r="R11" i="1"/>
  <c r="Q11" i="1"/>
  <c r="W10" i="1"/>
  <c r="V10" i="1"/>
  <c r="U10" i="1"/>
  <c r="T10" i="1"/>
  <c r="S10" i="1"/>
  <c r="R10" i="1"/>
  <c r="Q10" i="1"/>
  <c r="W9" i="1"/>
  <c r="V9" i="1"/>
  <c r="U9" i="1"/>
  <c r="T9" i="1"/>
  <c r="S9" i="1"/>
  <c r="R9" i="1"/>
  <c r="Q9" i="1"/>
  <c r="W8" i="1"/>
  <c r="V8" i="1"/>
  <c r="U8" i="1"/>
  <c r="T8" i="1"/>
  <c r="S8" i="1"/>
  <c r="R8" i="1"/>
  <c r="Q8" i="1"/>
  <c r="W7" i="1"/>
  <c r="V7" i="1"/>
  <c r="U7" i="1"/>
  <c r="T7" i="1"/>
  <c r="S7" i="1"/>
  <c r="R7" i="1"/>
  <c r="Q7" i="1"/>
  <c r="W6" i="1"/>
  <c r="V6" i="1"/>
  <c r="U6" i="1"/>
  <c r="T6" i="1"/>
  <c r="S6" i="1"/>
  <c r="R6" i="1"/>
  <c r="Q6" i="1"/>
  <c r="W5" i="1"/>
  <c r="V5" i="1"/>
  <c r="U5" i="1"/>
  <c r="T5" i="1"/>
  <c r="S5" i="1"/>
  <c r="R5" i="1"/>
  <c r="Q5" i="1"/>
  <c r="W4" i="1"/>
  <c r="V4" i="1"/>
  <c r="U4" i="1"/>
  <c r="T4" i="1"/>
  <c r="S4" i="1"/>
  <c r="R4" i="1"/>
  <c r="Q4" i="1"/>
  <c r="W3" i="1"/>
  <c r="V3" i="1"/>
  <c r="U3" i="1"/>
  <c r="T3" i="1"/>
  <c r="S3" i="1"/>
  <c r="R3" i="1"/>
  <c r="Q3" i="1"/>
  <c r="W2" i="1"/>
  <c r="V2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<sst xmlns="http://schemas.openxmlformats.org/spreadsheetml/2006/main" count="42" uniqueCount="42">
  <si>
    <t>﻿CAL_DATE</t>
  </si>
  <si>
    <t>HARTALIK_TEEJ</t>
  </si>
  <si>
    <t>GANESH_CHATURTHI</t>
  </si>
  <si>
    <t>JANMASHTAMI</t>
  </si>
  <si>
    <t>VISHWAKARMA_PUJA</t>
  </si>
  <si>
    <t>KARWA_CHAUTH</t>
  </si>
  <si>
    <t>ONAM</t>
  </si>
  <si>
    <t>HANUMAN_JAYANTI</t>
  </si>
  <si>
    <t>AKSHYA_TRITIYA</t>
  </si>
  <si>
    <t>BUDDHA_PURNIMA</t>
  </si>
  <si>
    <t>GANGA_DUSSEHRA</t>
  </si>
  <si>
    <t>JAGANNATH_RATHYATRA</t>
  </si>
  <si>
    <t>GURU_PURNIMA</t>
  </si>
  <si>
    <t>NAG_PANCHAMI</t>
  </si>
  <si>
    <t>RAKSHA_BANDHAN</t>
  </si>
  <si>
    <t>MARRIAGE_DAY</t>
  </si>
  <si>
    <t>FESTIVE_DAYS_FROM_DIWALI</t>
  </si>
  <si>
    <t>IS_NAVRATARI</t>
  </si>
  <si>
    <t>IS_NAVRATARI_START</t>
  </si>
  <si>
    <t>IS_NAVRATARI_END</t>
  </si>
  <si>
    <t>IS_DUSSEHRA</t>
  </si>
  <si>
    <t>IS_PITRA_PAKSHA</t>
  </si>
  <si>
    <t>IS_DHANTERAS</t>
  </si>
  <si>
    <t>YEAR</t>
  </si>
  <si>
    <t>NAVRATRI_START</t>
  </si>
  <si>
    <t>NAVRATRI_END</t>
  </si>
  <si>
    <t>DUSSEHRA</t>
  </si>
  <si>
    <t>PITRA_START_SUPPLIED</t>
  </si>
  <si>
    <t>PITRA_END_SUPPLIED</t>
  </si>
  <si>
    <t>DHANTERAS</t>
  </si>
  <si>
    <t>DIWALI</t>
  </si>
  <si>
    <t>PITRA_FEATURE_START</t>
  </si>
  <si>
    <t>PITRA_FEATURE_END</t>
  </si>
  <si>
    <t>Definitions and source decisions</t>
  </si>
  <si>
    <t>Dates: supplied Festive Dates 2026-27 worksheet. Historical column headings determine years; month/day values are retained.</t>
  </si>
  <si>
    <t>2026 Diwali: November 8, from the original matrix D=1. The supplied 2026 Diwali cell contains text rather than a date.</t>
  </si>
  <si>
    <t>FESTIVE_DAYS_FROM_DIWALI = CAL_DATE minus same-year Diwali, clipped to [-20, +10]. Before Diwali is negative.</t>
  </si>
  <si>
    <t>IS_NAVRATARI marks dates strictly between the supplied Navratri start and Mahanavami dates; endpoints have separate flags.</t>
  </si>
  <si>
    <t>The supplied 2024 Mahanavami and Dussehra both fall on October 12. Both flags equal 1 on that date.</t>
  </si>
  <si>
    <t>IS_PITRA_PAKSHA follows Feature_engineering_set_up: the 16 days immediately before Navratri (N-16 through N-1).</t>
  </si>
  <si>
    <t>This gives September 6-21 in 2025 and September 25-October 10 in 2026, differing from the supplied starts retained in column E.</t>
  </si>
  <si>
    <t>Removed the 35 explicitly listed offset columns. N and D are retained unchanged. All 1,347 input dates and other values are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</si>
</sst>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48"/>
  <sheetViews>
    <sheetView showGridLines="0" tabSelected="1" workbookViewId="0">
      <pane xSplit="1" ySplit="1" topLeftCell="M2" activePane="bottomRight" state="frozen"/>
      <selection pane="topRight"/>
      <selection pane="bottomLeft"/>
      <selection pane="bottomRight" activeCell="Q1" sqref="Q1"/>
    </sheetView>
  </sheetViews>
  <sheetFormatPr defaultRowHeight="14"/>
  <cols>
    <col min="1" max="1" width="14" style="10" customWidth="1"/>
    <col min="2" max="11" width="20" style="10" customWidth="1"/>
    <col min="12" max="12" width="23.4140625" style="10" customWidth="1"/>
    <col min="13" max="16" width="20" style="10" customWidth="1"/>
    <col min="17" max="17" width="29" style="10" customWidth="1"/>
    <col min="18" max="23" width="24" style="10" customWidth="1"/>
  </cols>
  <sheetData>
    <row r="1" spans="1:51" s="6" customFormat="1" ht="48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>
      <c r="A2" s="8">
        <v>45017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f>MAX(-20,MIN(10,$A2-VLOOKUP(YEAR($A2),'Festive dates'!$A$2:$J$5,8,FALSE)))</f>
        <v>-20</v>
      </c>
      <c r="R2" s="9">
        <f>IF(AND($A2&gt;VLOOKUP(YEAR($A2),'Festive dates'!$A$2:$J$5,2,FALSE),$A2&lt;VLOOKUP(YEAR($A2),'Festive dates'!$A$2:$J$5,3,FALSE)),1,0)</f>
        <v>0</v>
      </c>
      <c r="S2" s="9">
        <f>IF($A2=VLOOKUP(YEAR($A2),'Festive dates'!$A$2:$J$5,2,FALSE),1,0)</f>
        <v>0</v>
      </c>
      <c r="T2" s="9">
        <f>IF($A2=VLOOKUP(YEAR($A2),'Festive dates'!$A$2:$J$5,3,FALSE),1,0)</f>
        <v>0</v>
      </c>
      <c r="U2" s="9">
        <f>IF($A2=VLOOKUP(YEAR($A2),'Festive dates'!$A$2:$J$5,4,FALSE),1,0)</f>
        <v>0</v>
      </c>
      <c r="V2" s="9">
        <f>IF(AND($A2&gt;=VLOOKUP(YEAR($A2),'Festive dates'!$A$2:$J$5,9,FALSE),$A2&lt;=VLOOKUP(YEAR($A2),'Festive dates'!$A$2:$J$5,10,FALSE)),1,0)</f>
        <v>0</v>
      </c>
      <c r="W2" s="9">
        <f>IF($A2=VLOOKUP(YEAR($A2),'Festive dates'!$A$2:$J$5,7,FALSE),1,0)</f>
        <v>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>
      <c r="A3" s="8">
        <v>45018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f>MAX(-20,MIN(10,$A3-VLOOKUP(YEAR($A3),'Festive dates'!$A$2:$J$5,8,FALSE)))</f>
        <v>-20</v>
      </c>
      <c r="R3" s="9">
        <f>IF(AND($A3&gt;VLOOKUP(YEAR($A3),'Festive dates'!$A$2:$J$5,2,FALSE),$A3&lt;VLOOKUP(YEAR($A3),'Festive dates'!$A$2:$J$5,3,FALSE)),1,0)</f>
        <v>0</v>
      </c>
      <c r="S3" s="9">
        <f>IF($A3=VLOOKUP(YEAR($A3),'Festive dates'!$A$2:$J$5,2,FALSE),1,0)</f>
        <v>0</v>
      </c>
      <c r="T3" s="9">
        <f>IF($A3=VLOOKUP(YEAR($A3),'Festive dates'!$A$2:$J$5,3,FALSE),1,0)</f>
        <v>0</v>
      </c>
      <c r="U3" s="9">
        <f>IF($A3=VLOOKUP(YEAR($A3),'Festive dates'!$A$2:$J$5,4,FALSE),1,0)</f>
        <v>0</v>
      </c>
      <c r="V3" s="9">
        <f>IF(AND($A3&gt;=VLOOKUP(YEAR($A3),'Festive dates'!$A$2:$J$5,9,FALSE),$A3&lt;=VLOOKUP(YEAR($A3),'Festive dates'!$A$2:$J$5,10,FALSE)),1,0)</f>
        <v>0</v>
      </c>
      <c r="W3" s="9">
        <f>IF($A3=VLOOKUP(YEAR($A3),'Festive dates'!$A$2:$J$5,7,FALSE),1,0)</f>
        <v>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>
      <c r="A4" s="8">
        <v>45019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f>MAX(-20,MIN(10,$A4-VLOOKUP(YEAR($A4),'Festive dates'!$A$2:$J$5,8,FALSE)))</f>
        <v>-20</v>
      </c>
      <c r="R4" s="9">
        <f>IF(AND($A4&gt;VLOOKUP(YEAR($A4),'Festive dates'!$A$2:$J$5,2,FALSE),$A4&lt;VLOOKUP(YEAR($A4),'Festive dates'!$A$2:$J$5,3,FALSE)),1,0)</f>
        <v>0</v>
      </c>
      <c r="S4" s="9">
        <f>IF($A4=VLOOKUP(YEAR($A4),'Festive dates'!$A$2:$J$5,2,FALSE),1,0)</f>
        <v>0</v>
      </c>
      <c r="T4" s="9">
        <f>IF($A4=VLOOKUP(YEAR($A4),'Festive dates'!$A$2:$J$5,3,FALSE),1,0)</f>
        <v>0</v>
      </c>
      <c r="U4" s="9">
        <f>IF($A4=VLOOKUP(YEAR($A4),'Festive dates'!$A$2:$J$5,4,FALSE),1,0)</f>
        <v>0</v>
      </c>
      <c r="V4" s="9">
        <f>IF(AND($A4&gt;=VLOOKUP(YEAR($A4),'Festive dates'!$A$2:$J$5,9,FALSE),$A4&lt;=VLOOKUP(YEAR($A4),'Festive dates'!$A$2:$J$5,10,FALSE)),1,0)</f>
        <v>0</v>
      </c>
      <c r="W4" s="9">
        <f>IF($A4=VLOOKUP(YEAR($A4),'Festive dates'!$A$2:$J$5,7,FALSE),1,0)</f>
        <v>0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>
      <c r="A5" s="8">
        <v>45020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f>MAX(-20,MIN(10,$A5-VLOOKUP(YEAR($A5),'Festive dates'!$A$2:$J$5,8,FALSE)))</f>
        <v>-20</v>
      </c>
      <c r="R5" s="9">
        <f>IF(AND($A5&gt;VLOOKUP(YEAR($A5),'Festive dates'!$A$2:$J$5,2,FALSE),$A5&lt;VLOOKUP(YEAR($A5),'Festive dates'!$A$2:$J$5,3,FALSE)),1,0)</f>
        <v>0</v>
      </c>
      <c r="S5" s="9">
        <f>IF($A5=VLOOKUP(YEAR($A5),'Festive dates'!$A$2:$J$5,2,FALSE),1,0)</f>
        <v>0</v>
      </c>
      <c r="T5" s="9">
        <f>IF($A5=VLOOKUP(YEAR($A5),'Festive dates'!$A$2:$J$5,3,FALSE),1,0)</f>
        <v>0</v>
      </c>
      <c r="U5" s="9">
        <f>IF($A5=VLOOKUP(YEAR($A5),'Festive dates'!$A$2:$J$5,4,FALSE),1,0)</f>
        <v>0</v>
      </c>
      <c r="V5" s="9">
        <f>IF(AND($A5&gt;=VLOOKUP(YEAR($A5),'Festive dates'!$A$2:$J$5,9,FALSE),$A5&lt;=VLOOKUP(YEAR($A5),'Festive dates'!$A$2:$J$5,10,FALSE)),1,0)</f>
        <v>0</v>
      </c>
      <c r="W5" s="9">
        <f>IF($A5=VLOOKUP(YEAR($A5),'Festive dates'!$A$2:$J$5,7,FALSE),1,0)</f>
        <v>0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>
      <c r="A6" s="8">
        <v>45021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f>MAX(-20,MIN(10,$A6-VLOOKUP(YEAR($A6),'Festive dates'!$A$2:$J$5,8,FALSE)))</f>
        <v>-20</v>
      </c>
      <c r="R6" s="9">
        <f>IF(AND($A6&gt;VLOOKUP(YEAR($A6),'Festive dates'!$A$2:$J$5,2,FALSE),$A6&lt;VLOOKUP(YEAR($A6),'Festive dates'!$A$2:$J$5,3,FALSE)),1,0)</f>
        <v>0</v>
      </c>
      <c r="S6" s="9">
        <f>IF($A6=VLOOKUP(YEAR($A6),'Festive dates'!$A$2:$J$5,2,FALSE),1,0)</f>
        <v>0</v>
      </c>
      <c r="T6" s="9">
        <f>IF($A6=VLOOKUP(YEAR($A6),'Festive dates'!$A$2:$J$5,3,FALSE),1,0)</f>
        <v>0</v>
      </c>
      <c r="U6" s="9">
        <f>IF($A6=VLOOKUP(YEAR($A6),'Festive dates'!$A$2:$J$5,4,FALSE),1,0)</f>
        <v>0</v>
      </c>
      <c r="V6" s="9">
        <f>IF(AND($A6&gt;=VLOOKUP(YEAR($A6),'Festive dates'!$A$2:$J$5,9,FALSE),$A6&lt;=VLOOKUP(YEAR($A6),'Festive dates'!$A$2:$J$5,10,FALSE)),1,0)</f>
        <v>0</v>
      </c>
      <c r="W6" s="9">
        <f>IF($A6=VLOOKUP(YEAR($A6),'Festive dates'!$A$2:$J$5,7,FALSE),1,0)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>
      <c r="A7" s="8">
        <v>45022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f>MAX(-20,MIN(10,$A7-VLOOKUP(YEAR($A7),'Festive dates'!$A$2:$J$5,8,FALSE)))</f>
        <v>-20</v>
      </c>
      <c r="R7" s="9">
        <f>IF(AND($A7&gt;VLOOKUP(YEAR($A7),'Festive dates'!$A$2:$J$5,2,FALSE),$A7&lt;VLOOKUP(YEAR($A7),'Festive dates'!$A$2:$J$5,3,FALSE)),1,0)</f>
        <v>0</v>
      </c>
      <c r="S7" s="9">
        <f>IF($A7=VLOOKUP(YEAR($A7),'Festive dates'!$A$2:$J$5,2,FALSE),1,0)</f>
        <v>0</v>
      </c>
      <c r="T7" s="9">
        <f>IF($A7=VLOOKUP(YEAR($A7),'Festive dates'!$A$2:$J$5,3,FALSE),1,0)</f>
        <v>0</v>
      </c>
      <c r="U7" s="9">
        <f>IF($A7=VLOOKUP(YEAR($A7),'Festive dates'!$A$2:$J$5,4,FALSE),1,0)</f>
        <v>0</v>
      </c>
      <c r="V7" s="9">
        <f>IF(AND($A7&gt;=VLOOKUP(YEAR($A7),'Festive dates'!$A$2:$J$5,9,FALSE),$A7&lt;=VLOOKUP(YEAR($A7),'Festive dates'!$A$2:$J$5,10,FALSE)),1,0)</f>
        <v>0</v>
      </c>
      <c r="W7" s="9">
        <f>IF($A7=VLOOKUP(YEAR($A7),'Festive dates'!$A$2:$J$5,7,FALSE),1,0)</f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>
      <c r="A8" s="8">
        <v>45023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f>MAX(-20,MIN(10,$A8-VLOOKUP(YEAR($A8),'Festive dates'!$A$2:$J$5,8,FALSE)))</f>
        <v>-20</v>
      </c>
      <c r="R8" s="9">
        <f>IF(AND($A8&gt;VLOOKUP(YEAR($A8),'Festive dates'!$A$2:$J$5,2,FALSE),$A8&lt;VLOOKUP(YEAR($A8),'Festive dates'!$A$2:$J$5,3,FALSE)),1,0)</f>
        <v>0</v>
      </c>
      <c r="S8" s="9">
        <f>IF($A8=VLOOKUP(YEAR($A8),'Festive dates'!$A$2:$J$5,2,FALSE),1,0)</f>
        <v>0</v>
      </c>
      <c r="T8" s="9">
        <f>IF($A8=VLOOKUP(YEAR($A8),'Festive dates'!$A$2:$J$5,3,FALSE),1,0)</f>
        <v>0</v>
      </c>
      <c r="U8" s="9">
        <f>IF($A8=VLOOKUP(YEAR($A8),'Festive dates'!$A$2:$J$5,4,FALSE),1,0)</f>
        <v>0</v>
      </c>
      <c r="V8" s="9">
        <f>IF(AND($A8&gt;=VLOOKUP(YEAR($A8),'Festive dates'!$A$2:$J$5,9,FALSE),$A8&lt;=VLOOKUP(YEAR($A8),'Festive dates'!$A$2:$J$5,10,FALSE)),1,0)</f>
        <v>0</v>
      </c>
      <c r="W8" s="9">
        <f>IF($A8=VLOOKUP(YEAR($A8),'Festive dates'!$A$2:$J$5,7,FALSE),1,0)</f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>
      <c r="A9" s="8">
        <v>45024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f>MAX(-20,MIN(10,$A9-VLOOKUP(YEAR($A9),'Festive dates'!$A$2:$J$5,8,FALSE)))</f>
        <v>-20</v>
      </c>
      <c r="R9" s="9">
        <f>IF(AND($A9&gt;VLOOKUP(YEAR($A9),'Festive dates'!$A$2:$J$5,2,FALSE),$A9&lt;VLOOKUP(YEAR($A9),'Festive dates'!$A$2:$J$5,3,FALSE)),1,0)</f>
        <v>0</v>
      </c>
      <c r="S9" s="9">
        <f>IF($A9=VLOOKUP(YEAR($A9),'Festive dates'!$A$2:$J$5,2,FALSE),1,0)</f>
        <v>0</v>
      </c>
      <c r="T9" s="9">
        <f>IF($A9=VLOOKUP(YEAR($A9),'Festive dates'!$A$2:$J$5,3,FALSE),1,0)</f>
        <v>0</v>
      </c>
      <c r="U9" s="9">
        <f>IF($A9=VLOOKUP(YEAR($A9),'Festive dates'!$A$2:$J$5,4,FALSE),1,0)</f>
        <v>0</v>
      </c>
      <c r="V9" s="9">
        <f>IF(AND($A9&gt;=VLOOKUP(YEAR($A9),'Festive dates'!$A$2:$J$5,9,FALSE),$A9&lt;=VLOOKUP(YEAR($A9),'Festive dates'!$A$2:$J$5,10,FALSE)),1,0)</f>
        <v>0</v>
      </c>
      <c r="W9" s="9">
        <f>IF($A9=VLOOKUP(YEAR($A9),'Festive dates'!$A$2:$J$5,7,FALSE),1,0)</f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>
      <c r="A10" s="8">
        <v>45025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f>MAX(-20,MIN(10,$A10-VLOOKUP(YEAR($A10),'Festive dates'!$A$2:$J$5,8,FALSE)))</f>
        <v>-20</v>
      </c>
      <c r="R10" s="9">
        <f>IF(AND($A10&gt;VLOOKUP(YEAR($A10),'Festive dates'!$A$2:$J$5,2,FALSE),$A10&lt;VLOOKUP(YEAR($A10),'Festive dates'!$A$2:$J$5,3,FALSE)),1,0)</f>
        <v>0</v>
      </c>
      <c r="S10" s="9">
        <f>IF($A10=VLOOKUP(YEAR($A10),'Festive dates'!$A$2:$J$5,2,FALSE),1,0)</f>
        <v>0</v>
      </c>
      <c r="T10" s="9">
        <f>IF($A10=VLOOKUP(YEAR($A10),'Festive dates'!$A$2:$J$5,3,FALSE),1,0)</f>
        <v>0</v>
      </c>
      <c r="U10" s="9">
        <f>IF($A10=VLOOKUP(YEAR($A10),'Festive dates'!$A$2:$J$5,4,FALSE),1,0)</f>
        <v>0</v>
      </c>
      <c r="V10" s="9">
        <f>IF(AND($A10&gt;=VLOOKUP(YEAR($A10),'Festive dates'!$A$2:$J$5,9,FALSE),$A10&lt;=VLOOKUP(YEAR($A10),'Festive dates'!$A$2:$J$5,10,FALSE)),1,0)</f>
        <v>0</v>
      </c>
      <c r="W10" s="9">
        <f>IF($A10=VLOOKUP(YEAR($A10),'Festive dates'!$A$2:$J$5,7,FALSE),1,0)</f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>
      <c r="A11" s="8">
        <v>45026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f>MAX(-20,MIN(10,$A11-VLOOKUP(YEAR($A11),'Festive dates'!$A$2:$J$5,8,FALSE)))</f>
        <v>-20</v>
      </c>
      <c r="R11" s="9">
        <f>IF(AND($A11&gt;VLOOKUP(YEAR($A11),'Festive dates'!$A$2:$J$5,2,FALSE),$A11&lt;VLOOKUP(YEAR($A11),'Festive dates'!$A$2:$J$5,3,FALSE)),1,0)</f>
        <v>0</v>
      </c>
      <c r="S11" s="9">
        <f>IF($A11=VLOOKUP(YEAR($A11),'Festive dates'!$A$2:$J$5,2,FALSE),1,0)</f>
        <v>0</v>
      </c>
      <c r="T11" s="9">
        <f>IF($A11=VLOOKUP(YEAR($A11),'Festive dates'!$A$2:$J$5,3,FALSE),1,0)</f>
        <v>0</v>
      </c>
      <c r="U11" s="9">
        <f>IF($A11=VLOOKUP(YEAR($A11),'Festive dates'!$A$2:$J$5,4,FALSE),1,0)</f>
        <v>0</v>
      </c>
      <c r="V11" s="9">
        <f>IF(AND($A11&gt;=VLOOKUP(YEAR($A11),'Festive dates'!$A$2:$J$5,9,FALSE),$A11&lt;=VLOOKUP(YEAR($A11),'Festive dates'!$A$2:$J$5,10,FALSE)),1,0)</f>
        <v>0</v>
      </c>
      <c r="W11" s="9">
        <f>IF($A11=VLOOKUP(YEAR($A11),'Festive dates'!$A$2:$J$5,7,FALSE),1,0)</f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>
      <c r="A12" s="8">
        <v>45027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f>MAX(-20,MIN(10,$A12-VLOOKUP(YEAR($A12),'Festive dates'!$A$2:$J$5,8,FALSE)))</f>
        <v>-20</v>
      </c>
      <c r="R12" s="9">
        <f>IF(AND($A12&gt;VLOOKUP(YEAR($A12),'Festive dates'!$A$2:$J$5,2,FALSE),$A12&lt;VLOOKUP(YEAR($A12),'Festive dates'!$A$2:$J$5,3,FALSE)),1,0)</f>
        <v>0</v>
      </c>
      <c r="S12" s="9">
        <f>IF($A12=VLOOKUP(YEAR($A12),'Festive dates'!$A$2:$J$5,2,FALSE),1,0)</f>
        <v>0</v>
      </c>
      <c r="T12" s="9">
        <f>IF($A12=VLOOKUP(YEAR($A12),'Festive dates'!$A$2:$J$5,3,FALSE),1,0)</f>
        <v>0</v>
      </c>
      <c r="U12" s="9">
        <f>IF($A12=VLOOKUP(YEAR($A12),'Festive dates'!$A$2:$J$5,4,FALSE),1,0)</f>
        <v>0</v>
      </c>
      <c r="V12" s="9">
        <f>IF(AND($A12&gt;=VLOOKUP(YEAR($A12),'Festive dates'!$A$2:$J$5,9,FALSE),$A12&lt;=VLOOKUP(YEAR($A12),'Festive dates'!$A$2:$J$5,10,FALSE)),1,0)</f>
        <v>0</v>
      </c>
      <c r="W12" s="9">
        <f>IF($A12=VLOOKUP(YEAR($A12),'Festive dates'!$A$2:$J$5,7,FALSE),1,0)</f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>
      <c r="A13" s="8">
        <v>45028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f>MAX(-20,MIN(10,$A13-VLOOKUP(YEAR($A13),'Festive dates'!$A$2:$J$5,8,FALSE)))</f>
        <v>-20</v>
      </c>
      <c r="R13" s="9">
        <f>IF(AND($A13&gt;VLOOKUP(YEAR($A13),'Festive dates'!$A$2:$J$5,2,FALSE),$A13&lt;VLOOKUP(YEAR($A13),'Festive dates'!$A$2:$J$5,3,FALSE)),1,0)</f>
        <v>0</v>
      </c>
      <c r="S13" s="9">
        <f>IF($A13=VLOOKUP(YEAR($A13),'Festive dates'!$A$2:$J$5,2,FALSE),1,0)</f>
        <v>0</v>
      </c>
      <c r="T13" s="9">
        <f>IF($A13=VLOOKUP(YEAR($A13),'Festive dates'!$A$2:$J$5,3,FALSE),1,0)</f>
        <v>0</v>
      </c>
      <c r="U13" s="9">
        <f>IF($A13=VLOOKUP(YEAR($A13),'Festive dates'!$A$2:$J$5,4,FALSE),1,0)</f>
        <v>0</v>
      </c>
      <c r="V13" s="9">
        <f>IF(AND($A13&gt;=VLOOKUP(YEAR($A13),'Festive dates'!$A$2:$J$5,9,FALSE),$A13&lt;=VLOOKUP(YEAR($A13),'Festive dates'!$A$2:$J$5,10,FALSE)),1,0)</f>
        <v>0</v>
      </c>
      <c r="W13" s="9">
        <f>IF($A13=VLOOKUP(YEAR($A13),'Festive dates'!$A$2:$J$5,7,FALSE),1,0)</f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>
      <c r="A14" s="8">
        <v>45029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f>MAX(-20,MIN(10,$A14-VLOOKUP(YEAR($A14),'Festive dates'!$A$2:$J$5,8,FALSE)))</f>
        <v>-20</v>
      </c>
      <c r="R14" s="9">
        <f>IF(AND($A14&gt;VLOOKUP(YEAR($A14),'Festive dates'!$A$2:$J$5,2,FALSE),$A14&lt;VLOOKUP(YEAR($A14),'Festive dates'!$A$2:$J$5,3,FALSE)),1,0)</f>
        <v>0</v>
      </c>
      <c r="S14" s="9">
        <f>IF($A14=VLOOKUP(YEAR($A14),'Festive dates'!$A$2:$J$5,2,FALSE),1,0)</f>
        <v>0</v>
      </c>
      <c r="T14" s="9">
        <f>IF($A14=VLOOKUP(YEAR($A14),'Festive dates'!$A$2:$J$5,3,FALSE),1,0)</f>
        <v>0</v>
      </c>
      <c r="U14" s="9">
        <f>IF($A14=VLOOKUP(YEAR($A14),'Festive dates'!$A$2:$J$5,4,FALSE),1,0)</f>
        <v>0</v>
      </c>
      <c r="V14" s="9">
        <f>IF(AND($A14&gt;=VLOOKUP(YEAR($A14),'Festive dates'!$A$2:$J$5,9,FALSE),$A14&lt;=VLOOKUP(YEAR($A14),'Festive dates'!$A$2:$J$5,10,FALSE)),1,0)</f>
        <v>0</v>
      </c>
      <c r="W14" s="9">
        <f>IF($A14=VLOOKUP(YEAR($A14),'Festive dates'!$A$2:$J$5,7,FALSE),1,0)</f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>
      <c r="A15" s="8">
        <v>45030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f>MAX(-20,MIN(10,$A15-VLOOKUP(YEAR($A15),'Festive dates'!$A$2:$J$5,8,FALSE)))</f>
        <v>-20</v>
      </c>
      <c r="R15" s="9">
        <f>IF(AND($A15&gt;VLOOKUP(YEAR($A15),'Festive dates'!$A$2:$J$5,2,FALSE),$A15&lt;VLOOKUP(YEAR($A15),'Festive dates'!$A$2:$J$5,3,FALSE)),1,0)</f>
        <v>0</v>
      </c>
      <c r="S15" s="9">
        <f>IF($A15=VLOOKUP(YEAR($A15),'Festive dates'!$A$2:$J$5,2,FALSE),1,0)</f>
        <v>0</v>
      </c>
      <c r="T15" s="9">
        <f>IF($A15=VLOOKUP(YEAR($A15),'Festive dates'!$A$2:$J$5,3,FALSE),1,0)</f>
        <v>0</v>
      </c>
      <c r="U15" s="9">
        <f>IF($A15=VLOOKUP(YEAR($A15),'Festive dates'!$A$2:$J$5,4,FALSE),1,0)</f>
        <v>0</v>
      </c>
      <c r="V15" s="9">
        <f>IF(AND($A15&gt;=VLOOKUP(YEAR($A15),'Festive dates'!$A$2:$J$5,9,FALSE),$A15&lt;=VLOOKUP(YEAR($A15),'Festive dates'!$A$2:$J$5,10,FALSE)),1,0)</f>
        <v>0</v>
      </c>
      <c r="W15" s="9">
        <f>IF($A15=VLOOKUP(YEAR($A15),'Festive dates'!$A$2:$J$5,7,FALSE),1,0)</f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>
      <c r="A16" s="8">
        <v>45031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f>MAX(-20,MIN(10,$A16-VLOOKUP(YEAR($A16),'Festive dates'!$A$2:$J$5,8,FALSE)))</f>
        <v>-20</v>
      </c>
      <c r="R16" s="9">
        <f>IF(AND($A16&gt;VLOOKUP(YEAR($A16),'Festive dates'!$A$2:$J$5,2,FALSE),$A16&lt;VLOOKUP(YEAR($A16),'Festive dates'!$A$2:$J$5,3,FALSE)),1,0)</f>
        <v>0</v>
      </c>
      <c r="S16" s="9">
        <f>IF($A16=VLOOKUP(YEAR($A16),'Festive dates'!$A$2:$J$5,2,FALSE),1,0)</f>
        <v>0</v>
      </c>
      <c r="T16" s="9">
        <f>IF($A16=VLOOKUP(YEAR($A16),'Festive dates'!$A$2:$J$5,3,FALSE),1,0)</f>
        <v>0</v>
      </c>
      <c r="U16" s="9">
        <f>IF($A16=VLOOKUP(YEAR($A16),'Festive dates'!$A$2:$J$5,4,FALSE),1,0)</f>
        <v>0</v>
      </c>
      <c r="V16" s="9">
        <f>IF(AND($A16&gt;=VLOOKUP(YEAR($A16),'Festive dates'!$A$2:$J$5,9,FALSE),$A16&lt;=VLOOKUP(YEAR($A16),'Festive dates'!$A$2:$J$5,10,FALSE)),1,0)</f>
        <v>0</v>
      </c>
      <c r="W16" s="9">
        <f>IF($A16=VLOOKUP(YEAR($A16),'Festive dates'!$A$2:$J$5,7,FALSE),1,0)</f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>
      <c r="A17" s="8">
        <v>45032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f>MAX(-20,MIN(10,$A17-VLOOKUP(YEAR($A17),'Festive dates'!$A$2:$J$5,8,FALSE)))</f>
        <v>-20</v>
      </c>
      <c r="R17" s="9">
        <f>IF(AND($A17&gt;VLOOKUP(YEAR($A17),'Festive dates'!$A$2:$J$5,2,FALSE),$A17&lt;VLOOKUP(YEAR($A17),'Festive dates'!$A$2:$J$5,3,FALSE)),1,0)</f>
        <v>0</v>
      </c>
      <c r="S17" s="9">
        <f>IF($A17=VLOOKUP(YEAR($A17),'Festive dates'!$A$2:$J$5,2,FALSE),1,0)</f>
        <v>0</v>
      </c>
      <c r="T17" s="9">
        <f>IF($A17=VLOOKUP(YEAR($A17),'Festive dates'!$A$2:$J$5,3,FALSE),1,0)</f>
        <v>0</v>
      </c>
      <c r="U17" s="9">
        <f>IF($A17=VLOOKUP(YEAR($A17),'Festive dates'!$A$2:$J$5,4,FALSE),1,0)</f>
        <v>0</v>
      </c>
      <c r="V17" s="9">
        <f>IF(AND($A17&gt;=VLOOKUP(YEAR($A17),'Festive dates'!$A$2:$J$5,9,FALSE),$A17&lt;=VLOOKUP(YEAR($A17),'Festive dates'!$A$2:$J$5,10,FALSE)),1,0)</f>
        <v>0</v>
      </c>
      <c r="W17" s="9">
        <f>IF($A17=VLOOKUP(YEAR($A17),'Festive dates'!$A$2:$J$5,7,FALSE),1,0)</f>
        <v>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>
      <c r="A18" s="8">
        <v>45033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f>MAX(-20,MIN(10,$A18-VLOOKUP(YEAR($A18),'Festive dates'!$A$2:$J$5,8,FALSE)))</f>
        <v>-20</v>
      </c>
      <c r="R18" s="9">
        <f>IF(AND($A18&gt;VLOOKUP(YEAR($A18),'Festive dates'!$A$2:$J$5,2,FALSE),$A18&lt;VLOOKUP(YEAR($A18),'Festive dates'!$A$2:$J$5,3,FALSE)),1,0)</f>
        <v>0</v>
      </c>
      <c r="S18" s="9">
        <f>IF($A18=VLOOKUP(YEAR($A18),'Festive dates'!$A$2:$J$5,2,FALSE),1,0)</f>
        <v>0</v>
      </c>
      <c r="T18" s="9">
        <f>IF($A18=VLOOKUP(YEAR($A18),'Festive dates'!$A$2:$J$5,3,FALSE),1,0)</f>
        <v>0</v>
      </c>
      <c r="U18" s="9">
        <f>IF($A18=VLOOKUP(YEAR($A18),'Festive dates'!$A$2:$J$5,4,FALSE),1,0)</f>
        <v>0</v>
      </c>
      <c r="V18" s="9">
        <f>IF(AND($A18&gt;=VLOOKUP(YEAR($A18),'Festive dates'!$A$2:$J$5,9,FALSE),$A18&lt;=VLOOKUP(YEAR($A18),'Festive dates'!$A$2:$J$5,10,FALSE)),1,0)</f>
        <v>0</v>
      </c>
      <c r="W18" s="9">
        <f>IF($A18=VLOOKUP(YEAR($A18),'Festive dates'!$A$2:$J$5,7,FALSE),1,0)</f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>
      <c r="A19" s="8">
        <v>45034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f>MAX(-20,MIN(10,$A19-VLOOKUP(YEAR($A19),'Festive dates'!$A$2:$J$5,8,FALSE)))</f>
        <v>-20</v>
      </c>
      <c r="R19" s="9">
        <f>IF(AND($A19&gt;VLOOKUP(YEAR($A19),'Festive dates'!$A$2:$J$5,2,FALSE),$A19&lt;VLOOKUP(YEAR($A19),'Festive dates'!$A$2:$J$5,3,FALSE)),1,0)</f>
        <v>0</v>
      </c>
      <c r="S19" s="9">
        <f>IF($A19=VLOOKUP(YEAR($A19),'Festive dates'!$A$2:$J$5,2,FALSE),1,0)</f>
        <v>0</v>
      </c>
      <c r="T19" s="9">
        <f>IF($A19=VLOOKUP(YEAR($A19),'Festive dates'!$A$2:$J$5,3,FALSE),1,0)</f>
        <v>0</v>
      </c>
      <c r="U19" s="9">
        <f>IF($A19=VLOOKUP(YEAR($A19),'Festive dates'!$A$2:$J$5,4,FALSE),1,0)</f>
        <v>0</v>
      </c>
      <c r="V19" s="9">
        <f>IF(AND($A19&gt;=VLOOKUP(YEAR($A19),'Festive dates'!$A$2:$J$5,9,FALSE),$A19&lt;=VLOOKUP(YEAR($A19),'Festive dates'!$A$2:$J$5,10,FALSE)),1,0)</f>
        <v>0</v>
      </c>
      <c r="W19" s="9">
        <f>IF($A19=VLOOKUP(YEAR($A19),'Festive dates'!$A$2:$J$5,7,FALSE),1,0)</f>
        <v>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>
      <c r="A20" s="8">
        <v>45035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f>MAX(-20,MIN(10,$A20-VLOOKUP(YEAR($A20),'Festive dates'!$A$2:$J$5,8,FALSE)))</f>
        <v>-20</v>
      </c>
      <c r="R20" s="9">
        <f>IF(AND($A20&gt;VLOOKUP(YEAR($A20),'Festive dates'!$A$2:$J$5,2,FALSE),$A20&lt;VLOOKUP(YEAR($A20),'Festive dates'!$A$2:$J$5,3,FALSE)),1,0)</f>
        <v>0</v>
      </c>
      <c r="S20" s="9">
        <f>IF($A20=VLOOKUP(YEAR($A20),'Festive dates'!$A$2:$J$5,2,FALSE),1,0)</f>
        <v>0</v>
      </c>
      <c r="T20" s="9">
        <f>IF($A20=VLOOKUP(YEAR($A20),'Festive dates'!$A$2:$J$5,3,FALSE),1,0)</f>
        <v>0</v>
      </c>
      <c r="U20" s="9">
        <f>IF($A20=VLOOKUP(YEAR($A20),'Festive dates'!$A$2:$J$5,4,FALSE),1,0)</f>
        <v>0</v>
      </c>
      <c r="V20" s="9">
        <f>IF(AND($A20&gt;=VLOOKUP(YEAR($A20),'Festive dates'!$A$2:$J$5,9,FALSE),$A20&lt;=VLOOKUP(YEAR($A20),'Festive dates'!$A$2:$J$5,10,FALSE)),1,0)</f>
        <v>0</v>
      </c>
      <c r="W20" s="9">
        <f>IF($A20=VLOOKUP(YEAR($A20),'Festive dates'!$A$2:$J$5,7,FALSE),1,0)</f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>
      <c r="A21" s="8">
        <v>45036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f>MAX(-20,MIN(10,$A21-VLOOKUP(YEAR($A21),'Festive dates'!$A$2:$J$5,8,FALSE)))</f>
        <v>-20</v>
      </c>
      <c r="R21" s="9">
        <f>IF(AND($A21&gt;VLOOKUP(YEAR($A21),'Festive dates'!$A$2:$J$5,2,FALSE),$A21&lt;VLOOKUP(YEAR($A21),'Festive dates'!$A$2:$J$5,3,FALSE)),1,0)</f>
        <v>0</v>
      </c>
      <c r="S21" s="9">
        <f>IF($A21=VLOOKUP(YEAR($A21),'Festive dates'!$A$2:$J$5,2,FALSE),1,0)</f>
        <v>0</v>
      </c>
      <c r="T21" s="9">
        <f>IF($A21=VLOOKUP(YEAR($A21),'Festive dates'!$A$2:$J$5,3,FALSE),1,0)</f>
        <v>0</v>
      </c>
      <c r="U21" s="9">
        <f>IF($A21=VLOOKUP(YEAR($A21),'Festive dates'!$A$2:$J$5,4,FALSE),1,0)</f>
        <v>0</v>
      </c>
      <c r="V21" s="9">
        <f>IF(AND($A21&gt;=VLOOKUP(YEAR($A21),'Festive dates'!$A$2:$J$5,9,FALSE),$A21&lt;=VLOOKUP(YEAR($A21),'Festive dates'!$A$2:$J$5,10,FALSE)),1,0)</f>
        <v>0</v>
      </c>
      <c r="W21" s="9">
        <f>IF($A21=VLOOKUP(YEAR($A21),'Festive dates'!$A$2:$J$5,7,FALSE),1,0)</f>
        <v>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>
      <c r="A22" s="8">
        <v>45037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f>MAX(-20,MIN(10,$A22-VLOOKUP(YEAR($A22),'Festive dates'!$A$2:$J$5,8,FALSE)))</f>
        <v>-20</v>
      </c>
      <c r="R22" s="9">
        <f>IF(AND($A22&gt;VLOOKUP(YEAR($A22),'Festive dates'!$A$2:$J$5,2,FALSE),$A22&lt;VLOOKUP(YEAR($A22),'Festive dates'!$A$2:$J$5,3,FALSE)),1,0)</f>
        <v>0</v>
      </c>
      <c r="S22" s="9">
        <f>IF($A22=VLOOKUP(YEAR($A22),'Festive dates'!$A$2:$J$5,2,FALSE),1,0)</f>
        <v>0</v>
      </c>
      <c r="T22" s="9">
        <f>IF($A22=VLOOKUP(YEAR($A22),'Festive dates'!$A$2:$J$5,3,FALSE),1,0)</f>
        <v>0</v>
      </c>
      <c r="U22" s="9">
        <f>IF($A22=VLOOKUP(YEAR($A22),'Festive dates'!$A$2:$J$5,4,FALSE),1,0)</f>
        <v>0</v>
      </c>
      <c r="V22" s="9">
        <f>IF(AND($A22&gt;=VLOOKUP(YEAR($A22),'Festive dates'!$A$2:$J$5,9,FALSE),$A22&lt;=VLOOKUP(YEAR($A22),'Festive dates'!$A$2:$J$5,10,FALSE)),1,0)</f>
        <v>0</v>
      </c>
      <c r="W22" s="9">
        <f>IF($A22=VLOOKUP(YEAR($A22),'Festive dates'!$A$2:$J$5,7,FALSE),1,0)</f>
        <v>0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>
      <c r="A23" s="8">
        <v>45038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f>MAX(-20,MIN(10,$A23-VLOOKUP(YEAR($A23),'Festive dates'!$A$2:$J$5,8,FALSE)))</f>
        <v>-20</v>
      </c>
      <c r="R23" s="9">
        <f>IF(AND($A23&gt;VLOOKUP(YEAR($A23),'Festive dates'!$A$2:$J$5,2,FALSE),$A23&lt;VLOOKUP(YEAR($A23),'Festive dates'!$A$2:$J$5,3,FALSE)),1,0)</f>
        <v>0</v>
      </c>
      <c r="S23" s="9">
        <f>IF($A23=VLOOKUP(YEAR($A23),'Festive dates'!$A$2:$J$5,2,FALSE),1,0)</f>
        <v>0</v>
      </c>
      <c r="T23" s="9">
        <f>IF($A23=VLOOKUP(YEAR($A23),'Festive dates'!$A$2:$J$5,3,FALSE),1,0)</f>
        <v>0</v>
      </c>
      <c r="U23" s="9">
        <f>IF($A23=VLOOKUP(YEAR($A23),'Festive dates'!$A$2:$J$5,4,FALSE),1,0)</f>
        <v>0</v>
      </c>
      <c r="V23" s="9">
        <f>IF(AND($A23&gt;=VLOOKUP(YEAR($A23),'Festive dates'!$A$2:$J$5,9,FALSE),$A23&lt;=VLOOKUP(YEAR($A23),'Festive dates'!$A$2:$J$5,10,FALSE)),1,0)</f>
        <v>0</v>
      </c>
      <c r="W23" s="9">
        <f>IF($A23=VLOOKUP(YEAR($A23),'Festive dates'!$A$2:$J$5,7,FALSE),1,0)</f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>
      <c r="A24" s="8">
        <v>45039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f>MAX(-20,MIN(10,$A24-VLOOKUP(YEAR($A24),'Festive dates'!$A$2:$J$5,8,FALSE)))</f>
        <v>-20</v>
      </c>
      <c r="R24" s="9">
        <f>IF(AND($A24&gt;VLOOKUP(YEAR($A24),'Festive dates'!$A$2:$J$5,2,FALSE),$A24&lt;VLOOKUP(YEAR($A24),'Festive dates'!$A$2:$J$5,3,FALSE)),1,0)</f>
        <v>0</v>
      </c>
      <c r="S24" s="9">
        <f>IF($A24=VLOOKUP(YEAR($A24),'Festive dates'!$A$2:$J$5,2,FALSE),1,0)</f>
        <v>0</v>
      </c>
      <c r="T24" s="9">
        <f>IF($A24=VLOOKUP(YEAR($A24),'Festive dates'!$A$2:$J$5,3,FALSE),1,0)</f>
        <v>0</v>
      </c>
      <c r="U24" s="9">
        <f>IF($A24=VLOOKUP(YEAR($A24),'Festive dates'!$A$2:$J$5,4,FALSE),1,0)</f>
        <v>0</v>
      </c>
      <c r="V24" s="9">
        <f>IF(AND($A24&gt;=VLOOKUP(YEAR($A24),'Festive dates'!$A$2:$J$5,9,FALSE),$A24&lt;=VLOOKUP(YEAR($A24),'Festive dates'!$A$2:$J$5,10,FALSE)),1,0)</f>
        <v>0</v>
      </c>
      <c r="W24" s="9">
        <f>IF($A24=VLOOKUP(YEAR($A24),'Festive dates'!$A$2:$J$5,7,FALSE),1,0)</f>
        <v>0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>
      <c r="A25" s="8">
        <v>45040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f>MAX(-20,MIN(10,$A25-VLOOKUP(YEAR($A25),'Festive dates'!$A$2:$J$5,8,FALSE)))</f>
        <v>-20</v>
      </c>
      <c r="R25" s="9">
        <f>IF(AND($A25&gt;VLOOKUP(YEAR($A25),'Festive dates'!$A$2:$J$5,2,FALSE),$A25&lt;VLOOKUP(YEAR($A25),'Festive dates'!$A$2:$J$5,3,FALSE)),1,0)</f>
        <v>0</v>
      </c>
      <c r="S25" s="9">
        <f>IF($A25=VLOOKUP(YEAR($A25),'Festive dates'!$A$2:$J$5,2,FALSE),1,0)</f>
        <v>0</v>
      </c>
      <c r="T25" s="9">
        <f>IF($A25=VLOOKUP(YEAR($A25),'Festive dates'!$A$2:$J$5,3,FALSE),1,0)</f>
        <v>0</v>
      </c>
      <c r="U25" s="9">
        <f>IF($A25=VLOOKUP(YEAR($A25),'Festive dates'!$A$2:$J$5,4,FALSE),1,0)</f>
        <v>0</v>
      </c>
      <c r="V25" s="9">
        <f>IF(AND($A25&gt;=VLOOKUP(YEAR($A25),'Festive dates'!$A$2:$J$5,9,FALSE),$A25&lt;=VLOOKUP(YEAR($A25),'Festive dates'!$A$2:$J$5,10,FALSE)),1,0)</f>
        <v>0</v>
      </c>
      <c r="W25" s="9">
        <f>IF($A25=VLOOKUP(YEAR($A25),'Festive dates'!$A$2:$J$5,7,FALSE),1,0)</f>
        <v>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>
      <c r="A26" s="8">
        <v>45041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f>MAX(-20,MIN(10,$A26-VLOOKUP(YEAR($A26),'Festive dates'!$A$2:$J$5,8,FALSE)))</f>
        <v>-20</v>
      </c>
      <c r="R26" s="9">
        <f>IF(AND($A26&gt;VLOOKUP(YEAR($A26),'Festive dates'!$A$2:$J$5,2,FALSE),$A26&lt;VLOOKUP(YEAR($A26),'Festive dates'!$A$2:$J$5,3,FALSE)),1,0)</f>
        <v>0</v>
      </c>
      <c r="S26" s="9">
        <f>IF($A26=VLOOKUP(YEAR($A26),'Festive dates'!$A$2:$J$5,2,FALSE),1,0)</f>
        <v>0</v>
      </c>
      <c r="T26" s="9">
        <f>IF($A26=VLOOKUP(YEAR($A26),'Festive dates'!$A$2:$J$5,3,FALSE),1,0)</f>
        <v>0</v>
      </c>
      <c r="U26" s="9">
        <f>IF($A26=VLOOKUP(YEAR($A26),'Festive dates'!$A$2:$J$5,4,FALSE),1,0)</f>
        <v>0</v>
      </c>
      <c r="V26" s="9">
        <f>IF(AND($A26&gt;=VLOOKUP(YEAR($A26),'Festive dates'!$A$2:$J$5,9,FALSE),$A26&lt;=VLOOKUP(YEAR($A26),'Festive dates'!$A$2:$J$5,10,FALSE)),1,0)</f>
        <v>0</v>
      </c>
      <c r="W26" s="9">
        <f>IF($A26=VLOOKUP(YEAR($A26),'Festive dates'!$A$2:$J$5,7,FALSE),1,0)</f>
        <v>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>
      <c r="A27" s="8">
        <v>45042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f>MAX(-20,MIN(10,$A27-VLOOKUP(YEAR($A27),'Festive dates'!$A$2:$J$5,8,FALSE)))</f>
        <v>-20</v>
      </c>
      <c r="R27" s="9">
        <f>IF(AND($A27&gt;VLOOKUP(YEAR($A27),'Festive dates'!$A$2:$J$5,2,FALSE),$A27&lt;VLOOKUP(YEAR($A27),'Festive dates'!$A$2:$J$5,3,FALSE)),1,0)</f>
        <v>0</v>
      </c>
      <c r="S27" s="9">
        <f>IF($A27=VLOOKUP(YEAR($A27),'Festive dates'!$A$2:$J$5,2,FALSE),1,0)</f>
        <v>0</v>
      </c>
      <c r="T27" s="9">
        <f>IF($A27=VLOOKUP(YEAR($A27),'Festive dates'!$A$2:$J$5,3,FALSE),1,0)</f>
        <v>0</v>
      </c>
      <c r="U27" s="9">
        <f>IF($A27=VLOOKUP(YEAR($A27),'Festive dates'!$A$2:$J$5,4,FALSE),1,0)</f>
        <v>0</v>
      </c>
      <c r="V27" s="9">
        <f>IF(AND($A27&gt;=VLOOKUP(YEAR($A27),'Festive dates'!$A$2:$J$5,9,FALSE),$A27&lt;=VLOOKUP(YEAR($A27),'Festive dates'!$A$2:$J$5,10,FALSE)),1,0)</f>
        <v>0</v>
      </c>
      <c r="W27" s="9">
        <f>IF($A27=VLOOKUP(YEAR($A27),'Festive dates'!$A$2:$J$5,7,FALSE),1,0)</f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>
      <c r="A28" s="8">
        <v>45043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f>MAX(-20,MIN(10,$A28-VLOOKUP(YEAR($A28),'Festive dates'!$A$2:$J$5,8,FALSE)))</f>
        <v>-20</v>
      </c>
      <c r="R28" s="9">
        <f>IF(AND($A28&gt;VLOOKUP(YEAR($A28),'Festive dates'!$A$2:$J$5,2,FALSE),$A28&lt;VLOOKUP(YEAR($A28),'Festive dates'!$A$2:$J$5,3,FALSE)),1,0)</f>
        <v>0</v>
      </c>
      <c r="S28" s="9">
        <f>IF($A28=VLOOKUP(YEAR($A28),'Festive dates'!$A$2:$J$5,2,FALSE),1,0)</f>
        <v>0</v>
      </c>
      <c r="T28" s="9">
        <f>IF($A28=VLOOKUP(YEAR($A28),'Festive dates'!$A$2:$J$5,3,FALSE),1,0)</f>
        <v>0</v>
      </c>
      <c r="U28" s="9">
        <f>IF($A28=VLOOKUP(YEAR($A28),'Festive dates'!$A$2:$J$5,4,FALSE),1,0)</f>
        <v>0</v>
      </c>
      <c r="V28" s="9">
        <f>IF(AND($A28&gt;=VLOOKUP(YEAR($A28),'Festive dates'!$A$2:$J$5,9,FALSE),$A28&lt;=VLOOKUP(YEAR($A28),'Festive dates'!$A$2:$J$5,10,FALSE)),1,0)</f>
        <v>0</v>
      </c>
      <c r="W28" s="9">
        <f>IF($A28=VLOOKUP(YEAR($A28),'Festive dates'!$A$2:$J$5,7,FALSE),1,0)</f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>
      <c r="A29" s="8">
        <v>45044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f>MAX(-20,MIN(10,$A29-VLOOKUP(YEAR($A29),'Festive dates'!$A$2:$J$5,8,FALSE)))</f>
        <v>-20</v>
      </c>
      <c r="R29" s="9">
        <f>IF(AND($A29&gt;VLOOKUP(YEAR($A29),'Festive dates'!$A$2:$J$5,2,FALSE),$A29&lt;VLOOKUP(YEAR($A29),'Festive dates'!$A$2:$J$5,3,FALSE)),1,0)</f>
        <v>0</v>
      </c>
      <c r="S29" s="9">
        <f>IF($A29=VLOOKUP(YEAR($A29),'Festive dates'!$A$2:$J$5,2,FALSE),1,0)</f>
        <v>0</v>
      </c>
      <c r="T29" s="9">
        <f>IF($A29=VLOOKUP(YEAR($A29),'Festive dates'!$A$2:$J$5,3,FALSE),1,0)</f>
        <v>0</v>
      </c>
      <c r="U29" s="9">
        <f>IF($A29=VLOOKUP(YEAR($A29),'Festive dates'!$A$2:$J$5,4,FALSE),1,0)</f>
        <v>0</v>
      </c>
      <c r="V29" s="9">
        <f>IF(AND($A29&gt;=VLOOKUP(YEAR($A29),'Festive dates'!$A$2:$J$5,9,FALSE),$A29&lt;=VLOOKUP(YEAR($A29),'Festive dates'!$A$2:$J$5,10,FALSE)),1,0)</f>
        <v>0</v>
      </c>
      <c r="W29" s="9">
        <f>IF($A29=VLOOKUP(YEAR($A29),'Festive dates'!$A$2:$J$5,7,FALSE),1,0)</f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>
      <c r="A30" s="8">
        <v>45045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f>MAX(-20,MIN(10,$A30-VLOOKUP(YEAR($A30),'Festive dates'!$A$2:$J$5,8,FALSE)))</f>
        <v>-20</v>
      </c>
      <c r="R30" s="9">
        <f>IF(AND($A30&gt;VLOOKUP(YEAR($A30),'Festive dates'!$A$2:$J$5,2,FALSE),$A30&lt;VLOOKUP(YEAR($A30),'Festive dates'!$A$2:$J$5,3,FALSE)),1,0)</f>
        <v>0</v>
      </c>
      <c r="S30" s="9">
        <f>IF($A30=VLOOKUP(YEAR($A30),'Festive dates'!$A$2:$J$5,2,FALSE),1,0)</f>
        <v>0</v>
      </c>
      <c r="T30" s="9">
        <f>IF($A30=VLOOKUP(YEAR($A30),'Festive dates'!$A$2:$J$5,3,FALSE),1,0)</f>
        <v>0</v>
      </c>
      <c r="U30" s="9">
        <f>IF($A30=VLOOKUP(YEAR($A30),'Festive dates'!$A$2:$J$5,4,FALSE),1,0)</f>
        <v>0</v>
      </c>
      <c r="V30" s="9">
        <f>IF(AND($A30&gt;=VLOOKUP(YEAR($A30),'Festive dates'!$A$2:$J$5,9,FALSE),$A30&lt;=VLOOKUP(YEAR($A30),'Festive dates'!$A$2:$J$5,10,FALSE)),1,0)</f>
        <v>0</v>
      </c>
      <c r="W30" s="9">
        <f>IF($A30=VLOOKUP(YEAR($A30),'Festive dates'!$A$2:$J$5,7,FALSE),1,0)</f>
        <v>0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>
      <c r="A31" s="8">
        <v>45046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f>MAX(-20,MIN(10,$A31-VLOOKUP(YEAR($A31),'Festive dates'!$A$2:$J$5,8,FALSE)))</f>
        <v>-20</v>
      </c>
      <c r="R31" s="9">
        <f>IF(AND($A31&gt;VLOOKUP(YEAR($A31),'Festive dates'!$A$2:$J$5,2,FALSE),$A31&lt;VLOOKUP(YEAR($A31),'Festive dates'!$A$2:$J$5,3,FALSE)),1,0)</f>
        <v>0</v>
      </c>
      <c r="S31" s="9">
        <f>IF($A31=VLOOKUP(YEAR($A31),'Festive dates'!$A$2:$J$5,2,FALSE),1,0)</f>
        <v>0</v>
      </c>
      <c r="T31" s="9">
        <f>IF($A31=VLOOKUP(YEAR($A31),'Festive dates'!$A$2:$J$5,3,FALSE),1,0)</f>
        <v>0</v>
      </c>
      <c r="U31" s="9">
        <f>IF($A31=VLOOKUP(YEAR($A31),'Festive dates'!$A$2:$J$5,4,FALSE),1,0)</f>
        <v>0</v>
      </c>
      <c r="V31" s="9">
        <f>IF(AND($A31&gt;=VLOOKUP(YEAR($A31),'Festive dates'!$A$2:$J$5,9,FALSE),$A31&lt;=VLOOKUP(YEAR($A31),'Festive dates'!$A$2:$J$5,10,FALSE)),1,0)</f>
        <v>0</v>
      </c>
      <c r="W31" s="9">
        <f>IF($A31=VLOOKUP(YEAR($A31),'Festive dates'!$A$2:$J$5,7,FALSE),1,0)</f>
        <v>0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>
      <c r="A32" s="8">
        <v>45047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1</v>
      </c>
      <c r="Q32" s="9">
        <f>MAX(-20,MIN(10,$A32-VLOOKUP(YEAR($A32),'Festive dates'!$A$2:$J$5,8,FALSE)))</f>
        <v>-20</v>
      </c>
      <c r="R32" s="9">
        <f>IF(AND($A32&gt;VLOOKUP(YEAR($A32),'Festive dates'!$A$2:$J$5,2,FALSE),$A32&lt;VLOOKUP(YEAR($A32),'Festive dates'!$A$2:$J$5,3,FALSE)),1,0)</f>
        <v>0</v>
      </c>
      <c r="S32" s="9">
        <f>IF($A32=VLOOKUP(YEAR($A32),'Festive dates'!$A$2:$J$5,2,FALSE),1,0)</f>
        <v>0</v>
      </c>
      <c r="T32" s="9">
        <f>IF($A32=VLOOKUP(YEAR($A32),'Festive dates'!$A$2:$J$5,3,FALSE),1,0)</f>
        <v>0</v>
      </c>
      <c r="U32" s="9">
        <f>IF($A32=VLOOKUP(YEAR($A32),'Festive dates'!$A$2:$J$5,4,FALSE),1,0)</f>
        <v>0</v>
      </c>
      <c r="V32" s="9">
        <f>IF(AND($A32&gt;=VLOOKUP(YEAR($A32),'Festive dates'!$A$2:$J$5,9,FALSE),$A32&lt;=VLOOKUP(YEAR($A32),'Festive dates'!$A$2:$J$5,10,FALSE)),1,0)</f>
        <v>0</v>
      </c>
      <c r="W32" s="9">
        <f>IF($A32=VLOOKUP(YEAR($A32),'Festive dates'!$A$2:$J$5,7,FALSE),1,0)</f>
        <v>0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>
      <c r="A33" s="8">
        <v>45048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</v>
      </c>
      <c r="Q33" s="9">
        <f>MAX(-20,MIN(10,$A33-VLOOKUP(YEAR($A33),'Festive dates'!$A$2:$J$5,8,FALSE)))</f>
        <v>-20</v>
      </c>
      <c r="R33" s="9">
        <f>IF(AND($A33&gt;VLOOKUP(YEAR($A33),'Festive dates'!$A$2:$J$5,2,FALSE),$A33&lt;VLOOKUP(YEAR($A33),'Festive dates'!$A$2:$J$5,3,FALSE)),1,0)</f>
        <v>0</v>
      </c>
      <c r="S33" s="9">
        <f>IF($A33=VLOOKUP(YEAR($A33),'Festive dates'!$A$2:$J$5,2,FALSE),1,0)</f>
        <v>0</v>
      </c>
      <c r="T33" s="9">
        <f>IF($A33=VLOOKUP(YEAR($A33),'Festive dates'!$A$2:$J$5,3,FALSE),1,0)</f>
        <v>0</v>
      </c>
      <c r="U33" s="9">
        <f>IF($A33=VLOOKUP(YEAR($A33),'Festive dates'!$A$2:$J$5,4,FALSE),1,0)</f>
        <v>0</v>
      </c>
      <c r="V33" s="9">
        <f>IF(AND($A33&gt;=VLOOKUP(YEAR($A33),'Festive dates'!$A$2:$J$5,9,FALSE),$A33&lt;=VLOOKUP(YEAR($A33),'Festive dates'!$A$2:$J$5,10,FALSE)),1,0)</f>
        <v>0</v>
      </c>
      <c r="W33" s="9">
        <f>IF($A33=VLOOKUP(YEAR($A33),'Festive dates'!$A$2:$J$5,7,FALSE),1,0)</f>
        <v>0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>
      <c r="A34" s="8">
        <v>45049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1</v>
      </c>
      <c r="Q34" s="9">
        <f>MAX(-20,MIN(10,$A34-VLOOKUP(YEAR($A34),'Festive dates'!$A$2:$J$5,8,FALSE)))</f>
        <v>-20</v>
      </c>
      <c r="R34" s="9">
        <f>IF(AND($A34&gt;VLOOKUP(YEAR($A34),'Festive dates'!$A$2:$J$5,2,FALSE),$A34&lt;VLOOKUP(YEAR($A34),'Festive dates'!$A$2:$J$5,3,FALSE)),1,0)</f>
        <v>0</v>
      </c>
      <c r="S34" s="9">
        <f>IF($A34=VLOOKUP(YEAR($A34),'Festive dates'!$A$2:$J$5,2,FALSE),1,0)</f>
        <v>0</v>
      </c>
      <c r="T34" s="9">
        <f>IF($A34=VLOOKUP(YEAR($A34),'Festive dates'!$A$2:$J$5,3,FALSE),1,0)</f>
        <v>0</v>
      </c>
      <c r="U34" s="9">
        <f>IF($A34=VLOOKUP(YEAR($A34),'Festive dates'!$A$2:$J$5,4,FALSE),1,0)</f>
        <v>0</v>
      </c>
      <c r="V34" s="9">
        <f>IF(AND($A34&gt;=VLOOKUP(YEAR($A34),'Festive dates'!$A$2:$J$5,9,FALSE),$A34&lt;=VLOOKUP(YEAR($A34),'Festive dates'!$A$2:$J$5,10,FALSE)),1,0)</f>
        <v>0</v>
      </c>
      <c r="W34" s="9">
        <f>IF($A34=VLOOKUP(YEAR($A34),'Festive dates'!$A$2:$J$5,7,FALSE),1,0)</f>
        <v>0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>
      <c r="A35" s="8">
        <v>45050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1</v>
      </c>
      <c r="Q35" s="9">
        <f>MAX(-20,MIN(10,$A35-VLOOKUP(YEAR($A35),'Festive dates'!$A$2:$J$5,8,FALSE)))</f>
        <v>-20</v>
      </c>
      <c r="R35" s="9">
        <f>IF(AND($A35&gt;VLOOKUP(YEAR($A35),'Festive dates'!$A$2:$J$5,2,FALSE),$A35&lt;VLOOKUP(YEAR($A35),'Festive dates'!$A$2:$J$5,3,FALSE)),1,0)</f>
        <v>0</v>
      </c>
      <c r="S35" s="9">
        <f>IF($A35=VLOOKUP(YEAR($A35),'Festive dates'!$A$2:$J$5,2,FALSE),1,0)</f>
        <v>0</v>
      </c>
      <c r="T35" s="9">
        <f>IF($A35=VLOOKUP(YEAR($A35),'Festive dates'!$A$2:$J$5,3,FALSE),1,0)</f>
        <v>0</v>
      </c>
      <c r="U35" s="9">
        <f>IF($A35=VLOOKUP(YEAR($A35),'Festive dates'!$A$2:$J$5,4,FALSE),1,0)</f>
        <v>0</v>
      </c>
      <c r="V35" s="9">
        <f>IF(AND($A35&gt;=VLOOKUP(YEAR($A35),'Festive dates'!$A$2:$J$5,9,FALSE),$A35&lt;=VLOOKUP(YEAR($A35),'Festive dates'!$A$2:$J$5,10,FALSE)),1,0)</f>
        <v>0</v>
      </c>
      <c r="W35" s="9">
        <f>IF($A35=VLOOKUP(YEAR($A35),'Festive dates'!$A$2:$J$5,7,FALSE),1,0)</f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>
      <c r="A36" s="8">
        <v>45051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1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f>MAX(-20,MIN(10,$A36-VLOOKUP(YEAR($A36),'Festive dates'!$A$2:$J$5,8,FALSE)))</f>
        <v>-20</v>
      </c>
      <c r="R36" s="9">
        <f>IF(AND($A36&gt;VLOOKUP(YEAR($A36),'Festive dates'!$A$2:$J$5,2,FALSE),$A36&lt;VLOOKUP(YEAR($A36),'Festive dates'!$A$2:$J$5,3,FALSE)),1,0)</f>
        <v>0</v>
      </c>
      <c r="S36" s="9">
        <f>IF($A36=VLOOKUP(YEAR($A36),'Festive dates'!$A$2:$J$5,2,FALSE),1,0)</f>
        <v>0</v>
      </c>
      <c r="T36" s="9">
        <f>IF($A36=VLOOKUP(YEAR($A36),'Festive dates'!$A$2:$J$5,3,FALSE),1,0)</f>
        <v>0</v>
      </c>
      <c r="U36" s="9">
        <f>IF($A36=VLOOKUP(YEAR($A36),'Festive dates'!$A$2:$J$5,4,FALSE),1,0)</f>
        <v>0</v>
      </c>
      <c r="V36" s="9">
        <f>IF(AND($A36&gt;=VLOOKUP(YEAR($A36),'Festive dates'!$A$2:$J$5,9,FALSE),$A36&lt;=VLOOKUP(YEAR($A36),'Festive dates'!$A$2:$J$5,10,FALSE)),1,0)</f>
        <v>0</v>
      </c>
      <c r="W36" s="9">
        <f>IF($A36=VLOOKUP(YEAR($A36),'Festive dates'!$A$2:$J$5,7,FALSE),1,0)</f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>
      <c r="A37" s="8">
        <v>45052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f>MAX(-20,MIN(10,$A37-VLOOKUP(YEAR($A37),'Festive dates'!$A$2:$J$5,8,FALSE)))</f>
        <v>-20</v>
      </c>
      <c r="R37" s="9">
        <f>IF(AND($A37&gt;VLOOKUP(YEAR($A37),'Festive dates'!$A$2:$J$5,2,FALSE),$A37&lt;VLOOKUP(YEAR($A37),'Festive dates'!$A$2:$J$5,3,FALSE)),1,0)</f>
        <v>0</v>
      </c>
      <c r="S37" s="9">
        <f>IF($A37=VLOOKUP(YEAR($A37),'Festive dates'!$A$2:$J$5,2,FALSE),1,0)</f>
        <v>0</v>
      </c>
      <c r="T37" s="9">
        <f>IF($A37=VLOOKUP(YEAR($A37),'Festive dates'!$A$2:$J$5,3,FALSE),1,0)</f>
        <v>0</v>
      </c>
      <c r="U37" s="9">
        <f>IF($A37=VLOOKUP(YEAR($A37),'Festive dates'!$A$2:$J$5,4,FALSE),1,0)</f>
        <v>0</v>
      </c>
      <c r="V37" s="9">
        <f>IF(AND($A37&gt;=VLOOKUP(YEAR($A37),'Festive dates'!$A$2:$J$5,9,FALSE),$A37&lt;=VLOOKUP(YEAR($A37),'Festive dates'!$A$2:$J$5,10,FALSE)),1,0)</f>
        <v>0</v>
      </c>
      <c r="W37" s="9">
        <f>IF($A37=VLOOKUP(YEAR($A37),'Festive dates'!$A$2:$J$5,7,FALSE),1,0)</f>
        <v>0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>
      <c r="A38" s="8">
        <v>45053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f>MAX(-20,MIN(10,$A38-VLOOKUP(YEAR($A38),'Festive dates'!$A$2:$J$5,8,FALSE)))</f>
        <v>-20</v>
      </c>
      <c r="R38" s="9">
        <f>IF(AND($A38&gt;VLOOKUP(YEAR($A38),'Festive dates'!$A$2:$J$5,2,FALSE),$A38&lt;VLOOKUP(YEAR($A38),'Festive dates'!$A$2:$J$5,3,FALSE)),1,0)</f>
        <v>0</v>
      </c>
      <c r="S38" s="9">
        <f>IF($A38=VLOOKUP(YEAR($A38),'Festive dates'!$A$2:$J$5,2,FALSE),1,0)</f>
        <v>0</v>
      </c>
      <c r="T38" s="9">
        <f>IF($A38=VLOOKUP(YEAR($A38),'Festive dates'!$A$2:$J$5,3,FALSE),1,0)</f>
        <v>0</v>
      </c>
      <c r="U38" s="9">
        <f>IF($A38=VLOOKUP(YEAR($A38),'Festive dates'!$A$2:$J$5,4,FALSE),1,0)</f>
        <v>0</v>
      </c>
      <c r="V38" s="9">
        <f>IF(AND($A38&gt;=VLOOKUP(YEAR($A38),'Festive dates'!$A$2:$J$5,9,FALSE),$A38&lt;=VLOOKUP(YEAR($A38),'Festive dates'!$A$2:$J$5,10,FALSE)),1,0)</f>
        <v>0</v>
      </c>
      <c r="W38" s="9">
        <f>IF($A38=VLOOKUP(YEAR($A38),'Festive dates'!$A$2:$J$5,7,FALSE),1,0)</f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>
      <c r="A39" s="8">
        <v>45054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1</v>
      </c>
      <c r="Q39" s="9">
        <f>MAX(-20,MIN(10,$A39-VLOOKUP(YEAR($A39),'Festive dates'!$A$2:$J$5,8,FALSE)))</f>
        <v>-20</v>
      </c>
      <c r="R39" s="9">
        <f>IF(AND($A39&gt;VLOOKUP(YEAR($A39),'Festive dates'!$A$2:$J$5,2,FALSE),$A39&lt;VLOOKUP(YEAR($A39),'Festive dates'!$A$2:$J$5,3,FALSE)),1,0)</f>
        <v>0</v>
      </c>
      <c r="S39" s="9">
        <f>IF($A39=VLOOKUP(YEAR($A39),'Festive dates'!$A$2:$J$5,2,FALSE),1,0)</f>
        <v>0</v>
      </c>
      <c r="T39" s="9">
        <f>IF($A39=VLOOKUP(YEAR($A39),'Festive dates'!$A$2:$J$5,3,FALSE),1,0)</f>
        <v>0</v>
      </c>
      <c r="U39" s="9">
        <f>IF($A39=VLOOKUP(YEAR($A39),'Festive dates'!$A$2:$J$5,4,FALSE),1,0)</f>
        <v>0</v>
      </c>
      <c r="V39" s="9">
        <f>IF(AND($A39&gt;=VLOOKUP(YEAR($A39),'Festive dates'!$A$2:$J$5,9,FALSE),$A39&lt;=VLOOKUP(YEAR($A39),'Festive dates'!$A$2:$J$5,10,FALSE)),1,0)</f>
        <v>0</v>
      </c>
      <c r="W39" s="9">
        <f>IF($A39=VLOOKUP(YEAR($A39),'Festive dates'!$A$2:$J$5,7,FALSE),1,0)</f>
        <v>0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>
      <c r="A40" s="8">
        <v>45055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1</v>
      </c>
      <c r="Q40" s="9">
        <f>MAX(-20,MIN(10,$A40-VLOOKUP(YEAR($A40),'Festive dates'!$A$2:$J$5,8,FALSE)))</f>
        <v>-20</v>
      </c>
      <c r="R40" s="9">
        <f>IF(AND($A40&gt;VLOOKUP(YEAR($A40),'Festive dates'!$A$2:$J$5,2,FALSE),$A40&lt;VLOOKUP(YEAR($A40),'Festive dates'!$A$2:$J$5,3,FALSE)),1,0)</f>
        <v>0</v>
      </c>
      <c r="S40" s="9">
        <f>IF($A40=VLOOKUP(YEAR($A40),'Festive dates'!$A$2:$J$5,2,FALSE),1,0)</f>
        <v>0</v>
      </c>
      <c r="T40" s="9">
        <f>IF($A40=VLOOKUP(YEAR($A40),'Festive dates'!$A$2:$J$5,3,FALSE),1,0)</f>
        <v>0</v>
      </c>
      <c r="U40" s="9">
        <f>IF($A40=VLOOKUP(YEAR($A40),'Festive dates'!$A$2:$J$5,4,FALSE),1,0)</f>
        <v>0</v>
      </c>
      <c r="V40" s="9">
        <f>IF(AND($A40&gt;=VLOOKUP(YEAR($A40),'Festive dates'!$A$2:$J$5,9,FALSE),$A40&lt;=VLOOKUP(YEAR($A40),'Festive dates'!$A$2:$J$5,10,FALSE)),1,0)</f>
        <v>0</v>
      </c>
      <c r="W40" s="9">
        <f>IF($A40=VLOOKUP(YEAR($A40),'Festive dates'!$A$2:$J$5,7,FALSE),1,0)</f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>
      <c r="A41" s="8">
        <v>45056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f>MAX(-20,MIN(10,$A41-VLOOKUP(YEAR($A41),'Festive dates'!$A$2:$J$5,8,FALSE)))</f>
        <v>-20</v>
      </c>
      <c r="R41" s="9">
        <f>IF(AND($A41&gt;VLOOKUP(YEAR($A41),'Festive dates'!$A$2:$J$5,2,FALSE),$A41&lt;VLOOKUP(YEAR($A41),'Festive dates'!$A$2:$J$5,3,FALSE)),1,0)</f>
        <v>0</v>
      </c>
      <c r="S41" s="9">
        <f>IF($A41=VLOOKUP(YEAR($A41),'Festive dates'!$A$2:$J$5,2,FALSE),1,0)</f>
        <v>0</v>
      </c>
      <c r="T41" s="9">
        <f>IF($A41=VLOOKUP(YEAR($A41),'Festive dates'!$A$2:$J$5,3,FALSE),1,0)</f>
        <v>0</v>
      </c>
      <c r="U41" s="9">
        <f>IF($A41=VLOOKUP(YEAR($A41),'Festive dates'!$A$2:$J$5,4,FALSE),1,0)</f>
        <v>0</v>
      </c>
      <c r="V41" s="9">
        <f>IF(AND($A41&gt;=VLOOKUP(YEAR($A41),'Festive dates'!$A$2:$J$5,9,FALSE),$A41&lt;=VLOOKUP(YEAR($A41),'Festive dates'!$A$2:$J$5,10,FALSE)),1,0)</f>
        <v>0</v>
      </c>
      <c r="W41" s="9">
        <f>IF($A41=VLOOKUP(YEAR($A41),'Festive dates'!$A$2:$J$5,7,FALSE),1,0)</f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>
      <c r="A42" s="8">
        <v>45057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f>MAX(-20,MIN(10,$A42-VLOOKUP(YEAR($A42),'Festive dates'!$A$2:$J$5,8,FALSE)))</f>
        <v>-20</v>
      </c>
      <c r="R42" s="9">
        <f>IF(AND($A42&gt;VLOOKUP(YEAR($A42),'Festive dates'!$A$2:$J$5,2,FALSE),$A42&lt;VLOOKUP(YEAR($A42),'Festive dates'!$A$2:$J$5,3,FALSE)),1,0)</f>
        <v>0</v>
      </c>
      <c r="S42" s="9">
        <f>IF($A42=VLOOKUP(YEAR($A42),'Festive dates'!$A$2:$J$5,2,FALSE),1,0)</f>
        <v>0</v>
      </c>
      <c r="T42" s="9">
        <f>IF($A42=VLOOKUP(YEAR($A42),'Festive dates'!$A$2:$J$5,3,FALSE),1,0)</f>
        <v>0</v>
      </c>
      <c r="U42" s="9">
        <f>IF($A42=VLOOKUP(YEAR($A42),'Festive dates'!$A$2:$J$5,4,FALSE),1,0)</f>
        <v>0</v>
      </c>
      <c r="V42" s="9">
        <f>IF(AND($A42&gt;=VLOOKUP(YEAR($A42),'Festive dates'!$A$2:$J$5,9,FALSE),$A42&lt;=VLOOKUP(YEAR($A42),'Festive dates'!$A$2:$J$5,10,FALSE)),1,0)</f>
        <v>0</v>
      </c>
      <c r="W42" s="9">
        <f>IF($A42=VLOOKUP(YEAR($A42),'Festive dates'!$A$2:$J$5,7,FALSE),1,0)</f>
        <v>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>
      <c r="A43" s="8">
        <v>45058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f>MAX(-20,MIN(10,$A43-VLOOKUP(YEAR($A43),'Festive dates'!$A$2:$J$5,8,FALSE)))</f>
        <v>-20</v>
      </c>
      <c r="R43" s="9">
        <f>IF(AND($A43&gt;VLOOKUP(YEAR($A43),'Festive dates'!$A$2:$J$5,2,FALSE),$A43&lt;VLOOKUP(YEAR($A43),'Festive dates'!$A$2:$J$5,3,FALSE)),1,0)</f>
        <v>0</v>
      </c>
      <c r="S43" s="9">
        <f>IF($A43=VLOOKUP(YEAR($A43),'Festive dates'!$A$2:$J$5,2,FALSE),1,0)</f>
        <v>0</v>
      </c>
      <c r="T43" s="9">
        <f>IF($A43=VLOOKUP(YEAR($A43),'Festive dates'!$A$2:$J$5,3,FALSE),1,0)</f>
        <v>0</v>
      </c>
      <c r="U43" s="9">
        <f>IF($A43=VLOOKUP(YEAR($A43),'Festive dates'!$A$2:$J$5,4,FALSE),1,0)</f>
        <v>0</v>
      </c>
      <c r="V43" s="9">
        <f>IF(AND($A43&gt;=VLOOKUP(YEAR($A43),'Festive dates'!$A$2:$J$5,9,FALSE),$A43&lt;=VLOOKUP(YEAR($A43),'Festive dates'!$A$2:$J$5,10,FALSE)),1,0)</f>
        <v>0</v>
      </c>
      <c r="W43" s="9">
        <f>IF($A43=VLOOKUP(YEAR($A43),'Festive dates'!$A$2:$J$5,7,FALSE),1,0)</f>
        <v>0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>
      <c r="A44" s="8">
        <v>45059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</v>
      </c>
      <c r="Q44" s="9">
        <f>MAX(-20,MIN(10,$A44-VLOOKUP(YEAR($A44),'Festive dates'!$A$2:$J$5,8,FALSE)))</f>
        <v>-20</v>
      </c>
      <c r="R44" s="9">
        <f>IF(AND($A44&gt;VLOOKUP(YEAR($A44),'Festive dates'!$A$2:$J$5,2,FALSE),$A44&lt;VLOOKUP(YEAR($A44),'Festive dates'!$A$2:$J$5,3,FALSE)),1,0)</f>
        <v>0</v>
      </c>
      <c r="S44" s="9">
        <f>IF($A44=VLOOKUP(YEAR($A44),'Festive dates'!$A$2:$J$5,2,FALSE),1,0)</f>
        <v>0</v>
      </c>
      <c r="T44" s="9">
        <f>IF($A44=VLOOKUP(YEAR($A44),'Festive dates'!$A$2:$J$5,3,FALSE),1,0)</f>
        <v>0</v>
      </c>
      <c r="U44" s="9">
        <f>IF($A44=VLOOKUP(YEAR($A44),'Festive dates'!$A$2:$J$5,4,FALSE),1,0)</f>
        <v>0</v>
      </c>
      <c r="V44" s="9">
        <f>IF(AND($A44&gt;=VLOOKUP(YEAR($A44),'Festive dates'!$A$2:$J$5,9,FALSE),$A44&lt;=VLOOKUP(YEAR($A44),'Festive dates'!$A$2:$J$5,10,FALSE)),1,0)</f>
        <v>0</v>
      </c>
      <c r="W44" s="9">
        <f>IF($A44=VLOOKUP(YEAR($A44),'Festive dates'!$A$2:$J$5,7,FALSE),1,0)</f>
        <v>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>
      <c r="A45" s="8">
        <v>45060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</v>
      </c>
      <c r="Q45" s="9">
        <f>MAX(-20,MIN(10,$A45-VLOOKUP(YEAR($A45),'Festive dates'!$A$2:$J$5,8,FALSE)))</f>
        <v>-20</v>
      </c>
      <c r="R45" s="9">
        <f>IF(AND($A45&gt;VLOOKUP(YEAR($A45),'Festive dates'!$A$2:$J$5,2,FALSE),$A45&lt;VLOOKUP(YEAR($A45),'Festive dates'!$A$2:$J$5,3,FALSE)),1,0)</f>
        <v>0</v>
      </c>
      <c r="S45" s="9">
        <f>IF($A45=VLOOKUP(YEAR($A45),'Festive dates'!$A$2:$J$5,2,FALSE),1,0)</f>
        <v>0</v>
      </c>
      <c r="T45" s="9">
        <f>IF($A45=VLOOKUP(YEAR($A45),'Festive dates'!$A$2:$J$5,3,FALSE),1,0)</f>
        <v>0</v>
      </c>
      <c r="U45" s="9">
        <f>IF($A45=VLOOKUP(YEAR($A45),'Festive dates'!$A$2:$J$5,4,FALSE),1,0)</f>
        <v>0</v>
      </c>
      <c r="V45" s="9">
        <f>IF(AND($A45&gt;=VLOOKUP(YEAR($A45),'Festive dates'!$A$2:$J$5,9,FALSE),$A45&lt;=VLOOKUP(YEAR($A45),'Festive dates'!$A$2:$J$5,10,FALSE)),1,0)</f>
        <v>0</v>
      </c>
      <c r="W45" s="9">
        <f>IF($A45=VLOOKUP(YEAR($A45),'Festive dates'!$A$2:$J$5,7,FALSE),1,0)</f>
        <v>0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>
      <c r="A46" s="8">
        <v>45061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1</v>
      </c>
      <c r="Q46" s="9">
        <f>MAX(-20,MIN(10,$A46-VLOOKUP(YEAR($A46),'Festive dates'!$A$2:$J$5,8,FALSE)))</f>
        <v>-20</v>
      </c>
      <c r="R46" s="9">
        <f>IF(AND($A46&gt;VLOOKUP(YEAR($A46),'Festive dates'!$A$2:$J$5,2,FALSE),$A46&lt;VLOOKUP(YEAR($A46),'Festive dates'!$A$2:$J$5,3,FALSE)),1,0)</f>
        <v>0</v>
      </c>
      <c r="S46" s="9">
        <f>IF($A46=VLOOKUP(YEAR($A46),'Festive dates'!$A$2:$J$5,2,FALSE),1,0)</f>
        <v>0</v>
      </c>
      <c r="T46" s="9">
        <f>IF($A46=VLOOKUP(YEAR($A46),'Festive dates'!$A$2:$J$5,3,FALSE),1,0)</f>
        <v>0</v>
      </c>
      <c r="U46" s="9">
        <f>IF($A46=VLOOKUP(YEAR($A46),'Festive dates'!$A$2:$J$5,4,FALSE),1,0)</f>
        <v>0</v>
      </c>
      <c r="V46" s="9">
        <f>IF(AND($A46&gt;=VLOOKUP(YEAR($A46),'Festive dates'!$A$2:$J$5,9,FALSE),$A46&lt;=VLOOKUP(YEAR($A46),'Festive dates'!$A$2:$J$5,10,FALSE)),1,0)</f>
        <v>0</v>
      </c>
      <c r="W46" s="9">
        <f>IF($A46=VLOOKUP(YEAR($A46),'Festive dates'!$A$2:$J$5,7,FALSE),1,0)</f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>
      <c r="A47" s="8">
        <v>45062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f>MAX(-20,MIN(10,$A47-VLOOKUP(YEAR($A47),'Festive dates'!$A$2:$J$5,8,FALSE)))</f>
        <v>-20</v>
      </c>
      <c r="R47" s="9">
        <f>IF(AND($A47&gt;VLOOKUP(YEAR($A47),'Festive dates'!$A$2:$J$5,2,FALSE),$A47&lt;VLOOKUP(YEAR($A47),'Festive dates'!$A$2:$J$5,3,FALSE)),1,0)</f>
        <v>0</v>
      </c>
      <c r="S47" s="9">
        <f>IF($A47=VLOOKUP(YEAR($A47),'Festive dates'!$A$2:$J$5,2,FALSE),1,0)</f>
        <v>0</v>
      </c>
      <c r="T47" s="9">
        <f>IF($A47=VLOOKUP(YEAR($A47),'Festive dates'!$A$2:$J$5,3,FALSE),1,0)</f>
        <v>0</v>
      </c>
      <c r="U47" s="9">
        <f>IF($A47=VLOOKUP(YEAR($A47),'Festive dates'!$A$2:$J$5,4,FALSE),1,0)</f>
        <v>0</v>
      </c>
      <c r="V47" s="9">
        <f>IF(AND($A47&gt;=VLOOKUP(YEAR($A47),'Festive dates'!$A$2:$J$5,9,FALSE),$A47&lt;=VLOOKUP(YEAR($A47),'Festive dates'!$A$2:$J$5,10,FALSE)),1,0)</f>
        <v>0</v>
      </c>
      <c r="W47" s="9">
        <f>IF($A47=VLOOKUP(YEAR($A47),'Festive dates'!$A$2:$J$5,7,FALSE),1,0)</f>
        <v>0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>
      <c r="A48" s="8">
        <v>45063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f>MAX(-20,MIN(10,$A48-VLOOKUP(YEAR($A48),'Festive dates'!$A$2:$J$5,8,FALSE)))</f>
        <v>-20</v>
      </c>
      <c r="R48" s="9">
        <f>IF(AND($A48&gt;VLOOKUP(YEAR($A48),'Festive dates'!$A$2:$J$5,2,FALSE),$A48&lt;VLOOKUP(YEAR($A48),'Festive dates'!$A$2:$J$5,3,FALSE)),1,0)</f>
        <v>0</v>
      </c>
      <c r="S48" s="9">
        <f>IF($A48=VLOOKUP(YEAR($A48),'Festive dates'!$A$2:$J$5,2,FALSE),1,0)</f>
        <v>0</v>
      </c>
      <c r="T48" s="9">
        <f>IF($A48=VLOOKUP(YEAR($A48),'Festive dates'!$A$2:$J$5,3,FALSE),1,0)</f>
        <v>0</v>
      </c>
      <c r="U48" s="9">
        <f>IF($A48=VLOOKUP(YEAR($A48),'Festive dates'!$A$2:$J$5,4,FALSE),1,0)</f>
        <v>0</v>
      </c>
      <c r="V48" s="9">
        <f>IF(AND($A48&gt;=VLOOKUP(YEAR($A48),'Festive dates'!$A$2:$J$5,9,FALSE),$A48&lt;=VLOOKUP(YEAR($A48),'Festive dates'!$A$2:$J$5,10,FALSE)),1,0)</f>
        <v>0</v>
      </c>
      <c r="W48" s="9">
        <f>IF($A48=VLOOKUP(YEAR($A48),'Festive dates'!$A$2:$J$5,7,FALSE),1,0)</f>
        <v>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>
      <c r="A49" s="8">
        <v>45064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f>MAX(-20,MIN(10,$A49-VLOOKUP(YEAR($A49),'Festive dates'!$A$2:$J$5,8,FALSE)))</f>
        <v>-20</v>
      </c>
      <c r="R49" s="9">
        <f>IF(AND($A49&gt;VLOOKUP(YEAR($A49),'Festive dates'!$A$2:$J$5,2,FALSE),$A49&lt;VLOOKUP(YEAR($A49),'Festive dates'!$A$2:$J$5,3,FALSE)),1,0)</f>
        <v>0</v>
      </c>
      <c r="S49" s="9">
        <f>IF($A49=VLOOKUP(YEAR($A49),'Festive dates'!$A$2:$J$5,2,FALSE),1,0)</f>
        <v>0</v>
      </c>
      <c r="T49" s="9">
        <f>IF($A49=VLOOKUP(YEAR($A49),'Festive dates'!$A$2:$J$5,3,FALSE),1,0)</f>
        <v>0</v>
      </c>
      <c r="U49" s="9">
        <f>IF($A49=VLOOKUP(YEAR($A49),'Festive dates'!$A$2:$J$5,4,FALSE),1,0)</f>
        <v>0</v>
      </c>
      <c r="V49" s="9">
        <f>IF(AND($A49&gt;=VLOOKUP(YEAR($A49),'Festive dates'!$A$2:$J$5,9,FALSE),$A49&lt;=VLOOKUP(YEAR($A49),'Festive dates'!$A$2:$J$5,10,FALSE)),1,0)</f>
        <v>0</v>
      </c>
      <c r="W49" s="9">
        <f>IF($A49=VLOOKUP(YEAR($A49),'Festive dates'!$A$2:$J$5,7,FALSE),1,0)</f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>
      <c r="A50" s="8">
        <v>45065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f>MAX(-20,MIN(10,$A50-VLOOKUP(YEAR($A50),'Festive dates'!$A$2:$J$5,8,FALSE)))</f>
        <v>-20</v>
      </c>
      <c r="R50" s="9">
        <f>IF(AND($A50&gt;VLOOKUP(YEAR($A50),'Festive dates'!$A$2:$J$5,2,FALSE),$A50&lt;VLOOKUP(YEAR($A50),'Festive dates'!$A$2:$J$5,3,FALSE)),1,0)</f>
        <v>0</v>
      </c>
      <c r="S50" s="9">
        <f>IF($A50=VLOOKUP(YEAR($A50),'Festive dates'!$A$2:$J$5,2,FALSE),1,0)</f>
        <v>0</v>
      </c>
      <c r="T50" s="9">
        <f>IF($A50=VLOOKUP(YEAR($A50),'Festive dates'!$A$2:$J$5,3,FALSE),1,0)</f>
        <v>0</v>
      </c>
      <c r="U50" s="9">
        <f>IF($A50=VLOOKUP(YEAR($A50),'Festive dates'!$A$2:$J$5,4,FALSE),1,0)</f>
        <v>0</v>
      </c>
      <c r="V50" s="9">
        <f>IF(AND($A50&gt;=VLOOKUP(YEAR($A50),'Festive dates'!$A$2:$J$5,9,FALSE),$A50&lt;=VLOOKUP(YEAR($A50),'Festive dates'!$A$2:$J$5,10,FALSE)),1,0)</f>
        <v>0</v>
      </c>
      <c r="W50" s="9">
        <f>IF($A50=VLOOKUP(YEAR($A50),'Festive dates'!$A$2:$J$5,7,FALSE),1,0)</f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>
      <c r="A51" s="8">
        <v>45066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1</v>
      </c>
      <c r="Q51" s="9">
        <f>MAX(-20,MIN(10,$A51-VLOOKUP(YEAR($A51),'Festive dates'!$A$2:$J$5,8,FALSE)))</f>
        <v>-20</v>
      </c>
      <c r="R51" s="9">
        <f>IF(AND($A51&gt;VLOOKUP(YEAR($A51),'Festive dates'!$A$2:$J$5,2,FALSE),$A51&lt;VLOOKUP(YEAR($A51),'Festive dates'!$A$2:$J$5,3,FALSE)),1,0)</f>
        <v>0</v>
      </c>
      <c r="S51" s="9">
        <f>IF($A51=VLOOKUP(YEAR($A51),'Festive dates'!$A$2:$J$5,2,FALSE),1,0)</f>
        <v>0</v>
      </c>
      <c r="T51" s="9">
        <f>IF($A51=VLOOKUP(YEAR($A51),'Festive dates'!$A$2:$J$5,3,FALSE),1,0)</f>
        <v>0</v>
      </c>
      <c r="U51" s="9">
        <f>IF($A51=VLOOKUP(YEAR($A51),'Festive dates'!$A$2:$J$5,4,FALSE),1,0)</f>
        <v>0</v>
      </c>
      <c r="V51" s="9">
        <f>IF(AND($A51&gt;=VLOOKUP(YEAR($A51),'Festive dates'!$A$2:$J$5,9,FALSE),$A51&lt;=VLOOKUP(YEAR($A51),'Festive dates'!$A$2:$J$5,10,FALSE)),1,0)</f>
        <v>0</v>
      </c>
      <c r="W51" s="9">
        <f>IF($A51=VLOOKUP(YEAR($A51),'Festive dates'!$A$2:$J$5,7,FALSE),1,0)</f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>
      <c r="A52" s="8">
        <v>45067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f>MAX(-20,MIN(10,$A52-VLOOKUP(YEAR($A52),'Festive dates'!$A$2:$J$5,8,FALSE)))</f>
        <v>-20</v>
      </c>
      <c r="R52" s="9">
        <f>IF(AND($A52&gt;VLOOKUP(YEAR($A52),'Festive dates'!$A$2:$J$5,2,FALSE),$A52&lt;VLOOKUP(YEAR($A52),'Festive dates'!$A$2:$J$5,3,FALSE)),1,0)</f>
        <v>0</v>
      </c>
      <c r="S52" s="9">
        <f>IF($A52=VLOOKUP(YEAR($A52),'Festive dates'!$A$2:$J$5,2,FALSE),1,0)</f>
        <v>0</v>
      </c>
      <c r="T52" s="9">
        <f>IF($A52=VLOOKUP(YEAR($A52),'Festive dates'!$A$2:$J$5,3,FALSE),1,0)</f>
        <v>0</v>
      </c>
      <c r="U52" s="9">
        <f>IF($A52=VLOOKUP(YEAR($A52),'Festive dates'!$A$2:$J$5,4,FALSE),1,0)</f>
        <v>0</v>
      </c>
      <c r="V52" s="9">
        <f>IF(AND($A52&gt;=VLOOKUP(YEAR($A52),'Festive dates'!$A$2:$J$5,9,FALSE),$A52&lt;=VLOOKUP(YEAR($A52),'Festive dates'!$A$2:$J$5,10,FALSE)),1,0)</f>
        <v>0</v>
      </c>
      <c r="W52" s="9">
        <f>IF($A52=VLOOKUP(YEAR($A52),'Festive dates'!$A$2:$J$5,7,FALSE),1,0)</f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>
      <c r="A53" s="8">
        <v>45068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1</v>
      </c>
      <c r="Q53" s="9">
        <f>MAX(-20,MIN(10,$A53-VLOOKUP(YEAR($A53),'Festive dates'!$A$2:$J$5,8,FALSE)))</f>
        <v>-20</v>
      </c>
      <c r="R53" s="9">
        <f>IF(AND($A53&gt;VLOOKUP(YEAR($A53),'Festive dates'!$A$2:$J$5,2,FALSE),$A53&lt;VLOOKUP(YEAR($A53),'Festive dates'!$A$2:$J$5,3,FALSE)),1,0)</f>
        <v>0</v>
      </c>
      <c r="S53" s="9">
        <f>IF($A53=VLOOKUP(YEAR($A53),'Festive dates'!$A$2:$J$5,2,FALSE),1,0)</f>
        <v>0</v>
      </c>
      <c r="T53" s="9">
        <f>IF($A53=VLOOKUP(YEAR($A53),'Festive dates'!$A$2:$J$5,3,FALSE),1,0)</f>
        <v>0</v>
      </c>
      <c r="U53" s="9">
        <f>IF($A53=VLOOKUP(YEAR($A53),'Festive dates'!$A$2:$J$5,4,FALSE),1,0)</f>
        <v>0</v>
      </c>
      <c r="V53" s="9">
        <f>IF(AND($A53&gt;=VLOOKUP(YEAR($A53),'Festive dates'!$A$2:$J$5,9,FALSE),$A53&lt;=VLOOKUP(YEAR($A53),'Festive dates'!$A$2:$J$5,10,FALSE)),1,0)</f>
        <v>0</v>
      </c>
      <c r="W53" s="9">
        <f>IF($A53=VLOOKUP(YEAR($A53),'Festive dates'!$A$2:$J$5,7,FALSE),1,0)</f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>
      <c r="A54" s="8">
        <v>45069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1</v>
      </c>
      <c r="Q54" s="9">
        <f>MAX(-20,MIN(10,$A54-VLOOKUP(YEAR($A54),'Festive dates'!$A$2:$J$5,8,FALSE)))</f>
        <v>-20</v>
      </c>
      <c r="R54" s="9">
        <f>IF(AND($A54&gt;VLOOKUP(YEAR($A54),'Festive dates'!$A$2:$J$5,2,FALSE),$A54&lt;VLOOKUP(YEAR($A54),'Festive dates'!$A$2:$J$5,3,FALSE)),1,0)</f>
        <v>0</v>
      </c>
      <c r="S54" s="9">
        <f>IF($A54=VLOOKUP(YEAR($A54),'Festive dates'!$A$2:$J$5,2,FALSE),1,0)</f>
        <v>0</v>
      </c>
      <c r="T54" s="9">
        <f>IF($A54=VLOOKUP(YEAR($A54),'Festive dates'!$A$2:$J$5,3,FALSE),1,0)</f>
        <v>0</v>
      </c>
      <c r="U54" s="9">
        <f>IF($A54=VLOOKUP(YEAR($A54),'Festive dates'!$A$2:$J$5,4,FALSE),1,0)</f>
        <v>0</v>
      </c>
      <c r="V54" s="9">
        <f>IF(AND($A54&gt;=VLOOKUP(YEAR($A54),'Festive dates'!$A$2:$J$5,9,FALSE),$A54&lt;=VLOOKUP(YEAR($A54),'Festive dates'!$A$2:$J$5,10,FALSE)),1,0)</f>
        <v>0</v>
      </c>
      <c r="W54" s="9">
        <f>IF($A54=VLOOKUP(YEAR($A54),'Festive dates'!$A$2:$J$5,7,FALSE),1,0)</f>
        <v>0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>
      <c r="A55" s="8">
        <v>45070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f>MAX(-20,MIN(10,$A55-VLOOKUP(YEAR($A55),'Festive dates'!$A$2:$J$5,8,FALSE)))</f>
        <v>-20</v>
      </c>
      <c r="R55" s="9">
        <f>IF(AND($A55&gt;VLOOKUP(YEAR($A55),'Festive dates'!$A$2:$J$5,2,FALSE),$A55&lt;VLOOKUP(YEAR($A55),'Festive dates'!$A$2:$J$5,3,FALSE)),1,0)</f>
        <v>0</v>
      </c>
      <c r="S55" s="9">
        <f>IF($A55=VLOOKUP(YEAR($A55),'Festive dates'!$A$2:$J$5,2,FALSE),1,0)</f>
        <v>0</v>
      </c>
      <c r="T55" s="9">
        <f>IF($A55=VLOOKUP(YEAR($A55),'Festive dates'!$A$2:$J$5,3,FALSE),1,0)</f>
        <v>0</v>
      </c>
      <c r="U55" s="9">
        <f>IF($A55=VLOOKUP(YEAR($A55),'Festive dates'!$A$2:$J$5,4,FALSE),1,0)</f>
        <v>0</v>
      </c>
      <c r="V55" s="9">
        <f>IF(AND($A55&gt;=VLOOKUP(YEAR($A55),'Festive dates'!$A$2:$J$5,9,FALSE),$A55&lt;=VLOOKUP(YEAR($A55),'Festive dates'!$A$2:$J$5,10,FALSE)),1,0)</f>
        <v>0</v>
      </c>
      <c r="W55" s="9">
        <f>IF($A55=VLOOKUP(YEAR($A55),'Festive dates'!$A$2:$J$5,7,FALSE),1,0)</f>
        <v>0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>
      <c r="A56" s="8">
        <v>45071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1</v>
      </c>
      <c r="Q56" s="9">
        <f>MAX(-20,MIN(10,$A56-VLOOKUP(YEAR($A56),'Festive dates'!$A$2:$J$5,8,FALSE)))</f>
        <v>-20</v>
      </c>
      <c r="R56" s="9">
        <f>IF(AND($A56&gt;VLOOKUP(YEAR($A56),'Festive dates'!$A$2:$J$5,2,FALSE),$A56&lt;VLOOKUP(YEAR($A56),'Festive dates'!$A$2:$J$5,3,FALSE)),1,0)</f>
        <v>0</v>
      </c>
      <c r="S56" s="9">
        <f>IF($A56=VLOOKUP(YEAR($A56),'Festive dates'!$A$2:$J$5,2,FALSE),1,0)</f>
        <v>0</v>
      </c>
      <c r="T56" s="9">
        <f>IF($A56=VLOOKUP(YEAR($A56),'Festive dates'!$A$2:$J$5,3,FALSE),1,0)</f>
        <v>0</v>
      </c>
      <c r="U56" s="9">
        <f>IF($A56=VLOOKUP(YEAR($A56),'Festive dates'!$A$2:$J$5,4,FALSE),1,0)</f>
        <v>0</v>
      </c>
      <c r="V56" s="9">
        <f>IF(AND($A56&gt;=VLOOKUP(YEAR($A56),'Festive dates'!$A$2:$J$5,9,FALSE),$A56&lt;=VLOOKUP(YEAR($A56),'Festive dates'!$A$2:$J$5,10,FALSE)),1,0)</f>
        <v>0</v>
      </c>
      <c r="W56" s="9">
        <f>IF($A56=VLOOKUP(YEAR($A56),'Festive dates'!$A$2:$J$5,7,FALSE),1,0)</f>
        <v>0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>
      <c r="A57" s="8">
        <v>45072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f>MAX(-20,MIN(10,$A57-VLOOKUP(YEAR($A57),'Festive dates'!$A$2:$J$5,8,FALSE)))</f>
        <v>-20</v>
      </c>
      <c r="R57" s="9">
        <f>IF(AND($A57&gt;VLOOKUP(YEAR($A57),'Festive dates'!$A$2:$J$5,2,FALSE),$A57&lt;VLOOKUP(YEAR($A57),'Festive dates'!$A$2:$J$5,3,FALSE)),1,0)</f>
        <v>0</v>
      </c>
      <c r="S57" s="9">
        <f>IF($A57=VLOOKUP(YEAR($A57),'Festive dates'!$A$2:$J$5,2,FALSE),1,0)</f>
        <v>0</v>
      </c>
      <c r="T57" s="9">
        <f>IF($A57=VLOOKUP(YEAR($A57),'Festive dates'!$A$2:$J$5,3,FALSE),1,0)</f>
        <v>0</v>
      </c>
      <c r="U57" s="9">
        <f>IF($A57=VLOOKUP(YEAR($A57),'Festive dates'!$A$2:$J$5,4,FALSE),1,0)</f>
        <v>0</v>
      </c>
      <c r="V57" s="9">
        <f>IF(AND($A57&gt;=VLOOKUP(YEAR($A57),'Festive dates'!$A$2:$J$5,9,FALSE),$A57&lt;=VLOOKUP(YEAR($A57),'Festive dates'!$A$2:$J$5,10,FALSE)),1,0)</f>
        <v>0</v>
      </c>
      <c r="W57" s="9">
        <f>IF($A57=VLOOKUP(YEAR($A57),'Festive dates'!$A$2:$J$5,7,FALSE),1,0)</f>
        <v>0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>
      <c r="A58" s="8">
        <v>45073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1</v>
      </c>
      <c r="Q58" s="9">
        <f>MAX(-20,MIN(10,$A58-VLOOKUP(YEAR($A58),'Festive dates'!$A$2:$J$5,8,FALSE)))</f>
        <v>-20</v>
      </c>
      <c r="R58" s="9">
        <f>IF(AND($A58&gt;VLOOKUP(YEAR($A58),'Festive dates'!$A$2:$J$5,2,FALSE),$A58&lt;VLOOKUP(YEAR($A58),'Festive dates'!$A$2:$J$5,3,FALSE)),1,0)</f>
        <v>0</v>
      </c>
      <c r="S58" s="9">
        <f>IF($A58=VLOOKUP(YEAR($A58),'Festive dates'!$A$2:$J$5,2,FALSE),1,0)</f>
        <v>0</v>
      </c>
      <c r="T58" s="9">
        <f>IF($A58=VLOOKUP(YEAR($A58),'Festive dates'!$A$2:$J$5,3,FALSE),1,0)</f>
        <v>0</v>
      </c>
      <c r="U58" s="9">
        <f>IF($A58=VLOOKUP(YEAR($A58),'Festive dates'!$A$2:$J$5,4,FALSE),1,0)</f>
        <v>0</v>
      </c>
      <c r="V58" s="9">
        <f>IF(AND($A58&gt;=VLOOKUP(YEAR($A58),'Festive dates'!$A$2:$J$5,9,FALSE),$A58&lt;=VLOOKUP(YEAR($A58),'Festive dates'!$A$2:$J$5,10,FALSE)),1,0)</f>
        <v>0</v>
      </c>
      <c r="W58" s="9">
        <f>IF($A58=VLOOKUP(YEAR($A58),'Festive dates'!$A$2:$J$5,7,FALSE),1,0)</f>
        <v>0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>
      <c r="A59" s="8">
        <v>45074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f>MAX(-20,MIN(10,$A59-VLOOKUP(YEAR($A59),'Festive dates'!$A$2:$J$5,8,FALSE)))</f>
        <v>-20</v>
      </c>
      <c r="R59" s="9">
        <f>IF(AND($A59&gt;VLOOKUP(YEAR($A59),'Festive dates'!$A$2:$J$5,2,FALSE),$A59&lt;VLOOKUP(YEAR($A59),'Festive dates'!$A$2:$J$5,3,FALSE)),1,0)</f>
        <v>0</v>
      </c>
      <c r="S59" s="9">
        <f>IF($A59=VLOOKUP(YEAR($A59),'Festive dates'!$A$2:$J$5,2,FALSE),1,0)</f>
        <v>0</v>
      </c>
      <c r="T59" s="9">
        <f>IF($A59=VLOOKUP(YEAR($A59),'Festive dates'!$A$2:$J$5,3,FALSE),1,0)</f>
        <v>0</v>
      </c>
      <c r="U59" s="9">
        <f>IF($A59=VLOOKUP(YEAR($A59),'Festive dates'!$A$2:$J$5,4,FALSE),1,0)</f>
        <v>0</v>
      </c>
      <c r="V59" s="9">
        <f>IF(AND($A59&gt;=VLOOKUP(YEAR($A59),'Festive dates'!$A$2:$J$5,9,FALSE),$A59&lt;=VLOOKUP(YEAR($A59),'Festive dates'!$A$2:$J$5,10,FALSE)),1,0)</f>
        <v>0</v>
      </c>
      <c r="W59" s="9">
        <f>IF($A59=VLOOKUP(YEAR($A59),'Festive dates'!$A$2:$J$5,7,FALSE),1,0)</f>
        <v>0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>
      <c r="A60" s="8">
        <v>45075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1</v>
      </c>
      <c r="Q60" s="9">
        <f>MAX(-20,MIN(10,$A60-VLOOKUP(YEAR($A60),'Festive dates'!$A$2:$J$5,8,FALSE)))</f>
        <v>-20</v>
      </c>
      <c r="R60" s="9">
        <f>IF(AND($A60&gt;VLOOKUP(YEAR($A60),'Festive dates'!$A$2:$J$5,2,FALSE),$A60&lt;VLOOKUP(YEAR($A60),'Festive dates'!$A$2:$J$5,3,FALSE)),1,0)</f>
        <v>0</v>
      </c>
      <c r="S60" s="9">
        <f>IF($A60=VLOOKUP(YEAR($A60),'Festive dates'!$A$2:$J$5,2,FALSE),1,0)</f>
        <v>0</v>
      </c>
      <c r="T60" s="9">
        <f>IF($A60=VLOOKUP(YEAR($A60),'Festive dates'!$A$2:$J$5,3,FALSE),1,0)</f>
        <v>0</v>
      </c>
      <c r="U60" s="9">
        <f>IF($A60=VLOOKUP(YEAR($A60),'Festive dates'!$A$2:$J$5,4,FALSE),1,0)</f>
        <v>0</v>
      </c>
      <c r="V60" s="9">
        <f>IF(AND($A60&gt;=VLOOKUP(YEAR($A60),'Festive dates'!$A$2:$J$5,9,FALSE),$A60&lt;=VLOOKUP(YEAR($A60),'Festive dates'!$A$2:$J$5,10,FALSE)),1,0)</f>
        <v>0</v>
      </c>
      <c r="W60" s="9">
        <f>IF($A60=VLOOKUP(YEAR($A60),'Festive dates'!$A$2:$J$5,7,FALSE),1,0)</f>
        <v>0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>
      <c r="A61" s="8">
        <v>45076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</v>
      </c>
      <c r="L61" s="9">
        <v>0</v>
      </c>
      <c r="M61" s="9">
        <v>0</v>
      </c>
      <c r="N61" s="9">
        <v>0</v>
      </c>
      <c r="O61" s="9">
        <v>0</v>
      </c>
      <c r="P61" s="9">
        <v>1</v>
      </c>
      <c r="Q61" s="9">
        <f>MAX(-20,MIN(10,$A61-VLOOKUP(YEAR($A61),'Festive dates'!$A$2:$J$5,8,FALSE)))</f>
        <v>-20</v>
      </c>
      <c r="R61" s="9">
        <f>IF(AND($A61&gt;VLOOKUP(YEAR($A61),'Festive dates'!$A$2:$J$5,2,FALSE),$A61&lt;VLOOKUP(YEAR($A61),'Festive dates'!$A$2:$J$5,3,FALSE)),1,0)</f>
        <v>0</v>
      </c>
      <c r="S61" s="9">
        <f>IF($A61=VLOOKUP(YEAR($A61),'Festive dates'!$A$2:$J$5,2,FALSE),1,0)</f>
        <v>0</v>
      </c>
      <c r="T61" s="9">
        <f>IF($A61=VLOOKUP(YEAR($A61),'Festive dates'!$A$2:$J$5,3,FALSE),1,0)</f>
        <v>0</v>
      </c>
      <c r="U61" s="9">
        <f>IF($A61=VLOOKUP(YEAR($A61),'Festive dates'!$A$2:$J$5,4,FALSE),1,0)</f>
        <v>0</v>
      </c>
      <c r="V61" s="9">
        <f>IF(AND($A61&gt;=VLOOKUP(YEAR($A61),'Festive dates'!$A$2:$J$5,9,FALSE),$A61&lt;=VLOOKUP(YEAR($A61),'Festive dates'!$A$2:$J$5,10,FALSE)),1,0)</f>
        <v>0</v>
      </c>
      <c r="W61" s="9">
        <f>IF($A61=VLOOKUP(YEAR($A61),'Festive dates'!$A$2:$J$5,7,FALSE),1,0)</f>
        <v>0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>
      <c r="A62" s="8">
        <v>45077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1</v>
      </c>
      <c r="Q62" s="9">
        <f>MAX(-20,MIN(10,$A62-VLOOKUP(YEAR($A62),'Festive dates'!$A$2:$J$5,8,FALSE)))</f>
        <v>-20</v>
      </c>
      <c r="R62" s="9">
        <f>IF(AND($A62&gt;VLOOKUP(YEAR($A62),'Festive dates'!$A$2:$J$5,2,FALSE),$A62&lt;VLOOKUP(YEAR($A62),'Festive dates'!$A$2:$J$5,3,FALSE)),1,0)</f>
        <v>0</v>
      </c>
      <c r="S62" s="9">
        <f>IF($A62=VLOOKUP(YEAR($A62),'Festive dates'!$A$2:$J$5,2,FALSE),1,0)</f>
        <v>0</v>
      </c>
      <c r="T62" s="9">
        <f>IF($A62=VLOOKUP(YEAR($A62),'Festive dates'!$A$2:$J$5,3,FALSE),1,0)</f>
        <v>0</v>
      </c>
      <c r="U62" s="9">
        <f>IF($A62=VLOOKUP(YEAR($A62),'Festive dates'!$A$2:$J$5,4,FALSE),1,0)</f>
        <v>0</v>
      </c>
      <c r="V62" s="9">
        <f>IF(AND($A62&gt;=VLOOKUP(YEAR($A62),'Festive dates'!$A$2:$J$5,9,FALSE),$A62&lt;=VLOOKUP(YEAR($A62),'Festive dates'!$A$2:$J$5,10,FALSE)),1,0)</f>
        <v>0</v>
      </c>
      <c r="W62" s="9">
        <f>IF($A62=VLOOKUP(YEAR($A62),'Festive dates'!$A$2:$J$5,7,FALSE),1,0)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>
      <c r="A63" s="8">
        <v>45078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f>MAX(-20,MIN(10,$A63-VLOOKUP(YEAR($A63),'Festive dates'!$A$2:$J$5,8,FALSE)))</f>
        <v>-20</v>
      </c>
      <c r="R63" s="9">
        <f>IF(AND($A63&gt;VLOOKUP(YEAR($A63),'Festive dates'!$A$2:$J$5,2,FALSE),$A63&lt;VLOOKUP(YEAR($A63),'Festive dates'!$A$2:$J$5,3,FALSE)),1,0)</f>
        <v>0</v>
      </c>
      <c r="S63" s="9">
        <f>IF($A63=VLOOKUP(YEAR($A63),'Festive dates'!$A$2:$J$5,2,FALSE),1,0)</f>
        <v>0</v>
      </c>
      <c r="T63" s="9">
        <f>IF($A63=VLOOKUP(YEAR($A63),'Festive dates'!$A$2:$J$5,3,FALSE),1,0)</f>
        <v>0</v>
      </c>
      <c r="U63" s="9">
        <f>IF($A63=VLOOKUP(YEAR($A63),'Festive dates'!$A$2:$J$5,4,FALSE),1,0)</f>
        <v>0</v>
      </c>
      <c r="V63" s="9">
        <f>IF(AND($A63&gt;=VLOOKUP(YEAR($A63),'Festive dates'!$A$2:$J$5,9,FALSE),$A63&lt;=VLOOKUP(YEAR($A63),'Festive dates'!$A$2:$J$5,10,FALSE)),1,0)</f>
        <v>0</v>
      </c>
      <c r="W63" s="9">
        <f>IF($A63=VLOOKUP(YEAR($A63),'Festive dates'!$A$2:$J$5,7,FALSE),1,0)</f>
        <v>0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>
      <c r="A64" s="8">
        <v>45079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f>MAX(-20,MIN(10,$A64-VLOOKUP(YEAR($A64),'Festive dates'!$A$2:$J$5,8,FALSE)))</f>
        <v>-20</v>
      </c>
      <c r="R64" s="9">
        <f>IF(AND($A64&gt;VLOOKUP(YEAR($A64),'Festive dates'!$A$2:$J$5,2,FALSE),$A64&lt;VLOOKUP(YEAR($A64),'Festive dates'!$A$2:$J$5,3,FALSE)),1,0)</f>
        <v>0</v>
      </c>
      <c r="S64" s="9">
        <f>IF($A64=VLOOKUP(YEAR($A64),'Festive dates'!$A$2:$J$5,2,FALSE),1,0)</f>
        <v>0</v>
      </c>
      <c r="T64" s="9">
        <f>IF($A64=VLOOKUP(YEAR($A64),'Festive dates'!$A$2:$J$5,3,FALSE),1,0)</f>
        <v>0</v>
      </c>
      <c r="U64" s="9">
        <f>IF($A64=VLOOKUP(YEAR($A64),'Festive dates'!$A$2:$J$5,4,FALSE),1,0)</f>
        <v>0</v>
      </c>
      <c r="V64" s="9">
        <f>IF(AND($A64&gt;=VLOOKUP(YEAR($A64),'Festive dates'!$A$2:$J$5,9,FALSE),$A64&lt;=VLOOKUP(YEAR($A64),'Festive dates'!$A$2:$J$5,10,FALSE)),1,0)</f>
        <v>0</v>
      </c>
      <c r="W64" s="9">
        <f>IF($A64=VLOOKUP(YEAR($A64),'Festive dates'!$A$2:$J$5,7,FALSE),1,0)</f>
        <v>0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>
      <c r="A65" s="8">
        <v>45080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f>MAX(-20,MIN(10,$A65-VLOOKUP(YEAR($A65),'Festive dates'!$A$2:$J$5,8,FALSE)))</f>
        <v>-20</v>
      </c>
      <c r="R65" s="9">
        <f>IF(AND($A65&gt;VLOOKUP(YEAR($A65),'Festive dates'!$A$2:$J$5,2,FALSE),$A65&lt;VLOOKUP(YEAR($A65),'Festive dates'!$A$2:$J$5,3,FALSE)),1,0)</f>
        <v>0</v>
      </c>
      <c r="S65" s="9">
        <f>IF($A65=VLOOKUP(YEAR($A65),'Festive dates'!$A$2:$J$5,2,FALSE),1,0)</f>
        <v>0</v>
      </c>
      <c r="T65" s="9">
        <f>IF($A65=VLOOKUP(YEAR($A65),'Festive dates'!$A$2:$J$5,3,FALSE),1,0)</f>
        <v>0</v>
      </c>
      <c r="U65" s="9">
        <f>IF($A65=VLOOKUP(YEAR($A65),'Festive dates'!$A$2:$J$5,4,FALSE),1,0)</f>
        <v>0</v>
      </c>
      <c r="V65" s="9">
        <f>IF(AND($A65&gt;=VLOOKUP(YEAR($A65),'Festive dates'!$A$2:$J$5,9,FALSE),$A65&lt;=VLOOKUP(YEAR($A65),'Festive dates'!$A$2:$J$5,10,FALSE)),1,0)</f>
        <v>0</v>
      </c>
      <c r="W65" s="9">
        <f>IF($A65=VLOOKUP(YEAR($A65),'Festive dates'!$A$2:$J$5,7,FALSE),1,0)</f>
        <v>0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>
      <c r="A66" s="8">
        <v>45081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1</v>
      </c>
      <c r="Q66" s="9">
        <f>MAX(-20,MIN(10,$A66-VLOOKUP(YEAR($A66),'Festive dates'!$A$2:$J$5,8,FALSE)))</f>
        <v>-20</v>
      </c>
      <c r="R66" s="9">
        <f>IF(AND($A66&gt;VLOOKUP(YEAR($A66),'Festive dates'!$A$2:$J$5,2,FALSE),$A66&lt;VLOOKUP(YEAR($A66),'Festive dates'!$A$2:$J$5,3,FALSE)),1,0)</f>
        <v>0</v>
      </c>
      <c r="S66" s="9">
        <f>IF($A66=VLOOKUP(YEAR($A66),'Festive dates'!$A$2:$J$5,2,FALSE),1,0)</f>
        <v>0</v>
      </c>
      <c r="T66" s="9">
        <f>IF($A66=VLOOKUP(YEAR($A66),'Festive dates'!$A$2:$J$5,3,FALSE),1,0)</f>
        <v>0</v>
      </c>
      <c r="U66" s="9">
        <f>IF($A66=VLOOKUP(YEAR($A66),'Festive dates'!$A$2:$J$5,4,FALSE),1,0)</f>
        <v>0</v>
      </c>
      <c r="V66" s="9">
        <f>IF(AND($A66&gt;=VLOOKUP(YEAR($A66),'Festive dates'!$A$2:$J$5,9,FALSE),$A66&lt;=VLOOKUP(YEAR($A66),'Festive dates'!$A$2:$J$5,10,FALSE)),1,0)</f>
        <v>0</v>
      </c>
      <c r="W66" s="9">
        <f>IF($A66=VLOOKUP(YEAR($A66),'Festive dates'!$A$2:$J$5,7,FALSE),1,0)</f>
        <v>0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>
      <c r="A67" s="8">
        <v>45082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1</v>
      </c>
      <c r="Q67" s="9">
        <f>MAX(-20,MIN(10,$A67-VLOOKUP(YEAR($A67),'Festive dates'!$A$2:$J$5,8,FALSE)))</f>
        <v>-20</v>
      </c>
      <c r="R67" s="9">
        <f>IF(AND($A67&gt;VLOOKUP(YEAR($A67),'Festive dates'!$A$2:$J$5,2,FALSE),$A67&lt;VLOOKUP(YEAR($A67),'Festive dates'!$A$2:$J$5,3,FALSE)),1,0)</f>
        <v>0</v>
      </c>
      <c r="S67" s="9">
        <f>IF($A67=VLOOKUP(YEAR($A67),'Festive dates'!$A$2:$J$5,2,FALSE),1,0)</f>
        <v>0</v>
      </c>
      <c r="T67" s="9">
        <f>IF($A67=VLOOKUP(YEAR($A67),'Festive dates'!$A$2:$J$5,3,FALSE),1,0)</f>
        <v>0</v>
      </c>
      <c r="U67" s="9">
        <f>IF($A67=VLOOKUP(YEAR($A67),'Festive dates'!$A$2:$J$5,4,FALSE),1,0)</f>
        <v>0</v>
      </c>
      <c r="V67" s="9">
        <f>IF(AND($A67&gt;=VLOOKUP(YEAR($A67),'Festive dates'!$A$2:$J$5,9,FALSE),$A67&lt;=VLOOKUP(YEAR($A67),'Festive dates'!$A$2:$J$5,10,FALSE)),1,0)</f>
        <v>0</v>
      </c>
      <c r="W67" s="9">
        <f>IF($A67=VLOOKUP(YEAR($A67),'Festive dates'!$A$2:$J$5,7,FALSE),1,0)</f>
        <v>0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>
      <c r="A68" s="8">
        <v>45083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f>MAX(-20,MIN(10,$A68-VLOOKUP(YEAR($A68),'Festive dates'!$A$2:$J$5,8,FALSE)))</f>
        <v>-20</v>
      </c>
      <c r="R68" s="9">
        <f>IF(AND($A68&gt;VLOOKUP(YEAR($A68),'Festive dates'!$A$2:$J$5,2,FALSE),$A68&lt;VLOOKUP(YEAR($A68),'Festive dates'!$A$2:$J$5,3,FALSE)),1,0)</f>
        <v>0</v>
      </c>
      <c r="S68" s="9">
        <f>IF($A68=VLOOKUP(YEAR($A68),'Festive dates'!$A$2:$J$5,2,FALSE),1,0)</f>
        <v>0</v>
      </c>
      <c r="T68" s="9">
        <f>IF($A68=VLOOKUP(YEAR($A68),'Festive dates'!$A$2:$J$5,3,FALSE),1,0)</f>
        <v>0</v>
      </c>
      <c r="U68" s="9">
        <f>IF($A68=VLOOKUP(YEAR($A68),'Festive dates'!$A$2:$J$5,4,FALSE),1,0)</f>
        <v>0</v>
      </c>
      <c r="V68" s="9">
        <f>IF(AND($A68&gt;=VLOOKUP(YEAR($A68),'Festive dates'!$A$2:$J$5,9,FALSE),$A68&lt;=VLOOKUP(YEAR($A68),'Festive dates'!$A$2:$J$5,10,FALSE)),1,0)</f>
        <v>0</v>
      </c>
      <c r="W68" s="9">
        <f>IF($A68=VLOOKUP(YEAR($A68),'Festive dates'!$A$2:$J$5,7,FALSE),1,0)</f>
        <v>0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>
      <c r="A69" s="8">
        <v>45084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f>MAX(-20,MIN(10,$A69-VLOOKUP(YEAR($A69),'Festive dates'!$A$2:$J$5,8,FALSE)))</f>
        <v>-20</v>
      </c>
      <c r="R69" s="9">
        <f>IF(AND($A69&gt;VLOOKUP(YEAR($A69),'Festive dates'!$A$2:$J$5,2,FALSE),$A69&lt;VLOOKUP(YEAR($A69),'Festive dates'!$A$2:$J$5,3,FALSE)),1,0)</f>
        <v>0</v>
      </c>
      <c r="S69" s="9">
        <f>IF($A69=VLOOKUP(YEAR($A69),'Festive dates'!$A$2:$J$5,2,FALSE),1,0)</f>
        <v>0</v>
      </c>
      <c r="T69" s="9">
        <f>IF($A69=VLOOKUP(YEAR($A69),'Festive dates'!$A$2:$J$5,3,FALSE),1,0)</f>
        <v>0</v>
      </c>
      <c r="U69" s="9">
        <f>IF($A69=VLOOKUP(YEAR($A69),'Festive dates'!$A$2:$J$5,4,FALSE),1,0)</f>
        <v>0</v>
      </c>
      <c r="V69" s="9">
        <f>IF(AND($A69&gt;=VLOOKUP(YEAR($A69),'Festive dates'!$A$2:$J$5,9,FALSE),$A69&lt;=VLOOKUP(YEAR($A69),'Festive dates'!$A$2:$J$5,10,FALSE)),1,0)</f>
        <v>0</v>
      </c>
      <c r="W69" s="9">
        <f>IF($A69=VLOOKUP(YEAR($A69),'Festive dates'!$A$2:$J$5,7,FALSE),1,0)</f>
        <v>0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>
      <c r="A70" s="8">
        <v>45085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f>MAX(-20,MIN(10,$A70-VLOOKUP(YEAR($A70),'Festive dates'!$A$2:$J$5,8,FALSE)))</f>
        <v>-20</v>
      </c>
      <c r="R70" s="9">
        <f>IF(AND($A70&gt;VLOOKUP(YEAR($A70),'Festive dates'!$A$2:$J$5,2,FALSE),$A70&lt;VLOOKUP(YEAR($A70),'Festive dates'!$A$2:$J$5,3,FALSE)),1,0)</f>
        <v>0</v>
      </c>
      <c r="S70" s="9">
        <f>IF($A70=VLOOKUP(YEAR($A70),'Festive dates'!$A$2:$J$5,2,FALSE),1,0)</f>
        <v>0</v>
      </c>
      <c r="T70" s="9">
        <f>IF($A70=VLOOKUP(YEAR($A70),'Festive dates'!$A$2:$J$5,3,FALSE),1,0)</f>
        <v>0</v>
      </c>
      <c r="U70" s="9">
        <f>IF($A70=VLOOKUP(YEAR($A70),'Festive dates'!$A$2:$J$5,4,FALSE),1,0)</f>
        <v>0</v>
      </c>
      <c r="V70" s="9">
        <f>IF(AND($A70&gt;=VLOOKUP(YEAR($A70),'Festive dates'!$A$2:$J$5,9,FALSE),$A70&lt;=VLOOKUP(YEAR($A70),'Festive dates'!$A$2:$J$5,10,FALSE)),1,0)</f>
        <v>0</v>
      </c>
      <c r="W70" s="9">
        <f>IF($A70=VLOOKUP(YEAR($A70),'Festive dates'!$A$2:$J$5,7,FALSE),1,0)</f>
        <v>0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>
      <c r="A71" s="8">
        <v>45086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f>MAX(-20,MIN(10,$A71-VLOOKUP(YEAR($A71),'Festive dates'!$A$2:$J$5,8,FALSE)))</f>
        <v>-20</v>
      </c>
      <c r="R71" s="9">
        <f>IF(AND($A71&gt;VLOOKUP(YEAR($A71),'Festive dates'!$A$2:$J$5,2,FALSE),$A71&lt;VLOOKUP(YEAR($A71),'Festive dates'!$A$2:$J$5,3,FALSE)),1,0)</f>
        <v>0</v>
      </c>
      <c r="S71" s="9">
        <f>IF($A71=VLOOKUP(YEAR($A71),'Festive dates'!$A$2:$J$5,2,FALSE),1,0)</f>
        <v>0</v>
      </c>
      <c r="T71" s="9">
        <f>IF($A71=VLOOKUP(YEAR($A71),'Festive dates'!$A$2:$J$5,3,FALSE),1,0)</f>
        <v>0</v>
      </c>
      <c r="U71" s="9">
        <f>IF($A71=VLOOKUP(YEAR($A71),'Festive dates'!$A$2:$J$5,4,FALSE),1,0)</f>
        <v>0</v>
      </c>
      <c r="V71" s="9">
        <f>IF(AND($A71&gt;=VLOOKUP(YEAR($A71),'Festive dates'!$A$2:$J$5,9,FALSE),$A71&lt;=VLOOKUP(YEAR($A71),'Festive dates'!$A$2:$J$5,10,FALSE)),1,0)</f>
        <v>0</v>
      </c>
      <c r="W71" s="9">
        <f>IF($A71=VLOOKUP(YEAR($A71),'Festive dates'!$A$2:$J$5,7,FALSE),1,0)</f>
        <v>0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>
      <c r="A72" s="8">
        <v>45087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f>MAX(-20,MIN(10,$A72-VLOOKUP(YEAR($A72),'Festive dates'!$A$2:$J$5,8,FALSE)))</f>
        <v>-20</v>
      </c>
      <c r="R72" s="9">
        <f>IF(AND($A72&gt;VLOOKUP(YEAR($A72),'Festive dates'!$A$2:$J$5,2,FALSE),$A72&lt;VLOOKUP(YEAR($A72),'Festive dates'!$A$2:$J$5,3,FALSE)),1,0)</f>
        <v>0</v>
      </c>
      <c r="S72" s="9">
        <f>IF($A72=VLOOKUP(YEAR($A72),'Festive dates'!$A$2:$J$5,2,FALSE),1,0)</f>
        <v>0</v>
      </c>
      <c r="T72" s="9">
        <f>IF($A72=VLOOKUP(YEAR($A72),'Festive dates'!$A$2:$J$5,3,FALSE),1,0)</f>
        <v>0</v>
      </c>
      <c r="U72" s="9">
        <f>IF($A72=VLOOKUP(YEAR($A72),'Festive dates'!$A$2:$J$5,4,FALSE),1,0)</f>
        <v>0</v>
      </c>
      <c r="V72" s="9">
        <f>IF(AND($A72&gt;=VLOOKUP(YEAR($A72),'Festive dates'!$A$2:$J$5,9,FALSE),$A72&lt;=VLOOKUP(YEAR($A72),'Festive dates'!$A$2:$J$5,10,FALSE)),1,0)</f>
        <v>0</v>
      </c>
      <c r="W72" s="9">
        <f>IF($A72=VLOOKUP(YEAR($A72),'Festive dates'!$A$2:$J$5,7,FALSE),1,0)</f>
        <v>0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>
      <c r="A73" s="8">
        <v>45088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f>MAX(-20,MIN(10,$A73-VLOOKUP(YEAR($A73),'Festive dates'!$A$2:$J$5,8,FALSE)))</f>
        <v>-20</v>
      </c>
      <c r="R73" s="9">
        <f>IF(AND($A73&gt;VLOOKUP(YEAR($A73),'Festive dates'!$A$2:$J$5,2,FALSE),$A73&lt;VLOOKUP(YEAR($A73),'Festive dates'!$A$2:$J$5,3,FALSE)),1,0)</f>
        <v>0</v>
      </c>
      <c r="S73" s="9">
        <f>IF($A73=VLOOKUP(YEAR($A73),'Festive dates'!$A$2:$J$5,2,FALSE),1,0)</f>
        <v>0</v>
      </c>
      <c r="T73" s="9">
        <f>IF($A73=VLOOKUP(YEAR($A73),'Festive dates'!$A$2:$J$5,3,FALSE),1,0)</f>
        <v>0</v>
      </c>
      <c r="U73" s="9">
        <f>IF($A73=VLOOKUP(YEAR($A73),'Festive dates'!$A$2:$J$5,4,FALSE),1,0)</f>
        <v>0</v>
      </c>
      <c r="V73" s="9">
        <f>IF(AND($A73&gt;=VLOOKUP(YEAR($A73),'Festive dates'!$A$2:$J$5,9,FALSE),$A73&lt;=VLOOKUP(YEAR($A73),'Festive dates'!$A$2:$J$5,10,FALSE)),1,0)</f>
        <v>0</v>
      </c>
      <c r="W73" s="9">
        <f>IF($A73=VLOOKUP(YEAR($A73),'Festive dates'!$A$2:$J$5,7,FALSE),1,0)</f>
        <v>0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>
      <c r="A74" s="8">
        <v>45089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f>MAX(-20,MIN(10,$A74-VLOOKUP(YEAR($A74),'Festive dates'!$A$2:$J$5,8,FALSE)))</f>
        <v>-20</v>
      </c>
      <c r="R74" s="9">
        <f>IF(AND($A74&gt;VLOOKUP(YEAR($A74),'Festive dates'!$A$2:$J$5,2,FALSE),$A74&lt;VLOOKUP(YEAR($A74),'Festive dates'!$A$2:$J$5,3,FALSE)),1,0)</f>
        <v>0</v>
      </c>
      <c r="S74" s="9">
        <f>IF($A74=VLOOKUP(YEAR($A74),'Festive dates'!$A$2:$J$5,2,FALSE),1,0)</f>
        <v>0</v>
      </c>
      <c r="T74" s="9">
        <f>IF($A74=VLOOKUP(YEAR($A74),'Festive dates'!$A$2:$J$5,3,FALSE),1,0)</f>
        <v>0</v>
      </c>
      <c r="U74" s="9">
        <f>IF($A74=VLOOKUP(YEAR($A74),'Festive dates'!$A$2:$J$5,4,FALSE),1,0)</f>
        <v>0</v>
      </c>
      <c r="V74" s="9">
        <f>IF(AND($A74&gt;=VLOOKUP(YEAR($A74),'Festive dates'!$A$2:$J$5,9,FALSE),$A74&lt;=VLOOKUP(YEAR($A74),'Festive dates'!$A$2:$J$5,10,FALSE)),1,0)</f>
        <v>0</v>
      </c>
      <c r="W74" s="9">
        <f>IF($A74=VLOOKUP(YEAR($A74),'Festive dates'!$A$2:$J$5,7,FALSE),1,0)</f>
        <v>0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>
      <c r="A75" s="8">
        <v>45090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f>MAX(-20,MIN(10,$A75-VLOOKUP(YEAR($A75),'Festive dates'!$A$2:$J$5,8,FALSE)))</f>
        <v>-20</v>
      </c>
      <c r="R75" s="9">
        <f>IF(AND($A75&gt;VLOOKUP(YEAR($A75),'Festive dates'!$A$2:$J$5,2,FALSE),$A75&lt;VLOOKUP(YEAR($A75),'Festive dates'!$A$2:$J$5,3,FALSE)),1,0)</f>
        <v>0</v>
      </c>
      <c r="S75" s="9">
        <f>IF($A75=VLOOKUP(YEAR($A75),'Festive dates'!$A$2:$J$5,2,FALSE),1,0)</f>
        <v>0</v>
      </c>
      <c r="T75" s="9">
        <f>IF($A75=VLOOKUP(YEAR($A75),'Festive dates'!$A$2:$J$5,3,FALSE),1,0)</f>
        <v>0</v>
      </c>
      <c r="U75" s="9">
        <f>IF($A75=VLOOKUP(YEAR($A75),'Festive dates'!$A$2:$J$5,4,FALSE),1,0)</f>
        <v>0</v>
      </c>
      <c r="V75" s="9">
        <f>IF(AND($A75&gt;=VLOOKUP(YEAR($A75),'Festive dates'!$A$2:$J$5,9,FALSE),$A75&lt;=VLOOKUP(YEAR($A75),'Festive dates'!$A$2:$J$5,10,FALSE)),1,0)</f>
        <v>0</v>
      </c>
      <c r="W75" s="9">
        <f>IF($A75=VLOOKUP(YEAR($A75),'Festive dates'!$A$2:$J$5,7,FALSE),1,0)</f>
        <v>0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>
      <c r="A76" s="8">
        <v>45091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f>MAX(-20,MIN(10,$A76-VLOOKUP(YEAR($A76),'Festive dates'!$A$2:$J$5,8,FALSE)))</f>
        <v>-20</v>
      </c>
      <c r="R76" s="9">
        <f>IF(AND($A76&gt;VLOOKUP(YEAR($A76),'Festive dates'!$A$2:$J$5,2,FALSE),$A76&lt;VLOOKUP(YEAR($A76),'Festive dates'!$A$2:$J$5,3,FALSE)),1,0)</f>
        <v>0</v>
      </c>
      <c r="S76" s="9">
        <f>IF($A76=VLOOKUP(YEAR($A76),'Festive dates'!$A$2:$J$5,2,FALSE),1,0)</f>
        <v>0</v>
      </c>
      <c r="T76" s="9">
        <f>IF($A76=VLOOKUP(YEAR($A76),'Festive dates'!$A$2:$J$5,3,FALSE),1,0)</f>
        <v>0</v>
      </c>
      <c r="U76" s="9">
        <f>IF($A76=VLOOKUP(YEAR($A76),'Festive dates'!$A$2:$J$5,4,FALSE),1,0)</f>
        <v>0</v>
      </c>
      <c r="V76" s="9">
        <f>IF(AND($A76&gt;=VLOOKUP(YEAR($A76),'Festive dates'!$A$2:$J$5,9,FALSE),$A76&lt;=VLOOKUP(YEAR($A76),'Festive dates'!$A$2:$J$5,10,FALSE)),1,0)</f>
        <v>0</v>
      </c>
      <c r="W76" s="9">
        <f>IF($A76=VLOOKUP(YEAR($A76),'Festive dates'!$A$2:$J$5,7,FALSE),1,0)</f>
        <v>0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>
      <c r="A77" s="8">
        <v>45092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f>MAX(-20,MIN(10,$A77-VLOOKUP(YEAR($A77),'Festive dates'!$A$2:$J$5,8,FALSE)))</f>
        <v>-20</v>
      </c>
      <c r="R77" s="9">
        <f>IF(AND($A77&gt;VLOOKUP(YEAR($A77),'Festive dates'!$A$2:$J$5,2,FALSE),$A77&lt;VLOOKUP(YEAR($A77),'Festive dates'!$A$2:$J$5,3,FALSE)),1,0)</f>
        <v>0</v>
      </c>
      <c r="S77" s="9">
        <f>IF($A77=VLOOKUP(YEAR($A77),'Festive dates'!$A$2:$J$5,2,FALSE),1,0)</f>
        <v>0</v>
      </c>
      <c r="T77" s="9">
        <f>IF($A77=VLOOKUP(YEAR($A77),'Festive dates'!$A$2:$J$5,3,FALSE),1,0)</f>
        <v>0</v>
      </c>
      <c r="U77" s="9">
        <f>IF($A77=VLOOKUP(YEAR($A77),'Festive dates'!$A$2:$J$5,4,FALSE),1,0)</f>
        <v>0</v>
      </c>
      <c r="V77" s="9">
        <f>IF(AND($A77&gt;=VLOOKUP(YEAR($A77),'Festive dates'!$A$2:$J$5,9,FALSE),$A77&lt;=VLOOKUP(YEAR($A77),'Festive dates'!$A$2:$J$5,10,FALSE)),1,0)</f>
        <v>0</v>
      </c>
      <c r="W77" s="9">
        <f>IF($A77=VLOOKUP(YEAR($A77),'Festive dates'!$A$2:$J$5,7,FALSE),1,0)</f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>
      <c r="A78" s="8">
        <v>45093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1</v>
      </c>
      <c r="Q78" s="9">
        <f>MAX(-20,MIN(10,$A78-VLOOKUP(YEAR($A78),'Festive dates'!$A$2:$J$5,8,FALSE)))</f>
        <v>-20</v>
      </c>
      <c r="R78" s="9">
        <f>IF(AND($A78&gt;VLOOKUP(YEAR($A78),'Festive dates'!$A$2:$J$5,2,FALSE),$A78&lt;VLOOKUP(YEAR($A78),'Festive dates'!$A$2:$J$5,3,FALSE)),1,0)</f>
        <v>0</v>
      </c>
      <c r="S78" s="9">
        <f>IF($A78=VLOOKUP(YEAR($A78),'Festive dates'!$A$2:$J$5,2,FALSE),1,0)</f>
        <v>0</v>
      </c>
      <c r="T78" s="9">
        <f>IF($A78=VLOOKUP(YEAR($A78),'Festive dates'!$A$2:$J$5,3,FALSE),1,0)</f>
        <v>0</v>
      </c>
      <c r="U78" s="9">
        <f>IF($A78=VLOOKUP(YEAR($A78),'Festive dates'!$A$2:$J$5,4,FALSE),1,0)</f>
        <v>0</v>
      </c>
      <c r="V78" s="9">
        <f>IF(AND($A78&gt;=VLOOKUP(YEAR($A78),'Festive dates'!$A$2:$J$5,9,FALSE),$A78&lt;=VLOOKUP(YEAR($A78),'Festive dates'!$A$2:$J$5,10,FALSE)),1,0)</f>
        <v>0</v>
      </c>
      <c r="W78" s="9">
        <f>IF($A78=VLOOKUP(YEAR($A78),'Festive dates'!$A$2:$J$5,7,FALSE),1,0)</f>
        <v>0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>
      <c r="A79" s="8">
        <v>45094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1</v>
      </c>
      <c r="Q79" s="9">
        <f>MAX(-20,MIN(10,$A79-VLOOKUP(YEAR($A79),'Festive dates'!$A$2:$J$5,8,FALSE)))</f>
        <v>-20</v>
      </c>
      <c r="R79" s="9">
        <f>IF(AND($A79&gt;VLOOKUP(YEAR($A79),'Festive dates'!$A$2:$J$5,2,FALSE),$A79&lt;VLOOKUP(YEAR($A79),'Festive dates'!$A$2:$J$5,3,FALSE)),1,0)</f>
        <v>0</v>
      </c>
      <c r="S79" s="9">
        <f>IF($A79=VLOOKUP(YEAR($A79),'Festive dates'!$A$2:$J$5,2,FALSE),1,0)</f>
        <v>0</v>
      </c>
      <c r="T79" s="9">
        <f>IF($A79=VLOOKUP(YEAR($A79),'Festive dates'!$A$2:$J$5,3,FALSE),1,0)</f>
        <v>0</v>
      </c>
      <c r="U79" s="9">
        <f>IF($A79=VLOOKUP(YEAR($A79),'Festive dates'!$A$2:$J$5,4,FALSE),1,0)</f>
        <v>0</v>
      </c>
      <c r="V79" s="9">
        <f>IF(AND($A79&gt;=VLOOKUP(YEAR($A79),'Festive dates'!$A$2:$J$5,9,FALSE),$A79&lt;=VLOOKUP(YEAR($A79),'Festive dates'!$A$2:$J$5,10,FALSE)),1,0)</f>
        <v>0</v>
      </c>
      <c r="W79" s="9">
        <f>IF($A79=VLOOKUP(YEAR($A79),'Festive dates'!$A$2:$J$5,7,FALSE),1,0)</f>
        <v>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>
      <c r="A80" s="8">
        <v>45095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f>MAX(-20,MIN(10,$A80-VLOOKUP(YEAR($A80),'Festive dates'!$A$2:$J$5,8,FALSE)))</f>
        <v>-20</v>
      </c>
      <c r="R80" s="9">
        <f>IF(AND($A80&gt;VLOOKUP(YEAR($A80),'Festive dates'!$A$2:$J$5,2,FALSE),$A80&lt;VLOOKUP(YEAR($A80),'Festive dates'!$A$2:$J$5,3,FALSE)),1,0)</f>
        <v>0</v>
      </c>
      <c r="S80" s="9">
        <f>IF($A80=VLOOKUP(YEAR($A80),'Festive dates'!$A$2:$J$5,2,FALSE),1,0)</f>
        <v>0</v>
      </c>
      <c r="T80" s="9">
        <f>IF($A80=VLOOKUP(YEAR($A80),'Festive dates'!$A$2:$J$5,3,FALSE),1,0)</f>
        <v>0</v>
      </c>
      <c r="U80" s="9">
        <f>IF($A80=VLOOKUP(YEAR($A80),'Festive dates'!$A$2:$J$5,4,FALSE),1,0)</f>
        <v>0</v>
      </c>
      <c r="V80" s="9">
        <f>IF(AND($A80&gt;=VLOOKUP(YEAR($A80),'Festive dates'!$A$2:$J$5,9,FALSE),$A80&lt;=VLOOKUP(YEAR($A80),'Festive dates'!$A$2:$J$5,10,FALSE)),1,0)</f>
        <v>0</v>
      </c>
      <c r="W80" s="9">
        <f>IF($A80=VLOOKUP(YEAR($A80),'Festive dates'!$A$2:$J$5,7,FALSE),1,0)</f>
        <v>0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>
      <c r="A81" s="8">
        <v>45096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1</v>
      </c>
      <c r="Q81" s="9">
        <f>MAX(-20,MIN(10,$A81-VLOOKUP(YEAR($A81),'Festive dates'!$A$2:$J$5,8,FALSE)))</f>
        <v>-20</v>
      </c>
      <c r="R81" s="9">
        <f>IF(AND($A81&gt;VLOOKUP(YEAR($A81),'Festive dates'!$A$2:$J$5,2,FALSE),$A81&lt;VLOOKUP(YEAR($A81),'Festive dates'!$A$2:$J$5,3,FALSE)),1,0)</f>
        <v>0</v>
      </c>
      <c r="S81" s="9">
        <f>IF($A81=VLOOKUP(YEAR($A81),'Festive dates'!$A$2:$J$5,2,FALSE),1,0)</f>
        <v>0</v>
      </c>
      <c r="T81" s="9">
        <f>IF($A81=VLOOKUP(YEAR($A81),'Festive dates'!$A$2:$J$5,3,FALSE),1,0)</f>
        <v>0</v>
      </c>
      <c r="U81" s="9">
        <f>IF($A81=VLOOKUP(YEAR($A81),'Festive dates'!$A$2:$J$5,4,FALSE),1,0)</f>
        <v>0</v>
      </c>
      <c r="V81" s="9">
        <f>IF(AND($A81&gt;=VLOOKUP(YEAR($A81),'Festive dates'!$A$2:$J$5,9,FALSE),$A81&lt;=VLOOKUP(YEAR($A81),'Festive dates'!$A$2:$J$5,10,FALSE)),1,0)</f>
        <v>0</v>
      </c>
      <c r="W81" s="9">
        <f>IF($A81=VLOOKUP(YEAR($A81),'Festive dates'!$A$2:$J$5,7,FALSE),1,0)</f>
        <v>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>
      <c r="A82" s="8">
        <v>45097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0</v>
      </c>
      <c r="N82" s="9">
        <v>0</v>
      </c>
      <c r="O82" s="9">
        <v>0</v>
      </c>
      <c r="P82" s="9">
        <v>1</v>
      </c>
      <c r="Q82" s="9">
        <f>MAX(-20,MIN(10,$A82-VLOOKUP(YEAR($A82),'Festive dates'!$A$2:$J$5,8,FALSE)))</f>
        <v>-20</v>
      </c>
      <c r="R82" s="9">
        <f>IF(AND($A82&gt;VLOOKUP(YEAR($A82),'Festive dates'!$A$2:$J$5,2,FALSE),$A82&lt;VLOOKUP(YEAR($A82),'Festive dates'!$A$2:$J$5,3,FALSE)),1,0)</f>
        <v>0</v>
      </c>
      <c r="S82" s="9">
        <f>IF($A82=VLOOKUP(YEAR($A82),'Festive dates'!$A$2:$J$5,2,FALSE),1,0)</f>
        <v>0</v>
      </c>
      <c r="T82" s="9">
        <f>IF($A82=VLOOKUP(YEAR($A82),'Festive dates'!$A$2:$J$5,3,FALSE),1,0)</f>
        <v>0</v>
      </c>
      <c r="U82" s="9">
        <f>IF($A82=VLOOKUP(YEAR($A82),'Festive dates'!$A$2:$J$5,4,FALSE),1,0)</f>
        <v>0</v>
      </c>
      <c r="V82" s="9">
        <f>IF(AND($A82&gt;=VLOOKUP(YEAR($A82),'Festive dates'!$A$2:$J$5,9,FALSE),$A82&lt;=VLOOKUP(YEAR($A82),'Festive dates'!$A$2:$J$5,10,FALSE)),1,0)</f>
        <v>0</v>
      </c>
      <c r="W82" s="9">
        <f>IF($A82=VLOOKUP(YEAR($A82),'Festive dates'!$A$2:$J$5,7,FALSE),1,0)</f>
        <v>0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>
      <c r="A83" s="8">
        <v>45098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f>MAX(-20,MIN(10,$A83-VLOOKUP(YEAR($A83),'Festive dates'!$A$2:$J$5,8,FALSE)))</f>
        <v>-20</v>
      </c>
      <c r="R83" s="9">
        <f>IF(AND($A83&gt;VLOOKUP(YEAR($A83),'Festive dates'!$A$2:$J$5,2,FALSE),$A83&lt;VLOOKUP(YEAR($A83),'Festive dates'!$A$2:$J$5,3,FALSE)),1,0)</f>
        <v>0</v>
      </c>
      <c r="S83" s="9">
        <f>IF($A83=VLOOKUP(YEAR($A83),'Festive dates'!$A$2:$J$5,2,FALSE),1,0)</f>
        <v>0</v>
      </c>
      <c r="T83" s="9">
        <f>IF($A83=VLOOKUP(YEAR($A83),'Festive dates'!$A$2:$J$5,3,FALSE),1,0)</f>
        <v>0</v>
      </c>
      <c r="U83" s="9">
        <f>IF($A83=VLOOKUP(YEAR($A83),'Festive dates'!$A$2:$J$5,4,FALSE),1,0)</f>
        <v>0</v>
      </c>
      <c r="V83" s="9">
        <f>IF(AND($A83&gt;=VLOOKUP(YEAR($A83),'Festive dates'!$A$2:$J$5,9,FALSE),$A83&lt;=VLOOKUP(YEAR($A83),'Festive dates'!$A$2:$J$5,10,FALSE)),1,0)</f>
        <v>0</v>
      </c>
      <c r="W83" s="9">
        <f>IF($A83=VLOOKUP(YEAR($A83),'Festive dates'!$A$2:$J$5,7,FALSE),1,0)</f>
        <v>0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>
      <c r="A84" s="8">
        <v>45099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f>MAX(-20,MIN(10,$A84-VLOOKUP(YEAR($A84),'Festive dates'!$A$2:$J$5,8,FALSE)))</f>
        <v>-20</v>
      </c>
      <c r="R84" s="9">
        <f>IF(AND($A84&gt;VLOOKUP(YEAR($A84),'Festive dates'!$A$2:$J$5,2,FALSE),$A84&lt;VLOOKUP(YEAR($A84),'Festive dates'!$A$2:$J$5,3,FALSE)),1,0)</f>
        <v>0</v>
      </c>
      <c r="S84" s="9">
        <f>IF($A84=VLOOKUP(YEAR($A84),'Festive dates'!$A$2:$J$5,2,FALSE),1,0)</f>
        <v>0</v>
      </c>
      <c r="T84" s="9">
        <f>IF($A84=VLOOKUP(YEAR($A84),'Festive dates'!$A$2:$J$5,3,FALSE),1,0)</f>
        <v>0</v>
      </c>
      <c r="U84" s="9">
        <f>IF($A84=VLOOKUP(YEAR($A84),'Festive dates'!$A$2:$J$5,4,FALSE),1,0)</f>
        <v>0</v>
      </c>
      <c r="V84" s="9">
        <f>IF(AND($A84&gt;=VLOOKUP(YEAR($A84),'Festive dates'!$A$2:$J$5,9,FALSE),$A84&lt;=VLOOKUP(YEAR($A84),'Festive dates'!$A$2:$J$5,10,FALSE)),1,0)</f>
        <v>0</v>
      </c>
      <c r="W84" s="9">
        <f>IF($A84=VLOOKUP(YEAR($A84),'Festive dates'!$A$2:$J$5,7,FALSE),1,0)</f>
        <v>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>
      <c r="A85" s="8">
        <v>45100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f>MAX(-20,MIN(10,$A85-VLOOKUP(YEAR($A85),'Festive dates'!$A$2:$J$5,8,FALSE)))</f>
        <v>-20</v>
      </c>
      <c r="R85" s="9">
        <f>IF(AND($A85&gt;VLOOKUP(YEAR($A85),'Festive dates'!$A$2:$J$5,2,FALSE),$A85&lt;VLOOKUP(YEAR($A85),'Festive dates'!$A$2:$J$5,3,FALSE)),1,0)</f>
        <v>0</v>
      </c>
      <c r="S85" s="9">
        <f>IF($A85=VLOOKUP(YEAR($A85),'Festive dates'!$A$2:$J$5,2,FALSE),1,0)</f>
        <v>0</v>
      </c>
      <c r="T85" s="9">
        <f>IF($A85=VLOOKUP(YEAR($A85),'Festive dates'!$A$2:$J$5,3,FALSE),1,0)</f>
        <v>0</v>
      </c>
      <c r="U85" s="9">
        <f>IF($A85=VLOOKUP(YEAR($A85),'Festive dates'!$A$2:$J$5,4,FALSE),1,0)</f>
        <v>0</v>
      </c>
      <c r="V85" s="9">
        <f>IF(AND($A85&gt;=VLOOKUP(YEAR($A85),'Festive dates'!$A$2:$J$5,9,FALSE),$A85&lt;=VLOOKUP(YEAR($A85),'Festive dates'!$A$2:$J$5,10,FALSE)),1,0)</f>
        <v>0</v>
      </c>
      <c r="W85" s="9">
        <f>IF($A85=VLOOKUP(YEAR($A85),'Festive dates'!$A$2:$J$5,7,FALSE),1,0)</f>
        <v>0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>
      <c r="A86" s="8">
        <v>45101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f>MAX(-20,MIN(10,$A86-VLOOKUP(YEAR($A86),'Festive dates'!$A$2:$J$5,8,FALSE)))</f>
        <v>-20</v>
      </c>
      <c r="R86" s="9">
        <f>IF(AND($A86&gt;VLOOKUP(YEAR($A86),'Festive dates'!$A$2:$J$5,2,FALSE),$A86&lt;VLOOKUP(YEAR($A86),'Festive dates'!$A$2:$J$5,3,FALSE)),1,0)</f>
        <v>0</v>
      </c>
      <c r="S86" s="9">
        <f>IF($A86=VLOOKUP(YEAR($A86),'Festive dates'!$A$2:$J$5,2,FALSE),1,0)</f>
        <v>0</v>
      </c>
      <c r="T86" s="9">
        <f>IF($A86=VLOOKUP(YEAR($A86),'Festive dates'!$A$2:$J$5,3,FALSE),1,0)</f>
        <v>0</v>
      </c>
      <c r="U86" s="9">
        <f>IF($A86=VLOOKUP(YEAR($A86),'Festive dates'!$A$2:$J$5,4,FALSE),1,0)</f>
        <v>0</v>
      </c>
      <c r="V86" s="9">
        <f>IF(AND($A86&gt;=VLOOKUP(YEAR($A86),'Festive dates'!$A$2:$J$5,9,FALSE),$A86&lt;=VLOOKUP(YEAR($A86),'Festive dates'!$A$2:$J$5,10,FALSE)),1,0)</f>
        <v>0</v>
      </c>
      <c r="W86" s="9">
        <f>IF($A86=VLOOKUP(YEAR($A86),'Festive dates'!$A$2:$J$5,7,FALSE),1,0)</f>
        <v>0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>
      <c r="A87" s="8">
        <v>45102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f>MAX(-20,MIN(10,$A87-VLOOKUP(YEAR($A87),'Festive dates'!$A$2:$J$5,8,FALSE)))</f>
        <v>-20</v>
      </c>
      <c r="R87" s="9">
        <f>IF(AND($A87&gt;VLOOKUP(YEAR($A87),'Festive dates'!$A$2:$J$5,2,FALSE),$A87&lt;VLOOKUP(YEAR($A87),'Festive dates'!$A$2:$J$5,3,FALSE)),1,0)</f>
        <v>0</v>
      </c>
      <c r="S87" s="9">
        <f>IF($A87=VLOOKUP(YEAR($A87),'Festive dates'!$A$2:$J$5,2,FALSE),1,0)</f>
        <v>0</v>
      </c>
      <c r="T87" s="9">
        <f>IF($A87=VLOOKUP(YEAR($A87),'Festive dates'!$A$2:$J$5,3,FALSE),1,0)</f>
        <v>0</v>
      </c>
      <c r="U87" s="9">
        <f>IF($A87=VLOOKUP(YEAR($A87),'Festive dates'!$A$2:$J$5,4,FALSE),1,0)</f>
        <v>0</v>
      </c>
      <c r="V87" s="9">
        <f>IF(AND($A87&gt;=VLOOKUP(YEAR($A87),'Festive dates'!$A$2:$J$5,9,FALSE),$A87&lt;=VLOOKUP(YEAR($A87),'Festive dates'!$A$2:$J$5,10,FALSE)),1,0)</f>
        <v>0</v>
      </c>
      <c r="W87" s="9">
        <f>IF($A87=VLOOKUP(YEAR($A87),'Festive dates'!$A$2:$J$5,7,FALSE),1,0)</f>
        <v>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>
      <c r="A88" s="8">
        <v>45103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f>MAX(-20,MIN(10,$A88-VLOOKUP(YEAR($A88),'Festive dates'!$A$2:$J$5,8,FALSE)))</f>
        <v>-20</v>
      </c>
      <c r="R88" s="9">
        <f>IF(AND($A88&gt;VLOOKUP(YEAR($A88),'Festive dates'!$A$2:$J$5,2,FALSE),$A88&lt;VLOOKUP(YEAR($A88),'Festive dates'!$A$2:$J$5,3,FALSE)),1,0)</f>
        <v>0</v>
      </c>
      <c r="S88" s="9">
        <f>IF($A88=VLOOKUP(YEAR($A88),'Festive dates'!$A$2:$J$5,2,FALSE),1,0)</f>
        <v>0</v>
      </c>
      <c r="T88" s="9">
        <f>IF($A88=VLOOKUP(YEAR($A88),'Festive dates'!$A$2:$J$5,3,FALSE),1,0)</f>
        <v>0</v>
      </c>
      <c r="U88" s="9">
        <f>IF($A88=VLOOKUP(YEAR($A88),'Festive dates'!$A$2:$J$5,4,FALSE),1,0)</f>
        <v>0</v>
      </c>
      <c r="V88" s="9">
        <f>IF(AND($A88&gt;=VLOOKUP(YEAR($A88),'Festive dates'!$A$2:$J$5,9,FALSE),$A88&lt;=VLOOKUP(YEAR($A88),'Festive dates'!$A$2:$J$5,10,FALSE)),1,0)</f>
        <v>0</v>
      </c>
      <c r="W88" s="9">
        <f>IF($A88=VLOOKUP(YEAR($A88),'Festive dates'!$A$2:$J$5,7,FALSE),1,0)</f>
        <v>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>
      <c r="A89" s="8">
        <v>45104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f>MAX(-20,MIN(10,$A89-VLOOKUP(YEAR($A89),'Festive dates'!$A$2:$J$5,8,FALSE)))</f>
        <v>-20</v>
      </c>
      <c r="R89" s="9">
        <f>IF(AND($A89&gt;VLOOKUP(YEAR($A89),'Festive dates'!$A$2:$J$5,2,FALSE),$A89&lt;VLOOKUP(YEAR($A89),'Festive dates'!$A$2:$J$5,3,FALSE)),1,0)</f>
        <v>0</v>
      </c>
      <c r="S89" s="9">
        <f>IF($A89=VLOOKUP(YEAR($A89),'Festive dates'!$A$2:$J$5,2,FALSE),1,0)</f>
        <v>0</v>
      </c>
      <c r="T89" s="9">
        <f>IF($A89=VLOOKUP(YEAR($A89),'Festive dates'!$A$2:$J$5,3,FALSE),1,0)</f>
        <v>0</v>
      </c>
      <c r="U89" s="9">
        <f>IF($A89=VLOOKUP(YEAR($A89),'Festive dates'!$A$2:$J$5,4,FALSE),1,0)</f>
        <v>0</v>
      </c>
      <c r="V89" s="9">
        <f>IF(AND($A89&gt;=VLOOKUP(YEAR($A89),'Festive dates'!$A$2:$J$5,9,FALSE),$A89&lt;=VLOOKUP(YEAR($A89),'Festive dates'!$A$2:$J$5,10,FALSE)),1,0)</f>
        <v>0</v>
      </c>
      <c r="W89" s="9">
        <f>IF($A89=VLOOKUP(YEAR($A89),'Festive dates'!$A$2:$J$5,7,FALSE),1,0)</f>
        <v>0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>
      <c r="A90" s="8">
        <v>45105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f>MAX(-20,MIN(10,$A90-VLOOKUP(YEAR($A90),'Festive dates'!$A$2:$J$5,8,FALSE)))</f>
        <v>-20</v>
      </c>
      <c r="R90" s="9">
        <f>IF(AND($A90&gt;VLOOKUP(YEAR($A90),'Festive dates'!$A$2:$J$5,2,FALSE),$A90&lt;VLOOKUP(YEAR($A90),'Festive dates'!$A$2:$J$5,3,FALSE)),1,0)</f>
        <v>0</v>
      </c>
      <c r="S90" s="9">
        <f>IF($A90=VLOOKUP(YEAR($A90),'Festive dates'!$A$2:$J$5,2,FALSE),1,0)</f>
        <v>0</v>
      </c>
      <c r="T90" s="9">
        <f>IF($A90=VLOOKUP(YEAR($A90),'Festive dates'!$A$2:$J$5,3,FALSE),1,0)</f>
        <v>0</v>
      </c>
      <c r="U90" s="9">
        <f>IF($A90=VLOOKUP(YEAR($A90),'Festive dates'!$A$2:$J$5,4,FALSE),1,0)</f>
        <v>0</v>
      </c>
      <c r="V90" s="9">
        <f>IF(AND($A90&gt;=VLOOKUP(YEAR($A90),'Festive dates'!$A$2:$J$5,9,FALSE),$A90&lt;=VLOOKUP(YEAR($A90),'Festive dates'!$A$2:$J$5,10,FALSE)),1,0)</f>
        <v>0</v>
      </c>
      <c r="W90" s="9">
        <f>IF($A90=VLOOKUP(YEAR($A90),'Festive dates'!$A$2:$J$5,7,FALSE),1,0)</f>
        <v>0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>
      <c r="A91" s="8">
        <v>45106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f>MAX(-20,MIN(10,$A91-VLOOKUP(YEAR($A91),'Festive dates'!$A$2:$J$5,8,FALSE)))</f>
        <v>-20</v>
      </c>
      <c r="R91" s="9">
        <f>IF(AND($A91&gt;VLOOKUP(YEAR($A91),'Festive dates'!$A$2:$J$5,2,FALSE),$A91&lt;VLOOKUP(YEAR($A91),'Festive dates'!$A$2:$J$5,3,FALSE)),1,0)</f>
        <v>0</v>
      </c>
      <c r="S91" s="9">
        <f>IF($A91=VLOOKUP(YEAR($A91),'Festive dates'!$A$2:$J$5,2,FALSE),1,0)</f>
        <v>0</v>
      </c>
      <c r="T91" s="9">
        <f>IF($A91=VLOOKUP(YEAR($A91),'Festive dates'!$A$2:$J$5,3,FALSE),1,0)</f>
        <v>0</v>
      </c>
      <c r="U91" s="9">
        <f>IF($A91=VLOOKUP(YEAR($A91),'Festive dates'!$A$2:$J$5,4,FALSE),1,0)</f>
        <v>0</v>
      </c>
      <c r="V91" s="9">
        <f>IF(AND($A91&gt;=VLOOKUP(YEAR($A91),'Festive dates'!$A$2:$J$5,9,FALSE),$A91&lt;=VLOOKUP(YEAR($A91),'Festive dates'!$A$2:$J$5,10,FALSE)),1,0)</f>
        <v>0</v>
      </c>
      <c r="W91" s="9">
        <f>IF($A91=VLOOKUP(YEAR($A91),'Festive dates'!$A$2:$J$5,7,FALSE),1,0)</f>
        <v>0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>
      <c r="A92" s="8">
        <v>45107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f>MAX(-20,MIN(10,$A92-VLOOKUP(YEAR($A92),'Festive dates'!$A$2:$J$5,8,FALSE)))</f>
        <v>-20</v>
      </c>
      <c r="R92" s="9">
        <f>IF(AND($A92&gt;VLOOKUP(YEAR($A92),'Festive dates'!$A$2:$J$5,2,FALSE),$A92&lt;VLOOKUP(YEAR($A92),'Festive dates'!$A$2:$J$5,3,FALSE)),1,0)</f>
        <v>0</v>
      </c>
      <c r="S92" s="9">
        <f>IF($A92=VLOOKUP(YEAR($A92),'Festive dates'!$A$2:$J$5,2,FALSE),1,0)</f>
        <v>0</v>
      </c>
      <c r="T92" s="9">
        <f>IF($A92=VLOOKUP(YEAR($A92),'Festive dates'!$A$2:$J$5,3,FALSE),1,0)</f>
        <v>0</v>
      </c>
      <c r="U92" s="9">
        <f>IF($A92=VLOOKUP(YEAR($A92),'Festive dates'!$A$2:$J$5,4,FALSE),1,0)</f>
        <v>0</v>
      </c>
      <c r="V92" s="9">
        <f>IF(AND($A92&gt;=VLOOKUP(YEAR($A92),'Festive dates'!$A$2:$J$5,9,FALSE),$A92&lt;=VLOOKUP(YEAR($A92),'Festive dates'!$A$2:$J$5,10,FALSE)),1,0)</f>
        <v>0</v>
      </c>
      <c r="W92" s="9">
        <f>IF($A92=VLOOKUP(YEAR($A92),'Festive dates'!$A$2:$J$5,7,FALSE),1,0)</f>
        <v>0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>
      <c r="A93" s="8">
        <v>45108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f>MAX(-20,MIN(10,$A93-VLOOKUP(YEAR($A93),'Festive dates'!$A$2:$J$5,8,FALSE)))</f>
        <v>-20</v>
      </c>
      <c r="R93" s="9">
        <f>IF(AND($A93&gt;VLOOKUP(YEAR($A93),'Festive dates'!$A$2:$J$5,2,FALSE),$A93&lt;VLOOKUP(YEAR($A93),'Festive dates'!$A$2:$J$5,3,FALSE)),1,0)</f>
        <v>0</v>
      </c>
      <c r="S93" s="9">
        <f>IF($A93=VLOOKUP(YEAR($A93),'Festive dates'!$A$2:$J$5,2,FALSE),1,0)</f>
        <v>0</v>
      </c>
      <c r="T93" s="9">
        <f>IF($A93=VLOOKUP(YEAR($A93),'Festive dates'!$A$2:$J$5,3,FALSE),1,0)</f>
        <v>0</v>
      </c>
      <c r="U93" s="9">
        <f>IF($A93=VLOOKUP(YEAR($A93),'Festive dates'!$A$2:$J$5,4,FALSE),1,0)</f>
        <v>0</v>
      </c>
      <c r="V93" s="9">
        <f>IF(AND($A93&gt;=VLOOKUP(YEAR($A93),'Festive dates'!$A$2:$J$5,9,FALSE),$A93&lt;=VLOOKUP(YEAR($A93),'Festive dates'!$A$2:$J$5,10,FALSE)),1,0)</f>
        <v>0</v>
      </c>
      <c r="W93" s="9">
        <f>IF($A93=VLOOKUP(YEAR($A93),'Festive dates'!$A$2:$J$5,7,FALSE),1,0)</f>
        <v>0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>
      <c r="A94" s="8">
        <v>45109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f>MAX(-20,MIN(10,$A94-VLOOKUP(YEAR($A94),'Festive dates'!$A$2:$J$5,8,FALSE)))</f>
        <v>-20</v>
      </c>
      <c r="R94" s="9">
        <f>IF(AND($A94&gt;VLOOKUP(YEAR($A94),'Festive dates'!$A$2:$J$5,2,FALSE),$A94&lt;VLOOKUP(YEAR($A94),'Festive dates'!$A$2:$J$5,3,FALSE)),1,0)</f>
        <v>0</v>
      </c>
      <c r="S94" s="9">
        <f>IF($A94=VLOOKUP(YEAR($A94),'Festive dates'!$A$2:$J$5,2,FALSE),1,0)</f>
        <v>0</v>
      </c>
      <c r="T94" s="9">
        <f>IF($A94=VLOOKUP(YEAR($A94),'Festive dates'!$A$2:$J$5,3,FALSE),1,0)</f>
        <v>0</v>
      </c>
      <c r="U94" s="9">
        <f>IF($A94=VLOOKUP(YEAR($A94),'Festive dates'!$A$2:$J$5,4,FALSE),1,0)</f>
        <v>0</v>
      </c>
      <c r="V94" s="9">
        <f>IF(AND($A94&gt;=VLOOKUP(YEAR($A94),'Festive dates'!$A$2:$J$5,9,FALSE),$A94&lt;=VLOOKUP(YEAR($A94),'Festive dates'!$A$2:$J$5,10,FALSE)),1,0)</f>
        <v>0</v>
      </c>
      <c r="W94" s="9">
        <f>IF($A94=VLOOKUP(YEAR($A94),'Festive dates'!$A$2:$J$5,7,FALSE),1,0)</f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>
      <c r="A95" s="8">
        <v>45110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1</v>
      </c>
      <c r="N95" s="9">
        <v>0</v>
      </c>
      <c r="O95" s="9">
        <v>0</v>
      </c>
      <c r="P95" s="9">
        <v>0</v>
      </c>
      <c r="Q95" s="9">
        <f>MAX(-20,MIN(10,$A95-VLOOKUP(YEAR($A95),'Festive dates'!$A$2:$J$5,8,FALSE)))</f>
        <v>-20</v>
      </c>
      <c r="R95" s="9">
        <f>IF(AND($A95&gt;VLOOKUP(YEAR($A95),'Festive dates'!$A$2:$J$5,2,FALSE),$A95&lt;VLOOKUP(YEAR($A95),'Festive dates'!$A$2:$J$5,3,FALSE)),1,0)</f>
        <v>0</v>
      </c>
      <c r="S95" s="9">
        <f>IF($A95=VLOOKUP(YEAR($A95),'Festive dates'!$A$2:$J$5,2,FALSE),1,0)</f>
        <v>0</v>
      </c>
      <c r="T95" s="9">
        <f>IF($A95=VLOOKUP(YEAR($A95),'Festive dates'!$A$2:$J$5,3,FALSE),1,0)</f>
        <v>0</v>
      </c>
      <c r="U95" s="9">
        <f>IF($A95=VLOOKUP(YEAR($A95),'Festive dates'!$A$2:$J$5,4,FALSE),1,0)</f>
        <v>0</v>
      </c>
      <c r="V95" s="9">
        <f>IF(AND($A95&gt;=VLOOKUP(YEAR($A95),'Festive dates'!$A$2:$J$5,9,FALSE),$A95&lt;=VLOOKUP(YEAR($A95),'Festive dates'!$A$2:$J$5,10,FALSE)),1,0)</f>
        <v>0</v>
      </c>
      <c r="W95" s="9">
        <f>IF($A95=VLOOKUP(YEAR($A95),'Festive dates'!$A$2:$J$5,7,FALSE),1,0)</f>
        <v>0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>
      <c r="A96" s="8">
        <v>45111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f>MAX(-20,MIN(10,$A96-VLOOKUP(YEAR($A96),'Festive dates'!$A$2:$J$5,8,FALSE)))</f>
        <v>-20</v>
      </c>
      <c r="R96" s="9">
        <f>IF(AND($A96&gt;VLOOKUP(YEAR($A96),'Festive dates'!$A$2:$J$5,2,FALSE),$A96&lt;VLOOKUP(YEAR($A96),'Festive dates'!$A$2:$J$5,3,FALSE)),1,0)</f>
        <v>0</v>
      </c>
      <c r="S96" s="9">
        <f>IF($A96=VLOOKUP(YEAR($A96),'Festive dates'!$A$2:$J$5,2,FALSE),1,0)</f>
        <v>0</v>
      </c>
      <c r="T96" s="9">
        <f>IF($A96=VLOOKUP(YEAR($A96),'Festive dates'!$A$2:$J$5,3,FALSE),1,0)</f>
        <v>0</v>
      </c>
      <c r="U96" s="9">
        <f>IF($A96=VLOOKUP(YEAR($A96),'Festive dates'!$A$2:$J$5,4,FALSE),1,0)</f>
        <v>0</v>
      </c>
      <c r="V96" s="9">
        <f>IF(AND($A96&gt;=VLOOKUP(YEAR($A96),'Festive dates'!$A$2:$J$5,9,FALSE),$A96&lt;=VLOOKUP(YEAR($A96),'Festive dates'!$A$2:$J$5,10,FALSE)),1,0)</f>
        <v>0</v>
      </c>
      <c r="W96" s="9">
        <f>IF($A96=VLOOKUP(YEAR($A96),'Festive dates'!$A$2:$J$5,7,FALSE),1,0)</f>
        <v>0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>
      <c r="A97" s="8">
        <v>45112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f>MAX(-20,MIN(10,$A97-VLOOKUP(YEAR($A97),'Festive dates'!$A$2:$J$5,8,FALSE)))</f>
        <v>-20</v>
      </c>
      <c r="R97" s="9">
        <f>IF(AND($A97&gt;VLOOKUP(YEAR($A97),'Festive dates'!$A$2:$J$5,2,FALSE),$A97&lt;VLOOKUP(YEAR($A97),'Festive dates'!$A$2:$J$5,3,FALSE)),1,0)</f>
        <v>0</v>
      </c>
      <c r="S97" s="9">
        <f>IF($A97=VLOOKUP(YEAR($A97),'Festive dates'!$A$2:$J$5,2,FALSE),1,0)</f>
        <v>0</v>
      </c>
      <c r="T97" s="9">
        <f>IF($A97=VLOOKUP(YEAR($A97),'Festive dates'!$A$2:$J$5,3,FALSE),1,0)</f>
        <v>0</v>
      </c>
      <c r="U97" s="9">
        <f>IF($A97=VLOOKUP(YEAR($A97),'Festive dates'!$A$2:$J$5,4,FALSE),1,0)</f>
        <v>0</v>
      </c>
      <c r="V97" s="9">
        <f>IF(AND($A97&gt;=VLOOKUP(YEAR($A97),'Festive dates'!$A$2:$J$5,9,FALSE),$A97&lt;=VLOOKUP(YEAR($A97),'Festive dates'!$A$2:$J$5,10,FALSE)),1,0)</f>
        <v>0</v>
      </c>
      <c r="W97" s="9">
        <f>IF($A97=VLOOKUP(YEAR($A97),'Festive dates'!$A$2:$J$5,7,FALSE),1,0)</f>
        <v>0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>
      <c r="A98" s="8">
        <v>45113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f>MAX(-20,MIN(10,$A98-VLOOKUP(YEAR($A98),'Festive dates'!$A$2:$J$5,8,FALSE)))</f>
        <v>-20</v>
      </c>
      <c r="R98" s="9">
        <f>IF(AND($A98&gt;VLOOKUP(YEAR($A98),'Festive dates'!$A$2:$J$5,2,FALSE),$A98&lt;VLOOKUP(YEAR($A98),'Festive dates'!$A$2:$J$5,3,FALSE)),1,0)</f>
        <v>0</v>
      </c>
      <c r="S98" s="9">
        <f>IF($A98=VLOOKUP(YEAR($A98),'Festive dates'!$A$2:$J$5,2,FALSE),1,0)</f>
        <v>0</v>
      </c>
      <c r="T98" s="9">
        <f>IF($A98=VLOOKUP(YEAR($A98),'Festive dates'!$A$2:$J$5,3,FALSE),1,0)</f>
        <v>0</v>
      </c>
      <c r="U98" s="9">
        <f>IF($A98=VLOOKUP(YEAR($A98),'Festive dates'!$A$2:$J$5,4,FALSE),1,0)</f>
        <v>0</v>
      </c>
      <c r="V98" s="9">
        <f>IF(AND($A98&gt;=VLOOKUP(YEAR($A98),'Festive dates'!$A$2:$J$5,9,FALSE),$A98&lt;=VLOOKUP(YEAR($A98),'Festive dates'!$A$2:$J$5,10,FALSE)),1,0)</f>
        <v>0</v>
      </c>
      <c r="W98" s="9">
        <f>IF($A98=VLOOKUP(YEAR($A98),'Festive dates'!$A$2:$J$5,7,FALSE),1,0)</f>
        <v>0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>
      <c r="A99" s="8">
        <v>45114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f>MAX(-20,MIN(10,$A99-VLOOKUP(YEAR($A99),'Festive dates'!$A$2:$J$5,8,FALSE)))</f>
        <v>-20</v>
      </c>
      <c r="R99" s="9">
        <f>IF(AND($A99&gt;VLOOKUP(YEAR($A99),'Festive dates'!$A$2:$J$5,2,FALSE),$A99&lt;VLOOKUP(YEAR($A99),'Festive dates'!$A$2:$J$5,3,FALSE)),1,0)</f>
        <v>0</v>
      </c>
      <c r="S99" s="9">
        <f>IF($A99=VLOOKUP(YEAR($A99),'Festive dates'!$A$2:$J$5,2,FALSE),1,0)</f>
        <v>0</v>
      </c>
      <c r="T99" s="9">
        <f>IF($A99=VLOOKUP(YEAR($A99),'Festive dates'!$A$2:$J$5,3,FALSE),1,0)</f>
        <v>0</v>
      </c>
      <c r="U99" s="9">
        <f>IF($A99=VLOOKUP(YEAR($A99),'Festive dates'!$A$2:$J$5,4,FALSE),1,0)</f>
        <v>0</v>
      </c>
      <c r="V99" s="9">
        <f>IF(AND($A99&gt;=VLOOKUP(YEAR($A99),'Festive dates'!$A$2:$J$5,9,FALSE),$A99&lt;=VLOOKUP(YEAR($A99),'Festive dates'!$A$2:$J$5,10,FALSE)),1,0)</f>
        <v>0</v>
      </c>
      <c r="W99" s="9">
        <f>IF($A99=VLOOKUP(YEAR($A99),'Festive dates'!$A$2:$J$5,7,FALSE),1,0)</f>
        <v>0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>
      <c r="A100" s="8">
        <v>45115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f>MAX(-20,MIN(10,$A100-VLOOKUP(YEAR($A100),'Festive dates'!$A$2:$J$5,8,FALSE)))</f>
        <v>-20</v>
      </c>
      <c r="R100" s="9">
        <f>IF(AND($A100&gt;VLOOKUP(YEAR($A100),'Festive dates'!$A$2:$J$5,2,FALSE),$A100&lt;VLOOKUP(YEAR($A100),'Festive dates'!$A$2:$J$5,3,FALSE)),1,0)</f>
        <v>0</v>
      </c>
      <c r="S100" s="9">
        <f>IF($A100=VLOOKUP(YEAR($A100),'Festive dates'!$A$2:$J$5,2,FALSE),1,0)</f>
        <v>0</v>
      </c>
      <c r="T100" s="9">
        <f>IF($A100=VLOOKUP(YEAR($A100),'Festive dates'!$A$2:$J$5,3,FALSE),1,0)</f>
        <v>0</v>
      </c>
      <c r="U100" s="9">
        <f>IF($A100=VLOOKUP(YEAR($A100),'Festive dates'!$A$2:$J$5,4,FALSE),1,0)</f>
        <v>0</v>
      </c>
      <c r="V100" s="9">
        <f>IF(AND($A100&gt;=VLOOKUP(YEAR($A100),'Festive dates'!$A$2:$J$5,9,FALSE),$A100&lt;=VLOOKUP(YEAR($A100),'Festive dates'!$A$2:$J$5,10,FALSE)),1,0)</f>
        <v>0</v>
      </c>
      <c r="W100" s="9">
        <f>IF($A100=VLOOKUP(YEAR($A100),'Festive dates'!$A$2:$J$5,7,FALSE),1,0)</f>
        <v>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>
      <c r="A101" s="8">
        <v>45116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f>MAX(-20,MIN(10,$A101-VLOOKUP(YEAR($A101),'Festive dates'!$A$2:$J$5,8,FALSE)))</f>
        <v>-20</v>
      </c>
      <c r="R101" s="9">
        <f>IF(AND($A101&gt;VLOOKUP(YEAR($A101),'Festive dates'!$A$2:$J$5,2,FALSE),$A101&lt;VLOOKUP(YEAR($A101),'Festive dates'!$A$2:$J$5,3,FALSE)),1,0)</f>
        <v>0</v>
      </c>
      <c r="S101" s="9">
        <f>IF($A101=VLOOKUP(YEAR($A101),'Festive dates'!$A$2:$J$5,2,FALSE),1,0)</f>
        <v>0</v>
      </c>
      <c r="T101" s="9">
        <f>IF($A101=VLOOKUP(YEAR($A101),'Festive dates'!$A$2:$J$5,3,FALSE),1,0)</f>
        <v>0</v>
      </c>
      <c r="U101" s="9">
        <f>IF($A101=VLOOKUP(YEAR($A101),'Festive dates'!$A$2:$J$5,4,FALSE),1,0)</f>
        <v>0</v>
      </c>
      <c r="V101" s="9">
        <f>IF(AND($A101&gt;=VLOOKUP(YEAR($A101),'Festive dates'!$A$2:$J$5,9,FALSE),$A101&lt;=VLOOKUP(YEAR($A101),'Festive dates'!$A$2:$J$5,10,FALSE)),1,0)</f>
        <v>0</v>
      </c>
      <c r="W101" s="9">
        <f>IF($A101=VLOOKUP(YEAR($A101),'Festive dates'!$A$2:$J$5,7,FALSE),1,0)</f>
        <v>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>
      <c r="A102" s="8">
        <v>45117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f>MAX(-20,MIN(10,$A102-VLOOKUP(YEAR($A102),'Festive dates'!$A$2:$J$5,8,FALSE)))</f>
        <v>-20</v>
      </c>
      <c r="R102" s="9">
        <f>IF(AND($A102&gt;VLOOKUP(YEAR($A102),'Festive dates'!$A$2:$J$5,2,FALSE),$A102&lt;VLOOKUP(YEAR($A102),'Festive dates'!$A$2:$J$5,3,FALSE)),1,0)</f>
        <v>0</v>
      </c>
      <c r="S102" s="9">
        <f>IF($A102=VLOOKUP(YEAR($A102),'Festive dates'!$A$2:$J$5,2,FALSE),1,0)</f>
        <v>0</v>
      </c>
      <c r="T102" s="9">
        <f>IF($A102=VLOOKUP(YEAR($A102),'Festive dates'!$A$2:$J$5,3,FALSE),1,0)</f>
        <v>0</v>
      </c>
      <c r="U102" s="9">
        <f>IF($A102=VLOOKUP(YEAR($A102),'Festive dates'!$A$2:$J$5,4,FALSE),1,0)</f>
        <v>0</v>
      </c>
      <c r="V102" s="9">
        <f>IF(AND($A102&gt;=VLOOKUP(YEAR($A102),'Festive dates'!$A$2:$J$5,9,FALSE),$A102&lt;=VLOOKUP(YEAR($A102),'Festive dates'!$A$2:$J$5,10,FALSE)),1,0)</f>
        <v>0</v>
      </c>
      <c r="W102" s="9">
        <f>IF($A102=VLOOKUP(YEAR($A102),'Festive dates'!$A$2:$J$5,7,FALSE),1,0)</f>
        <v>0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>
      <c r="A103" s="8">
        <v>45118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f>MAX(-20,MIN(10,$A103-VLOOKUP(YEAR($A103),'Festive dates'!$A$2:$J$5,8,FALSE)))</f>
        <v>-20</v>
      </c>
      <c r="R103" s="9">
        <f>IF(AND($A103&gt;VLOOKUP(YEAR($A103),'Festive dates'!$A$2:$J$5,2,FALSE),$A103&lt;VLOOKUP(YEAR($A103),'Festive dates'!$A$2:$J$5,3,FALSE)),1,0)</f>
        <v>0</v>
      </c>
      <c r="S103" s="9">
        <f>IF($A103=VLOOKUP(YEAR($A103),'Festive dates'!$A$2:$J$5,2,FALSE),1,0)</f>
        <v>0</v>
      </c>
      <c r="T103" s="9">
        <f>IF($A103=VLOOKUP(YEAR($A103),'Festive dates'!$A$2:$J$5,3,FALSE),1,0)</f>
        <v>0</v>
      </c>
      <c r="U103" s="9">
        <f>IF($A103=VLOOKUP(YEAR($A103),'Festive dates'!$A$2:$J$5,4,FALSE),1,0)</f>
        <v>0</v>
      </c>
      <c r="V103" s="9">
        <f>IF(AND($A103&gt;=VLOOKUP(YEAR($A103),'Festive dates'!$A$2:$J$5,9,FALSE),$A103&lt;=VLOOKUP(YEAR($A103),'Festive dates'!$A$2:$J$5,10,FALSE)),1,0)</f>
        <v>0</v>
      </c>
      <c r="W103" s="9">
        <f>IF($A103=VLOOKUP(YEAR($A103),'Festive dates'!$A$2:$J$5,7,FALSE),1,0)</f>
        <v>0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>
      <c r="A104" s="8">
        <v>45119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f>MAX(-20,MIN(10,$A104-VLOOKUP(YEAR($A104),'Festive dates'!$A$2:$J$5,8,FALSE)))</f>
        <v>-20</v>
      </c>
      <c r="R104" s="9">
        <f>IF(AND($A104&gt;VLOOKUP(YEAR($A104),'Festive dates'!$A$2:$J$5,2,FALSE),$A104&lt;VLOOKUP(YEAR($A104),'Festive dates'!$A$2:$J$5,3,FALSE)),1,0)</f>
        <v>0</v>
      </c>
      <c r="S104" s="9">
        <f>IF($A104=VLOOKUP(YEAR($A104),'Festive dates'!$A$2:$J$5,2,FALSE),1,0)</f>
        <v>0</v>
      </c>
      <c r="T104" s="9">
        <f>IF($A104=VLOOKUP(YEAR($A104),'Festive dates'!$A$2:$J$5,3,FALSE),1,0)</f>
        <v>0</v>
      </c>
      <c r="U104" s="9">
        <f>IF($A104=VLOOKUP(YEAR($A104),'Festive dates'!$A$2:$J$5,4,FALSE),1,0)</f>
        <v>0</v>
      </c>
      <c r="V104" s="9">
        <f>IF(AND($A104&gt;=VLOOKUP(YEAR($A104),'Festive dates'!$A$2:$J$5,9,FALSE),$A104&lt;=VLOOKUP(YEAR($A104),'Festive dates'!$A$2:$J$5,10,FALSE)),1,0)</f>
        <v>0</v>
      </c>
      <c r="W104" s="9">
        <f>IF($A104=VLOOKUP(YEAR($A104),'Festive dates'!$A$2:$J$5,7,FALSE),1,0)</f>
        <v>0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>
      <c r="A105" s="8">
        <v>45120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f>MAX(-20,MIN(10,$A105-VLOOKUP(YEAR($A105),'Festive dates'!$A$2:$J$5,8,FALSE)))</f>
        <v>-20</v>
      </c>
      <c r="R105" s="9">
        <f>IF(AND($A105&gt;VLOOKUP(YEAR($A105),'Festive dates'!$A$2:$J$5,2,FALSE),$A105&lt;VLOOKUP(YEAR($A105),'Festive dates'!$A$2:$J$5,3,FALSE)),1,0)</f>
        <v>0</v>
      </c>
      <c r="S105" s="9">
        <f>IF($A105=VLOOKUP(YEAR($A105),'Festive dates'!$A$2:$J$5,2,FALSE),1,0)</f>
        <v>0</v>
      </c>
      <c r="T105" s="9">
        <f>IF($A105=VLOOKUP(YEAR($A105),'Festive dates'!$A$2:$J$5,3,FALSE),1,0)</f>
        <v>0</v>
      </c>
      <c r="U105" s="9">
        <f>IF($A105=VLOOKUP(YEAR($A105),'Festive dates'!$A$2:$J$5,4,FALSE),1,0)</f>
        <v>0</v>
      </c>
      <c r="V105" s="9">
        <f>IF(AND($A105&gt;=VLOOKUP(YEAR($A105),'Festive dates'!$A$2:$J$5,9,FALSE),$A105&lt;=VLOOKUP(YEAR($A105),'Festive dates'!$A$2:$J$5,10,FALSE)),1,0)</f>
        <v>0</v>
      </c>
      <c r="W105" s="9">
        <f>IF($A105=VLOOKUP(YEAR($A105),'Festive dates'!$A$2:$J$5,7,FALSE),1,0)</f>
        <v>0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>
      <c r="A106" s="8">
        <v>45121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f>MAX(-20,MIN(10,$A106-VLOOKUP(YEAR($A106),'Festive dates'!$A$2:$J$5,8,FALSE)))</f>
        <v>-20</v>
      </c>
      <c r="R106" s="9">
        <f>IF(AND($A106&gt;VLOOKUP(YEAR($A106),'Festive dates'!$A$2:$J$5,2,FALSE),$A106&lt;VLOOKUP(YEAR($A106),'Festive dates'!$A$2:$J$5,3,FALSE)),1,0)</f>
        <v>0</v>
      </c>
      <c r="S106" s="9">
        <f>IF($A106=VLOOKUP(YEAR($A106),'Festive dates'!$A$2:$J$5,2,FALSE),1,0)</f>
        <v>0</v>
      </c>
      <c r="T106" s="9">
        <f>IF($A106=VLOOKUP(YEAR($A106),'Festive dates'!$A$2:$J$5,3,FALSE),1,0)</f>
        <v>0</v>
      </c>
      <c r="U106" s="9">
        <f>IF($A106=VLOOKUP(YEAR($A106),'Festive dates'!$A$2:$J$5,4,FALSE),1,0)</f>
        <v>0</v>
      </c>
      <c r="V106" s="9">
        <f>IF(AND($A106&gt;=VLOOKUP(YEAR($A106),'Festive dates'!$A$2:$J$5,9,FALSE),$A106&lt;=VLOOKUP(YEAR($A106),'Festive dates'!$A$2:$J$5,10,FALSE)),1,0)</f>
        <v>0</v>
      </c>
      <c r="W106" s="9">
        <f>IF($A106=VLOOKUP(YEAR($A106),'Festive dates'!$A$2:$J$5,7,FALSE),1,0)</f>
        <v>0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>
      <c r="A107" s="8">
        <v>45122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f>MAX(-20,MIN(10,$A107-VLOOKUP(YEAR($A107),'Festive dates'!$A$2:$J$5,8,FALSE)))</f>
        <v>-20</v>
      </c>
      <c r="R107" s="9">
        <f>IF(AND($A107&gt;VLOOKUP(YEAR($A107),'Festive dates'!$A$2:$J$5,2,FALSE),$A107&lt;VLOOKUP(YEAR($A107),'Festive dates'!$A$2:$J$5,3,FALSE)),1,0)</f>
        <v>0</v>
      </c>
      <c r="S107" s="9">
        <f>IF($A107=VLOOKUP(YEAR($A107),'Festive dates'!$A$2:$J$5,2,FALSE),1,0)</f>
        <v>0</v>
      </c>
      <c r="T107" s="9">
        <f>IF($A107=VLOOKUP(YEAR($A107),'Festive dates'!$A$2:$J$5,3,FALSE),1,0)</f>
        <v>0</v>
      </c>
      <c r="U107" s="9">
        <f>IF($A107=VLOOKUP(YEAR($A107),'Festive dates'!$A$2:$J$5,4,FALSE),1,0)</f>
        <v>0</v>
      </c>
      <c r="V107" s="9">
        <f>IF(AND($A107&gt;=VLOOKUP(YEAR($A107),'Festive dates'!$A$2:$J$5,9,FALSE),$A107&lt;=VLOOKUP(YEAR($A107),'Festive dates'!$A$2:$J$5,10,FALSE)),1,0)</f>
        <v>0</v>
      </c>
      <c r="W107" s="9">
        <f>IF($A107=VLOOKUP(YEAR($A107),'Festive dates'!$A$2:$J$5,7,FALSE),1,0)</f>
        <v>0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>
      <c r="A108" s="8">
        <v>45123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f>MAX(-20,MIN(10,$A108-VLOOKUP(YEAR($A108),'Festive dates'!$A$2:$J$5,8,FALSE)))</f>
        <v>-20</v>
      </c>
      <c r="R108" s="9">
        <f>IF(AND($A108&gt;VLOOKUP(YEAR($A108),'Festive dates'!$A$2:$J$5,2,FALSE),$A108&lt;VLOOKUP(YEAR($A108),'Festive dates'!$A$2:$J$5,3,FALSE)),1,0)</f>
        <v>0</v>
      </c>
      <c r="S108" s="9">
        <f>IF($A108=VLOOKUP(YEAR($A108),'Festive dates'!$A$2:$J$5,2,FALSE),1,0)</f>
        <v>0</v>
      </c>
      <c r="T108" s="9">
        <f>IF($A108=VLOOKUP(YEAR($A108),'Festive dates'!$A$2:$J$5,3,FALSE),1,0)</f>
        <v>0</v>
      </c>
      <c r="U108" s="9">
        <f>IF($A108=VLOOKUP(YEAR($A108),'Festive dates'!$A$2:$J$5,4,FALSE),1,0)</f>
        <v>0</v>
      </c>
      <c r="V108" s="9">
        <f>IF(AND($A108&gt;=VLOOKUP(YEAR($A108),'Festive dates'!$A$2:$J$5,9,FALSE),$A108&lt;=VLOOKUP(YEAR($A108),'Festive dates'!$A$2:$J$5,10,FALSE)),1,0)</f>
        <v>0</v>
      </c>
      <c r="W108" s="9">
        <f>IF($A108=VLOOKUP(YEAR($A108),'Festive dates'!$A$2:$J$5,7,FALSE),1,0)</f>
        <v>0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>
      <c r="A109" s="8">
        <v>45124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f>MAX(-20,MIN(10,$A109-VLOOKUP(YEAR($A109),'Festive dates'!$A$2:$J$5,8,FALSE)))</f>
        <v>-20</v>
      </c>
      <c r="R109" s="9">
        <f>IF(AND($A109&gt;VLOOKUP(YEAR($A109),'Festive dates'!$A$2:$J$5,2,FALSE),$A109&lt;VLOOKUP(YEAR($A109),'Festive dates'!$A$2:$J$5,3,FALSE)),1,0)</f>
        <v>0</v>
      </c>
      <c r="S109" s="9">
        <f>IF($A109=VLOOKUP(YEAR($A109),'Festive dates'!$A$2:$J$5,2,FALSE),1,0)</f>
        <v>0</v>
      </c>
      <c r="T109" s="9">
        <f>IF($A109=VLOOKUP(YEAR($A109),'Festive dates'!$A$2:$J$5,3,FALSE),1,0)</f>
        <v>0</v>
      </c>
      <c r="U109" s="9">
        <f>IF($A109=VLOOKUP(YEAR($A109),'Festive dates'!$A$2:$J$5,4,FALSE),1,0)</f>
        <v>0</v>
      </c>
      <c r="V109" s="9">
        <f>IF(AND($A109&gt;=VLOOKUP(YEAR($A109),'Festive dates'!$A$2:$J$5,9,FALSE),$A109&lt;=VLOOKUP(YEAR($A109),'Festive dates'!$A$2:$J$5,10,FALSE)),1,0)</f>
        <v>0</v>
      </c>
      <c r="W109" s="9">
        <f>IF($A109=VLOOKUP(YEAR($A109),'Festive dates'!$A$2:$J$5,7,FALSE),1,0)</f>
        <v>0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>
      <c r="A110" s="8">
        <v>45125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f>MAX(-20,MIN(10,$A110-VLOOKUP(YEAR($A110),'Festive dates'!$A$2:$J$5,8,FALSE)))</f>
        <v>-20</v>
      </c>
      <c r="R110" s="9">
        <f>IF(AND($A110&gt;VLOOKUP(YEAR($A110),'Festive dates'!$A$2:$J$5,2,FALSE),$A110&lt;VLOOKUP(YEAR($A110),'Festive dates'!$A$2:$J$5,3,FALSE)),1,0)</f>
        <v>0</v>
      </c>
      <c r="S110" s="9">
        <f>IF($A110=VLOOKUP(YEAR($A110),'Festive dates'!$A$2:$J$5,2,FALSE),1,0)</f>
        <v>0</v>
      </c>
      <c r="T110" s="9">
        <f>IF($A110=VLOOKUP(YEAR($A110),'Festive dates'!$A$2:$J$5,3,FALSE),1,0)</f>
        <v>0</v>
      </c>
      <c r="U110" s="9">
        <f>IF($A110=VLOOKUP(YEAR($A110),'Festive dates'!$A$2:$J$5,4,FALSE),1,0)</f>
        <v>0</v>
      </c>
      <c r="V110" s="9">
        <f>IF(AND($A110&gt;=VLOOKUP(YEAR($A110),'Festive dates'!$A$2:$J$5,9,FALSE),$A110&lt;=VLOOKUP(YEAR($A110),'Festive dates'!$A$2:$J$5,10,FALSE)),1,0)</f>
        <v>0</v>
      </c>
      <c r="W110" s="9">
        <f>IF($A110=VLOOKUP(YEAR($A110),'Festive dates'!$A$2:$J$5,7,FALSE),1,0)</f>
        <v>0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>
      <c r="A111" s="8">
        <v>45126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f>MAX(-20,MIN(10,$A111-VLOOKUP(YEAR($A111),'Festive dates'!$A$2:$J$5,8,FALSE)))</f>
        <v>-20</v>
      </c>
      <c r="R111" s="9">
        <f>IF(AND($A111&gt;VLOOKUP(YEAR($A111),'Festive dates'!$A$2:$J$5,2,FALSE),$A111&lt;VLOOKUP(YEAR($A111),'Festive dates'!$A$2:$J$5,3,FALSE)),1,0)</f>
        <v>0</v>
      </c>
      <c r="S111" s="9">
        <f>IF($A111=VLOOKUP(YEAR($A111),'Festive dates'!$A$2:$J$5,2,FALSE),1,0)</f>
        <v>0</v>
      </c>
      <c r="T111" s="9">
        <f>IF($A111=VLOOKUP(YEAR($A111),'Festive dates'!$A$2:$J$5,3,FALSE),1,0)</f>
        <v>0</v>
      </c>
      <c r="U111" s="9">
        <f>IF($A111=VLOOKUP(YEAR($A111),'Festive dates'!$A$2:$J$5,4,FALSE),1,0)</f>
        <v>0</v>
      </c>
      <c r="V111" s="9">
        <f>IF(AND($A111&gt;=VLOOKUP(YEAR($A111),'Festive dates'!$A$2:$J$5,9,FALSE),$A111&lt;=VLOOKUP(YEAR($A111),'Festive dates'!$A$2:$J$5,10,FALSE)),1,0)</f>
        <v>0</v>
      </c>
      <c r="W111" s="9">
        <f>IF($A111=VLOOKUP(YEAR($A111),'Festive dates'!$A$2:$J$5,7,FALSE),1,0)</f>
        <v>0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>
      <c r="A112" s="8">
        <v>45127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f>MAX(-20,MIN(10,$A112-VLOOKUP(YEAR($A112),'Festive dates'!$A$2:$J$5,8,FALSE)))</f>
        <v>-20</v>
      </c>
      <c r="R112" s="9">
        <f>IF(AND($A112&gt;VLOOKUP(YEAR($A112),'Festive dates'!$A$2:$J$5,2,FALSE),$A112&lt;VLOOKUP(YEAR($A112),'Festive dates'!$A$2:$J$5,3,FALSE)),1,0)</f>
        <v>0</v>
      </c>
      <c r="S112" s="9">
        <f>IF($A112=VLOOKUP(YEAR($A112),'Festive dates'!$A$2:$J$5,2,FALSE),1,0)</f>
        <v>0</v>
      </c>
      <c r="T112" s="9">
        <f>IF($A112=VLOOKUP(YEAR($A112),'Festive dates'!$A$2:$J$5,3,FALSE),1,0)</f>
        <v>0</v>
      </c>
      <c r="U112" s="9">
        <f>IF($A112=VLOOKUP(YEAR($A112),'Festive dates'!$A$2:$J$5,4,FALSE),1,0)</f>
        <v>0</v>
      </c>
      <c r="V112" s="9">
        <f>IF(AND($A112&gt;=VLOOKUP(YEAR($A112),'Festive dates'!$A$2:$J$5,9,FALSE),$A112&lt;=VLOOKUP(YEAR($A112),'Festive dates'!$A$2:$J$5,10,FALSE)),1,0)</f>
        <v>0</v>
      </c>
      <c r="W112" s="9">
        <f>IF($A112=VLOOKUP(YEAR($A112),'Festive dates'!$A$2:$J$5,7,FALSE),1,0)</f>
        <v>0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>
      <c r="A113" s="8">
        <v>45128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f>MAX(-20,MIN(10,$A113-VLOOKUP(YEAR($A113),'Festive dates'!$A$2:$J$5,8,FALSE)))</f>
        <v>-20</v>
      </c>
      <c r="R113" s="9">
        <f>IF(AND($A113&gt;VLOOKUP(YEAR($A113),'Festive dates'!$A$2:$J$5,2,FALSE),$A113&lt;VLOOKUP(YEAR($A113),'Festive dates'!$A$2:$J$5,3,FALSE)),1,0)</f>
        <v>0</v>
      </c>
      <c r="S113" s="9">
        <f>IF($A113=VLOOKUP(YEAR($A113),'Festive dates'!$A$2:$J$5,2,FALSE),1,0)</f>
        <v>0</v>
      </c>
      <c r="T113" s="9">
        <f>IF($A113=VLOOKUP(YEAR($A113),'Festive dates'!$A$2:$J$5,3,FALSE),1,0)</f>
        <v>0</v>
      </c>
      <c r="U113" s="9">
        <f>IF($A113=VLOOKUP(YEAR($A113),'Festive dates'!$A$2:$J$5,4,FALSE),1,0)</f>
        <v>0</v>
      </c>
      <c r="V113" s="9">
        <f>IF(AND($A113&gt;=VLOOKUP(YEAR($A113),'Festive dates'!$A$2:$J$5,9,FALSE),$A113&lt;=VLOOKUP(YEAR($A113),'Festive dates'!$A$2:$J$5,10,FALSE)),1,0)</f>
        <v>0</v>
      </c>
      <c r="W113" s="9">
        <f>IF($A113=VLOOKUP(YEAR($A113),'Festive dates'!$A$2:$J$5,7,FALSE),1,0)</f>
        <v>0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>
      <c r="A114" s="8">
        <v>45129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f>MAX(-20,MIN(10,$A114-VLOOKUP(YEAR($A114),'Festive dates'!$A$2:$J$5,8,FALSE)))</f>
        <v>-20</v>
      </c>
      <c r="R114" s="9">
        <f>IF(AND($A114&gt;VLOOKUP(YEAR($A114),'Festive dates'!$A$2:$J$5,2,FALSE),$A114&lt;VLOOKUP(YEAR($A114),'Festive dates'!$A$2:$J$5,3,FALSE)),1,0)</f>
        <v>0</v>
      </c>
      <c r="S114" s="9">
        <f>IF($A114=VLOOKUP(YEAR($A114),'Festive dates'!$A$2:$J$5,2,FALSE),1,0)</f>
        <v>0</v>
      </c>
      <c r="T114" s="9">
        <f>IF($A114=VLOOKUP(YEAR($A114),'Festive dates'!$A$2:$J$5,3,FALSE),1,0)</f>
        <v>0</v>
      </c>
      <c r="U114" s="9">
        <f>IF($A114=VLOOKUP(YEAR($A114),'Festive dates'!$A$2:$J$5,4,FALSE),1,0)</f>
        <v>0</v>
      </c>
      <c r="V114" s="9">
        <f>IF(AND($A114&gt;=VLOOKUP(YEAR($A114),'Festive dates'!$A$2:$J$5,9,FALSE),$A114&lt;=VLOOKUP(YEAR($A114),'Festive dates'!$A$2:$J$5,10,FALSE)),1,0)</f>
        <v>0</v>
      </c>
      <c r="W114" s="9">
        <f>IF($A114=VLOOKUP(YEAR($A114),'Festive dates'!$A$2:$J$5,7,FALSE),1,0)</f>
        <v>0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>
      <c r="A115" s="8">
        <v>45130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f>MAX(-20,MIN(10,$A115-VLOOKUP(YEAR($A115),'Festive dates'!$A$2:$J$5,8,FALSE)))</f>
        <v>-20</v>
      </c>
      <c r="R115" s="9">
        <f>IF(AND($A115&gt;VLOOKUP(YEAR($A115),'Festive dates'!$A$2:$J$5,2,FALSE),$A115&lt;VLOOKUP(YEAR($A115),'Festive dates'!$A$2:$J$5,3,FALSE)),1,0)</f>
        <v>0</v>
      </c>
      <c r="S115" s="9">
        <f>IF($A115=VLOOKUP(YEAR($A115),'Festive dates'!$A$2:$J$5,2,FALSE),1,0)</f>
        <v>0</v>
      </c>
      <c r="T115" s="9">
        <f>IF($A115=VLOOKUP(YEAR($A115),'Festive dates'!$A$2:$J$5,3,FALSE),1,0)</f>
        <v>0</v>
      </c>
      <c r="U115" s="9">
        <f>IF($A115=VLOOKUP(YEAR($A115),'Festive dates'!$A$2:$J$5,4,FALSE),1,0)</f>
        <v>0</v>
      </c>
      <c r="V115" s="9">
        <f>IF(AND($A115&gt;=VLOOKUP(YEAR($A115),'Festive dates'!$A$2:$J$5,9,FALSE),$A115&lt;=VLOOKUP(YEAR($A115),'Festive dates'!$A$2:$J$5,10,FALSE)),1,0)</f>
        <v>0</v>
      </c>
      <c r="W115" s="9">
        <f>IF($A115=VLOOKUP(YEAR($A115),'Festive dates'!$A$2:$J$5,7,FALSE),1,0)</f>
        <v>0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>
      <c r="A116" s="8">
        <v>45131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f>MAX(-20,MIN(10,$A116-VLOOKUP(YEAR($A116),'Festive dates'!$A$2:$J$5,8,FALSE)))</f>
        <v>-20</v>
      </c>
      <c r="R116" s="9">
        <f>IF(AND($A116&gt;VLOOKUP(YEAR($A116),'Festive dates'!$A$2:$J$5,2,FALSE),$A116&lt;VLOOKUP(YEAR($A116),'Festive dates'!$A$2:$J$5,3,FALSE)),1,0)</f>
        <v>0</v>
      </c>
      <c r="S116" s="9">
        <f>IF($A116=VLOOKUP(YEAR($A116),'Festive dates'!$A$2:$J$5,2,FALSE),1,0)</f>
        <v>0</v>
      </c>
      <c r="T116" s="9">
        <f>IF($A116=VLOOKUP(YEAR($A116),'Festive dates'!$A$2:$J$5,3,FALSE),1,0)</f>
        <v>0</v>
      </c>
      <c r="U116" s="9">
        <f>IF($A116=VLOOKUP(YEAR($A116),'Festive dates'!$A$2:$J$5,4,FALSE),1,0)</f>
        <v>0</v>
      </c>
      <c r="V116" s="9">
        <f>IF(AND($A116&gt;=VLOOKUP(YEAR($A116),'Festive dates'!$A$2:$J$5,9,FALSE),$A116&lt;=VLOOKUP(YEAR($A116),'Festive dates'!$A$2:$J$5,10,FALSE)),1,0)</f>
        <v>0</v>
      </c>
      <c r="W116" s="9">
        <f>IF($A116=VLOOKUP(YEAR($A116),'Festive dates'!$A$2:$J$5,7,FALSE),1,0)</f>
        <v>0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>
      <c r="A117" s="8">
        <v>45132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f>MAX(-20,MIN(10,$A117-VLOOKUP(YEAR($A117),'Festive dates'!$A$2:$J$5,8,FALSE)))</f>
        <v>-20</v>
      </c>
      <c r="R117" s="9">
        <f>IF(AND($A117&gt;VLOOKUP(YEAR($A117),'Festive dates'!$A$2:$J$5,2,FALSE),$A117&lt;VLOOKUP(YEAR($A117),'Festive dates'!$A$2:$J$5,3,FALSE)),1,0)</f>
        <v>0</v>
      </c>
      <c r="S117" s="9">
        <f>IF($A117=VLOOKUP(YEAR($A117),'Festive dates'!$A$2:$J$5,2,FALSE),1,0)</f>
        <v>0</v>
      </c>
      <c r="T117" s="9">
        <f>IF($A117=VLOOKUP(YEAR($A117),'Festive dates'!$A$2:$J$5,3,FALSE),1,0)</f>
        <v>0</v>
      </c>
      <c r="U117" s="9">
        <f>IF($A117=VLOOKUP(YEAR($A117),'Festive dates'!$A$2:$J$5,4,FALSE),1,0)</f>
        <v>0</v>
      </c>
      <c r="V117" s="9">
        <f>IF(AND($A117&gt;=VLOOKUP(YEAR($A117),'Festive dates'!$A$2:$J$5,9,FALSE),$A117&lt;=VLOOKUP(YEAR($A117),'Festive dates'!$A$2:$J$5,10,FALSE)),1,0)</f>
        <v>0</v>
      </c>
      <c r="W117" s="9">
        <f>IF($A117=VLOOKUP(YEAR($A117),'Festive dates'!$A$2:$J$5,7,FALSE),1,0)</f>
        <v>0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>
      <c r="A118" s="8">
        <v>45133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f>MAX(-20,MIN(10,$A118-VLOOKUP(YEAR($A118),'Festive dates'!$A$2:$J$5,8,FALSE)))</f>
        <v>-20</v>
      </c>
      <c r="R118" s="9">
        <f>IF(AND($A118&gt;VLOOKUP(YEAR($A118),'Festive dates'!$A$2:$J$5,2,FALSE),$A118&lt;VLOOKUP(YEAR($A118),'Festive dates'!$A$2:$J$5,3,FALSE)),1,0)</f>
        <v>0</v>
      </c>
      <c r="S118" s="9">
        <f>IF($A118=VLOOKUP(YEAR($A118),'Festive dates'!$A$2:$J$5,2,FALSE),1,0)</f>
        <v>0</v>
      </c>
      <c r="T118" s="9">
        <f>IF($A118=VLOOKUP(YEAR($A118),'Festive dates'!$A$2:$J$5,3,FALSE),1,0)</f>
        <v>0</v>
      </c>
      <c r="U118" s="9">
        <f>IF($A118=VLOOKUP(YEAR($A118),'Festive dates'!$A$2:$J$5,4,FALSE),1,0)</f>
        <v>0</v>
      </c>
      <c r="V118" s="9">
        <f>IF(AND($A118&gt;=VLOOKUP(YEAR($A118),'Festive dates'!$A$2:$J$5,9,FALSE),$A118&lt;=VLOOKUP(YEAR($A118),'Festive dates'!$A$2:$J$5,10,FALSE)),1,0)</f>
        <v>0</v>
      </c>
      <c r="W118" s="9">
        <f>IF($A118=VLOOKUP(YEAR($A118),'Festive dates'!$A$2:$J$5,7,FALSE),1,0)</f>
        <v>0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>
      <c r="A119" s="8">
        <v>45134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f>MAX(-20,MIN(10,$A119-VLOOKUP(YEAR($A119),'Festive dates'!$A$2:$J$5,8,FALSE)))</f>
        <v>-20</v>
      </c>
      <c r="R119" s="9">
        <f>IF(AND($A119&gt;VLOOKUP(YEAR($A119),'Festive dates'!$A$2:$J$5,2,FALSE),$A119&lt;VLOOKUP(YEAR($A119),'Festive dates'!$A$2:$J$5,3,FALSE)),1,0)</f>
        <v>0</v>
      </c>
      <c r="S119" s="9">
        <f>IF($A119=VLOOKUP(YEAR($A119),'Festive dates'!$A$2:$J$5,2,FALSE),1,0)</f>
        <v>0</v>
      </c>
      <c r="T119" s="9">
        <f>IF($A119=VLOOKUP(YEAR($A119),'Festive dates'!$A$2:$J$5,3,FALSE),1,0)</f>
        <v>0</v>
      </c>
      <c r="U119" s="9">
        <f>IF($A119=VLOOKUP(YEAR($A119),'Festive dates'!$A$2:$J$5,4,FALSE),1,0)</f>
        <v>0</v>
      </c>
      <c r="V119" s="9">
        <f>IF(AND($A119&gt;=VLOOKUP(YEAR($A119),'Festive dates'!$A$2:$J$5,9,FALSE),$A119&lt;=VLOOKUP(YEAR($A119),'Festive dates'!$A$2:$J$5,10,FALSE)),1,0)</f>
        <v>0</v>
      </c>
      <c r="W119" s="9">
        <f>IF($A119=VLOOKUP(YEAR($A119),'Festive dates'!$A$2:$J$5,7,FALSE),1,0)</f>
        <v>0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>
      <c r="A120" s="8">
        <v>45135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f>MAX(-20,MIN(10,$A120-VLOOKUP(YEAR($A120),'Festive dates'!$A$2:$J$5,8,FALSE)))</f>
        <v>-20</v>
      </c>
      <c r="R120" s="9">
        <f>IF(AND($A120&gt;VLOOKUP(YEAR($A120),'Festive dates'!$A$2:$J$5,2,FALSE),$A120&lt;VLOOKUP(YEAR($A120),'Festive dates'!$A$2:$J$5,3,FALSE)),1,0)</f>
        <v>0</v>
      </c>
      <c r="S120" s="9">
        <f>IF($A120=VLOOKUP(YEAR($A120),'Festive dates'!$A$2:$J$5,2,FALSE),1,0)</f>
        <v>0</v>
      </c>
      <c r="T120" s="9">
        <f>IF($A120=VLOOKUP(YEAR($A120),'Festive dates'!$A$2:$J$5,3,FALSE),1,0)</f>
        <v>0</v>
      </c>
      <c r="U120" s="9">
        <f>IF($A120=VLOOKUP(YEAR($A120),'Festive dates'!$A$2:$J$5,4,FALSE),1,0)</f>
        <v>0</v>
      </c>
      <c r="V120" s="9">
        <f>IF(AND($A120&gt;=VLOOKUP(YEAR($A120),'Festive dates'!$A$2:$J$5,9,FALSE),$A120&lt;=VLOOKUP(YEAR($A120),'Festive dates'!$A$2:$J$5,10,FALSE)),1,0)</f>
        <v>0</v>
      </c>
      <c r="W120" s="9">
        <f>IF($A120=VLOOKUP(YEAR($A120),'Festive dates'!$A$2:$J$5,7,FALSE),1,0)</f>
        <v>0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>
      <c r="A121" s="8">
        <v>45136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f>MAX(-20,MIN(10,$A121-VLOOKUP(YEAR($A121),'Festive dates'!$A$2:$J$5,8,FALSE)))</f>
        <v>-20</v>
      </c>
      <c r="R121" s="9">
        <f>IF(AND($A121&gt;VLOOKUP(YEAR($A121),'Festive dates'!$A$2:$J$5,2,FALSE),$A121&lt;VLOOKUP(YEAR($A121),'Festive dates'!$A$2:$J$5,3,FALSE)),1,0)</f>
        <v>0</v>
      </c>
      <c r="S121" s="9">
        <f>IF($A121=VLOOKUP(YEAR($A121),'Festive dates'!$A$2:$J$5,2,FALSE),1,0)</f>
        <v>0</v>
      </c>
      <c r="T121" s="9">
        <f>IF($A121=VLOOKUP(YEAR($A121),'Festive dates'!$A$2:$J$5,3,FALSE),1,0)</f>
        <v>0</v>
      </c>
      <c r="U121" s="9">
        <f>IF($A121=VLOOKUP(YEAR($A121),'Festive dates'!$A$2:$J$5,4,FALSE),1,0)</f>
        <v>0</v>
      </c>
      <c r="V121" s="9">
        <f>IF(AND($A121&gt;=VLOOKUP(YEAR($A121),'Festive dates'!$A$2:$J$5,9,FALSE),$A121&lt;=VLOOKUP(YEAR($A121),'Festive dates'!$A$2:$J$5,10,FALSE)),1,0)</f>
        <v>0</v>
      </c>
      <c r="W121" s="9">
        <f>IF($A121=VLOOKUP(YEAR($A121),'Festive dates'!$A$2:$J$5,7,FALSE),1,0)</f>
        <v>0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>
      <c r="A122" s="8">
        <v>45137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f>MAX(-20,MIN(10,$A122-VLOOKUP(YEAR($A122),'Festive dates'!$A$2:$J$5,8,FALSE)))</f>
        <v>-20</v>
      </c>
      <c r="R122" s="9">
        <f>IF(AND($A122&gt;VLOOKUP(YEAR($A122),'Festive dates'!$A$2:$J$5,2,FALSE),$A122&lt;VLOOKUP(YEAR($A122),'Festive dates'!$A$2:$J$5,3,FALSE)),1,0)</f>
        <v>0</v>
      </c>
      <c r="S122" s="9">
        <f>IF($A122=VLOOKUP(YEAR($A122),'Festive dates'!$A$2:$J$5,2,FALSE),1,0)</f>
        <v>0</v>
      </c>
      <c r="T122" s="9">
        <f>IF($A122=VLOOKUP(YEAR($A122),'Festive dates'!$A$2:$J$5,3,FALSE),1,0)</f>
        <v>0</v>
      </c>
      <c r="U122" s="9">
        <f>IF($A122=VLOOKUP(YEAR($A122),'Festive dates'!$A$2:$J$5,4,FALSE),1,0)</f>
        <v>0</v>
      </c>
      <c r="V122" s="9">
        <f>IF(AND($A122&gt;=VLOOKUP(YEAR($A122),'Festive dates'!$A$2:$J$5,9,FALSE),$A122&lt;=VLOOKUP(YEAR($A122),'Festive dates'!$A$2:$J$5,10,FALSE)),1,0)</f>
        <v>0</v>
      </c>
      <c r="W122" s="9">
        <f>IF($A122=VLOOKUP(YEAR($A122),'Festive dates'!$A$2:$J$5,7,FALSE),1,0)</f>
        <v>0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>
      <c r="A123" s="8">
        <v>45138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f>MAX(-20,MIN(10,$A123-VLOOKUP(YEAR($A123),'Festive dates'!$A$2:$J$5,8,FALSE)))</f>
        <v>-20</v>
      </c>
      <c r="R123" s="9">
        <f>IF(AND($A123&gt;VLOOKUP(YEAR($A123),'Festive dates'!$A$2:$J$5,2,FALSE),$A123&lt;VLOOKUP(YEAR($A123),'Festive dates'!$A$2:$J$5,3,FALSE)),1,0)</f>
        <v>0</v>
      </c>
      <c r="S123" s="9">
        <f>IF($A123=VLOOKUP(YEAR($A123),'Festive dates'!$A$2:$J$5,2,FALSE),1,0)</f>
        <v>0</v>
      </c>
      <c r="T123" s="9">
        <f>IF($A123=VLOOKUP(YEAR($A123),'Festive dates'!$A$2:$J$5,3,FALSE),1,0)</f>
        <v>0</v>
      </c>
      <c r="U123" s="9">
        <f>IF($A123=VLOOKUP(YEAR($A123),'Festive dates'!$A$2:$J$5,4,FALSE),1,0)</f>
        <v>0</v>
      </c>
      <c r="V123" s="9">
        <f>IF(AND($A123&gt;=VLOOKUP(YEAR($A123),'Festive dates'!$A$2:$J$5,9,FALSE),$A123&lt;=VLOOKUP(YEAR($A123),'Festive dates'!$A$2:$J$5,10,FALSE)),1,0)</f>
        <v>0</v>
      </c>
      <c r="W123" s="9">
        <f>IF($A123=VLOOKUP(YEAR($A123),'Festive dates'!$A$2:$J$5,7,FALSE),1,0)</f>
        <v>0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>
      <c r="A124" s="8">
        <v>45139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f>MAX(-20,MIN(10,$A124-VLOOKUP(YEAR($A124),'Festive dates'!$A$2:$J$5,8,FALSE)))</f>
        <v>-20</v>
      </c>
      <c r="R124" s="9">
        <f>IF(AND($A124&gt;VLOOKUP(YEAR($A124),'Festive dates'!$A$2:$J$5,2,FALSE),$A124&lt;VLOOKUP(YEAR($A124),'Festive dates'!$A$2:$J$5,3,FALSE)),1,0)</f>
        <v>0</v>
      </c>
      <c r="S124" s="9">
        <f>IF($A124=VLOOKUP(YEAR($A124),'Festive dates'!$A$2:$J$5,2,FALSE),1,0)</f>
        <v>0</v>
      </c>
      <c r="T124" s="9">
        <f>IF($A124=VLOOKUP(YEAR($A124),'Festive dates'!$A$2:$J$5,3,FALSE),1,0)</f>
        <v>0</v>
      </c>
      <c r="U124" s="9">
        <f>IF($A124=VLOOKUP(YEAR($A124),'Festive dates'!$A$2:$J$5,4,FALSE),1,0)</f>
        <v>0</v>
      </c>
      <c r="V124" s="9">
        <f>IF(AND($A124&gt;=VLOOKUP(YEAR($A124),'Festive dates'!$A$2:$J$5,9,FALSE),$A124&lt;=VLOOKUP(YEAR($A124),'Festive dates'!$A$2:$J$5,10,FALSE)),1,0)</f>
        <v>0</v>
      </c>
      <c r="W124" s="9">
        <f>IF($A124=VLOOKUP(YEAR($A124),'Festive dates'!$A$2:$J$5,7,FALSE),1,0)</f>
        <v>0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>
      <c r="A125" s="8">
        <v>45140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f>MAX(-20,MIN(10,$A125-VLOOKUP(YEAR($A125),'Festive dates'!$A$2:$J$5,8,FALSE)))</f>
        <v>-20</v>
      </c>
      <c r="R125" s="9">
        <f>IF(AND($A125&gt;VLOOKUP(YEAR($A125),'Festive dates'!$A$2:$J$5,2,FALSE),$A125&lt;VLOOKUP(YEAR($A125),'Festive dates'!$A$2:$J$5,3,FALSE)),1,0)</f>
        <v>0</v>
      </c>
      <c r="S125" s="9">
        <f>IF($A125=VLOOKUP(YEAR($A125),'Festive dates'!$A$2:$J$5,2,FALSE),1,0)</f>
        <v>0</v>
      </c>
      <c r="T125" s="9">
        <f>IF($A125=VLOOKUP(YEAR($A125),'Festive dates'!$A$2:$J$5,3,FALSE),1,0)</f>
        <v>0</v>
      </c>
      <c r="U125" s="9">
        <f>IF($A125=VLOOKUP(YEAR($A125),'Festive dates'!$A$2:$J$5,4,FALSE),1,0)</f>
        <v>0</v>
      </c>
      <c r="V125" s="9">
        <f>IF(AND($A125&gt;=VLOOKUP(YEAR($A125),'Festive dates'!$A$2:$J$5,9,FALSE),$A125&lt;=VLOOKUP(YEAR($A125),'Festive dates'!$A$2:$J$5,10,FALSE)),1,0)</f>
        <v>0</v>
      </c>
      <c r="W125" s="9">
        <f>IF($A125=VLOOKUP(YEAR($A125),'Festive dates'!$A$2:$J$5,7,FALSE),1,0)</f>
        <v>0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>
      <c r="A126" s="8">
        <v>45141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f>MAX(-20,MIN(10,$A126-VLOOKUP(YEAR($A126),'Festive dates'!$A$2:$J$5,8,FALSE)))</f>
        <v>-20</v>
      </c>
      <c r="R126" s="9">
        <f>IF(AND($A126&gt;VLOOKUP(YEAR($A126),'Festive dates'!$A$2:$J$5,2,FALSE),$A126&lt;VLOOKUP(YEAR($A126),'Festive dates'!$A$2:$J$5,3,FALSE)),1,0)</f>
        <v>0</v>
      </c>
      <c r="S126" s="9">
        <f>IF($A126=VLOOKUP(YEAR($A126),'Festive dates'!$A$2:$J$5,2,FALSE),1,0)</f>
        <v>0</v>
      </c>
      <c r="T126" s="9">
        <f>IF($A126=VLOOKUP(YEAR($A126),'Festive dates'!$A$2:$J$5,3,FALSE),1,0)</f>
        <v>0</v>
      </c>
      <c r="U126" s="9">
        <f>IF($A126=VLOOKUP(YEAR($A126),'Festive dates'!$A$2:$J$5,4,FALSE),1,0)</f>
        <v>0</v>
      </c>
      <c r="V126" s="9">
        <f>IF(AND($A126&gt;=VLOOKUP(YEAR($A126),'Festive dates'!$A$2:$J$5,9,FALSE),$A126&lt;=VLOOKUP(YEAR($A126),'Festive dates'!$A$2:$J$5,10,FALSE)),1,0)</f>
        <v>0</v>
      </c>
      <c r="W126" s="9">
        <f>IF($A126=VLOOKUP(YEAR($A126),'Festive dates'!$A$2:$J$5,7,FALSE),1,0)</f>
        <v>0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>
      <c r="A127" s="8">
        <v>45142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f>MAX(-20,MIN(10,$A127-VLOOKUP(YEAR($A127),'Festive dates'!$A$2:$J$5,8,FALSE)))</f>
        <v>-20</v>
      </c>
      <c r="R127" s="9">
        <f>IF(AND($A127&gt;VLOOKUP(YEAR($A127),'Festive dates'!$A$2:$J$5,2,FALSE),$A127&lt;VLOOKUP(YEAR($A127),'Festive dates'!$A$2:$J$5,3,FALSE)),1,0)</f>
        <v>0</v>
      </c>
      <c r="S127" s="9">
        <f>IF($A127=VLOOKUP(YEAR($A127),'Festive dates'!$A$2:$J$5,2,FALSE),1,0)</f>
        <v>0</v>
      </c>
      <c r="T127" s="9">
        <f>IF($A127=VLOOKUP(YEAR($A127),'Festive dates'!$A$2:$J$5,3,FALSE),1,0)</f>
        <v>0</v>
      </c>
      <c r="U127" s="9">
        <f>IF($A127=VLOOKUP(YEAR($A127),'Festive dates'!$A$2:$J$5,4,FALSE),1,0)</f>
        <v>0</v>
      </c>
      <c r="V127" s="9">
        <f>IF(AND($A127&gt;=VLOOKUP(YEAR($A127),'Festive dates'!$A$2:$J$5,9,FALSE),$A127&lt;=VLOOKUP(YEAR($A127),'Festive dates'!$A$2:$J$5,10,FALSE)),1,0)</f>
        <v>0</v>
      </c>
      <c r="W127" s="9">
        <f>IF($A127=VLOOKUP(YEAR($A127),'Festive dates'!$A$2:$J$5,7,FALSE),1,0)</f>
        <v>0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>
      <c r="A128" s="8">
        <v>45143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f>MAX(-20,MIN(10,$A128-VLOOKUP(YEAR($A128),'Festive dates'!$A$2:$J$5,8,FALSE)))</f>
        <v>-20</v>
      </c>
      <c r="R128" s="9">
        <f>IF(AND($A128&gt;VLOOKUP(YEAR($A128),'Festive dates'!$A$2:$J$5,2,FALSE),$A128&lt;VLOOKUP(YEAR($A128),'Festive dates'!$A$2:$J$5,3,FALSE)),1,0)</f>
        <v>0</v>
      </c>
      <c r="S128" s="9">
        <f>IF($A128=VLOOKUP(YEAR($A128),'Festive dates'!$A$2:$J$5,2,FALSE),1,0)</f>
        <v>0</v>
      </c>
      <c r="T128" s="9">
        <f>IF($A128=VLOOKUP(YEAR($A128),'Festive dates'!$A$2:$J$5,3,FALSE),1,0)</f>
        <v>0</v>
      </c>
      <c r="U128" s="9">
        <f>IF($A128=VLOOKUP(YEAR($A128),'Festive dates'!$A$2:$J$5,4,FALSE),1,0)</f>
        <v>0</v>
      </c>
      <c r="V128" s="9">
        <f>IF(AND($A128&gt;=VLOOKUP(YEAR($A128),'Festive dates'!$A$2:$J$5,9,FALSE),$A128&lt;=VLOOKUP(YEAR($A128),'Festive dates'!$A$2:$J$5,10,FALSE)),1,0)</f>
        <v>0</v>
      </c>
      <c r="W128" s="9">
        <f>IF($A128=VLOOKUP(YEAR($A128),'Festive dates'!$A$2:$J$5,7,FALSE),1,0)</f>
        <v>0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>
      <c r="A129" s="8">
        <v>45144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f>MAX(-20,MIN(10,$A129-VLOOKUP(YEAR($A129),'Festive dates'!$A$2:$J$5,8,FALSE)))</f>
        <v>-20</v>
      </c>
      <c r="R129" s="9">
        <f>IF(AND($A129&gt;VLOOKUP(YEAR($A129),'Festive dates'!$A$2:$J$5,2,FALSE),$A129&lt;VLOOKUP(YEAR($A129),'Festive dates'!$A$2:$J$5,3,FALSE)),1,0)</f>
        <v>0</v>
      </c>
      <c r="S129" s="9">
        <f>IF($A129=VLOOKUP(YEAR($A129),'Festive dates'!$A$2:$J$5,2,FALSE),1,0)</f>
        <v>0</v>
      </c>
      <c r="T129" s="9">
        <f>IF($A129=VLOOKUP(YEAR($A129),'Festive dates'!$A$2:$J$5,3,FALSE),1,0)</f>
        <v>0</v>
      </c>
      <c r="U129" s="9">
        <f>IF($A129=VLOOKUP(YEAR($A129),'Festive dates'!$A$2:$J$5,4,FALSE),1,0)</f>
        <v>0</v>
      </c>
      <c r="V129" s="9">
        <f>IF(AND($A129&gt;=VLOOKUP(YEAR($A129),'Festive dates'!$A$2:$J$5,9,FALSE),$A129&lt;=VLOOKUP(YEAR($A129),'Festive dates'!$A$2:$J$5,10,FALSE)),1,0)</f>
        <v>0</v>
      </c>
      <c r="W129" s="9">
        <f>IF($A129=VLOOKUP(YEAR($A129),'Festive dates'!$A$2:$J$5,7,FALSE),1,0)</f>
        <v>0</v>
      </c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>
      <c r="A130" s="8">
        <v>45145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f>MAX(-20,MIN(10,$A130-VLOOKUP(YEAR($A130),'Festive dates'!$A$2:$J$5,8,FALSE)))</f>
        <v>-20</v>
      </c>
      <c r="R130" s="9">
        <f>IF(AND($A130&gt;VLOOKUP(YEAR($A130),'Festive dates'!$A$2:$J$5,2,FALSE),$A130&lt;VLOOKUP(YEAR($A130),'Festive dates'!$A$2:$J$5,3,FALSE)),1,0)</f>
        <v>0</v>
      </c>
      <c r="S130" s="9">
        <f>IF($A130=VLOOKUP(YEAR($A130),'Festive dates'!$A$2:$J$5,2,FALSE),1,0)</f>
        <v>0</v>
      </c>
      <c r="T130" s="9">
        <f>IF($A130=VLOOKUP(YEAR($A130),'Festive dates'!$A$2:$J$5,3,FALSE),1,0)</f>
        <v>0</v>
      </c>
      <c r="U130" s="9">
        <f>IF($A130=VLOOKUP(YEAR($A130),'Festive dates'!$A$2:$J$5,4,FALSE),1,0)</f>
        <v>0</v>
      </c>
      <c r="V130" s="9">
        <f>IF(AND($A130&gt;=VLOOKUP(YEAR($A130),'Festive dates'!$A$2:$J$5,9,FALSE),$A130&lt;=VLOOKUP(YEAR($A130),'Festive dates'!$A$2:$J$5,10,FALSE)),1,0)</f>
        <v>0</v>
      </c>
      <c r="W130" s="9">
        <f>IF($A130=VLOOKUP(YEAR($A130),'Festive dates'!$A$2:$J$5,7,FALSE),1,0)</f>
        <v>0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>
      <c r="A131" s="8">
        <v>45146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f>MAX(-20,MIN(10,$A131-VLOOKUP(YEAR($A131),'Festive dates'!$A$2:$J$5,8,FALSE)))</f>
        <v>-20</v>
      </c>
      <c r="R131" s="9">
        <f>IF(AND($A131&gt;VLOOKUP(YEAR($A131),'Festive dates'!$A$2:$J$5,2,FALSE),$A131&lt;VLOOKUP(YEAR($A131),'Festive dates'!$A$2:$J$5,3,FALSE)),1,0)</f>
        <v>0</v>
      </c>
      <c r="S131" s="9">
        <f>IF($A131=VLOOKUP(YEAR($A131),'Festive dates'!$A$2:$J$5,2,FALSE),1,0)</f>
        <v>0</v>
      </c>
      <c r="T131" s="9">
        <f>IF($A131=VLOOKUP(YEAR($A131),'Festive dates'!$A$2:$J$5,3,FALSE),1,0)</f>
        <v>0</v>
      </c>
      <c r="U131" s="9">
        <f>IF($A131=VLOOKUP(YEAR($A131),'Festive dates'!$A$2:$J$5,4,FALSE),1,0)</f>
        <v>0</v>
      </c>
      <c r="V131" s="9">
        <f>IF(AND($A131&gt;=VLOOKUP(YEAR($A131),'Festive dates'!$A$2:$J$5,9,FALSE),$A131&lt;=VLOOKUP(YEAR($A131),'Festive dates'!$A$2:$J$5,10,FALSE)),1,0)</f>
        <v>0</v>
      </c>
      <c r="W131" s="9">
        <f>IF($A131=VLOOKUP(YEAR($A131),'Festive dates'!$A$2:$J$5,7,FALSE),1,0)</f>
        <v>0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>
      <c r="A132" s="8">
        <v>45147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f>MAX(-20,MIN(10,$A132-VLOOKUP(YEAR($A132),'Festive dates'!$A$2:$J$5,8,FALSE)))</f>
        <v>-20</v>
      </c>
      <c r="R132" s="9">
        <f>IF(AND($A132&gt;VLOOKUP(YEAR($A132),'Festive dates'!$A$2:$J$5,2,FALSE),$A132&lt;VLOOKUP(YEAR($A132),'Festive dates'!$A$2:$J$5,3,FALSE)),1,0)</f>
        <v>0</v>
      </c>
      <c r="S132" s="9">
        <f>IF($A132=VLOOKUP(YEAR($A132),'Festive dates'!$A$2:$J$5,2,FALSE),1,0)</f>
        <v>0</v>
      </c>
      <c r="T132" s="9">
        <f>IF($A132=VLOOKUP(YEAR($A132),'Festive dates'!$A$2:$J$5,3,FALSE),1,0)</f>
        <v>0</v>
      </c>
      <c r="U132" s="9">
        <f>IF($A132=VLOOKUP(YEAR($A132),'Festive dates'!$A$2:$J$5,4,FALSE),1,0)</f>
        <v>0</v>
      </c>
      <c r="V132" s="9">
        <f>IF(AND($A132&gt;=VLOOKUP(YEAR($A132),'Festive dates'!$A$2:$J$5,9,FALSE),$A132&lt;=VLOOKUP(YEAR($A132),'Festive dates'!$A$2:$J$5,10,FALSE)),1,0)</f>
        <v>0</v>
      </c>
      <c r="W132" s="9">
        <f>IF($A132=VLOOKUP(YEAR($A132),'Festive dates'!$A$2:$J$5,7,FALSE),1,0)</f>
        <v>0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>
      <c r="A133" s="8">
        <v>45148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f>MAX(-20,MIN(10,$A133-VLOOKUP(YEAR($A133),'Festive dates'!$A$2:$J$5,8,FALSE)))</f>
        <v>-20</v>
      </c>
      <c r="R133" s="9">
        <f>IF(AND($A133&gt;VLOOKUP(YEAR($A133),'Festive dates'!$A$2:$J$5,2,FALSE),$A133&lt;VLOOKUP(YEAR($A133),'Festive dates'!$A$2:$J$5,3,FALSE)),1,0)</f>
        <v>0</v>
      </c>
      <c r="S133" s="9">
        <f>IF($A133=VLOOKUP(YEAR($A133),'Festive dates'!$A$2:$J$5,2,FALSE),1,0)</f>
        <v>0</v>
      </c>
      <c r="T133" s="9">
        <f>IF($A133=VLOOKUP(YEAR($A133),'Festive dates'!$A$2:$J$5,3,FALSE),1,0)</f>
        <v>0</v>
      </c>
      <c r="U133" s="9">
        <f>IF($A133=VLOOKUP(YEAR($A133),'Festive dates'!$A$2:$J$5,4,FALSE),1,0)</f>
        <v>0</v>
      </c>
      <c r="V133" s="9">
        <f>IF(AND($A133&gt;=VLOOKUP(YEAR($A133),'Festive dates'!$A$2:$J$5,9,FALSE),$A133&lt;=VLOOKUP(YEAR($A133),'Festive dates'!$A$2:$J$5,10,FALSE)),1,0)</f>
        <v>0</v>
      </c>
      <c r="W133" s="9">
        <f>IF($A133=VLOOKUP(YEAR($A133),'Festive dates'!$A$2:$J$5,7,FALSE),1,0)</f>
        <v>0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>
      <c r="A134" s="8">
        <v>45149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f>MAX(-20,MIN(10,$A134-VLOOKUP(YEAR($A134),'Festive dates'!$A$2:$J$5,8,FALSE)))</f>
        <v>-20</v>
      </c>
      <c r="R134" s="9">
        <f>IF(AND($A134&gt;VLOOKUP(YEAR($A134),'Festive dates'!$A$2:$J$5,2,FALSE),$A134&lt;VLOOKUP(YEAR($A134),'Festive dates'!$A$2:$J$5,3,FALSE)),1,0)</f>
        <v>0</v>
      </c>
      <c r="S134" s="9">
        <f>IF($A134=VLOOKUP(YEAR($A134),'Festive dates'!$A$2:$J$5,2,FALSE),1,0)</f>
        <v>0</v>
      </c>
      <c r="T134" s="9">
        <f>IF($A134=VLOOKUP(YEAR($A134),'Festive dates'!$A$2:$J$5,3,FALSE),1,0)</f>
        <v>0</v>
      </c>
      <c r="U134" s="9">
        <f>IF($A134=VLOOKUP(YEAR($A134),'Festive dates'!$A$2:$J$5,4,FALSE),1,0)</f>
        <v>0</v>
      </c>
      <c r="V134" s="9">
        <f>IF(AND($A134&gt;=VLOOKUP(YEAR($A134),'Festive dates'!$A$2:$J$5,9,FALSE),$A134&lt;=VLOOKUP(YEAR($A134),'Festive dates'!$A$2:$J$5,10,FALSE)),1,0)</f>
        <v>0</v>
      </c>
      <c r="W134" s="9">
        <f>IF($A134=VLOOKUP(YEAR($A134),'Festive dates'!$A$2:$J$5,7,FALSE),1,0)</f>
        <v>0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>
      <c r="A135" s="8">
        <v>45150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f>MAX(-20,MIN(10,$A135-VLOOKUP(YEAR($A135),'Festive dates'!$A$2:$J$5,8,FALSE)))</f>
        <v>-20</v>
      </c>
      <c r="R135" s="9">
        <f>IF(AND($A135&gt;VLOOKUP(YEAR($A135),'Festive dates'!$A$2:$J$5,2,FALSE),$A135&lt;VLOOKUP(YEAR($A135),'Festive dates'!$A$2:$J$5,3,FALSE)),1,0)</f>
        <v>0</v>
      </c>
      <c r="S135" s="9">
        <f>IF($A135=VLOOKUP(YEAR($A135),'Festive dates'!$A$2:$J$5,2,FALSE),1,0)</f>
        <v>0</v>
      </c>
      <c r="T135" s="9">
        <f>IF($A135=VLOOKUP(YEAR($A135),'Festive dates'!$A$2:$J$5,3,FALSE),1,0)</f>
        <v>0</v>
      </c>
      <c r="U135" s="9">
        <f>IF($A135=VLOOKUP(YEAR($A135),'Festive dates'!$A$2:$J$5,4,FALSE),1,0)</f>
        <v>0</v>
      </c>
      <c r="V135" s="9">
        <f>IF(AND($A135&gt;=VLOOKUP(YEAR($A135),'Festive dates'!$A$2:$J$5,9,FALSE),$A135&lt;=VLOOKUP(YEAR($A135),'Festive dates'!$A$2:$J$5,10,FALSE)),1,0)</f>
        <v>0</v>
      </c>
      <c r="W135" s="9">
        <f>IF($A135=VLOOKUP(YEAR($A135),'Festive dates'!$A$2:$J$5,7,FALSE),1,0)</f>
        <v>0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>
      <c r="A136" s="8">
        <v>45151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f>MAX(-20,MIN(10,$A136-VLOOKUP(YEAR($A136),'Festive dates'!$A$2:$J$5,8,FALSE)))</f>
        <v>-20</v>
      </c>
      <c r="R136" s="9">
        <f>IF(AND($A136&gt;VLOOKUP(YEAR($A136),'Festive dates'!$A$2:$J$5,2,FALSE),$A136&lt;VLOOKUP(YEAR($A136),'Festive dates'!$A$2:$J$5,3,FALSE)),1,0)</f>
        <v>0</v>
      </c>
      <c r="S136" s="9">
        <f>IF($A136=VLOOKUP(YEAR($A136),'Festive dates'!$A$2:$J$5,2,FALSE),1,0)</f>
        <v>0</v>
      </c>
      <c r="T136" s="9">
        <f>IF($A136=VLOOKUP(YEAR($A136),'Festive dates'!$A$2:$J$5,3,FALSE),1,0)</f>
        <v>0</v>
      </c>
      <c r="U136" s="9">
        <f>IF($A136=VLOOKUP(YEAR($A136),'Festive dates'!$A$2:$J$5,4,FALSE),1,0)</f>
        <v>0</v>
      </c>
      <c r="V136" s="9">
        <f>IF(AND($A136&gt;=VLOOKUP(YEAR($A136),'Festive dates'!$A$2:$J$5,9,FALSE),$A136&lt;=VLOOKUP(YEAR($A136),'Festive dates'!$A$2:$J$5,10,FALSE)),1,0)</f>
        <v>0</v>
      </c>
      <c r="W136" s="9">
        <f>IF($A136=VLOOKUP(YEAR($A136),'Festive dates'!$A$2:$J$5,7,FALSE),1,0)</f>
        <v>0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>
      <c r="A137" s="8">
        <v>45152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f>MAX(-20,MIN(10,$A137-VLOOKUP(YEAR($A137),'Festive dates'!$A$2:$J$5,8,FALSE)))</f>
        <v>-20</v>
      </c>
      <c r="R137" s="9">
        <f>IF(AND($A137&gt;VLOOKUP(YEAR($A137),'Festive dates'!$A$2:$J$5,2,FALSE),$A137&lt;VLOOKUP(YEAR($A137),'Festive dates'!$A$2:$J$5,3,FALSE)),1,0)</f>
        <v>0</v>
      </c>
      <c r="S137" s="9">
        <f>IF($A137=VLOOKUP(YEAR($A137),'Festive dates'!$A$2:$J$5,2,FALSE),1,0)</f>
        <v>0</v>
      </c>
      <c r="T137" s="9">
        <f>IF($A137=VLOOKUP(YEAR($A137),'Festive dates'!$A$2:$J$5,3,FALSE),1,0)</f>
        <v>0</v>
      </c>
      <c r="U137" s="9">
        <f>IF($A137=VLOOKUP(YEAR($A137),'Festive dates'!$A$2:$J$5,4,FALSE),1,0)</f>
        <v>0</v>
      </c>
      <c r="V137" s="9">
        <f>IF(AND($A137&gt;=VLOOKUP(YEAR($A137),'Festive dates'!$A$2:$J$5,9,FALSE),$A137&lt;=VLOOKUP(YEAR($A137),'Festive dates'!$A$2:$J$5,10,FALSE)),1,0)</f>
        <v>0</v>
      </c>
      <c r="W137" s="9">
        <f>IF($A137=VLOOKUP(YEAR($A137),'Festive dates'!$A$2:$J$5,7,FALSE),1,0)</f>
        <v>0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>
      <c r="A138" s="8">
        <v>45153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f>MAX(-20,MIN(10,$A138-VLOOKUP(YEAR($A138),'Festive dates'!$A$2:$J$5,8,FALSE)))</f>
        <v>-20</v>
      </c>
      <c r="R138" s="9">
        <f>IF(AND($A138&gt;VLOOKUP(YEAR($A138),'Festive dates'!$A$2:$J$5,2,FALSE),$A138&lt;VLOOKUP(YEAR($A138),'Festive dates'!$A$2:$J$5,3,FALSE)),1,0)</f>
        <v>0</v>
      </c>
      <c r="S138" s="9">
        <f>IF($A138=VLOOKUP(YEAR($A138),'Festive dates'!$A$2:$J$5,2,FALSE),1,0)</f>
        <v>0</v>
      </c>
      <c r="T138" s="9">
        <f>IF($A138=VLOOKUP(YEAR($A138),'Festive dates'!$A$2:$J$5,3,FALSE),1,0)</f>
        <v>0</v>
      </c>
      <c r="U138" s="9">
        <f>IF($A138=VLOOKUP(YEAR($A138),'Festive dates'!$A$2:$J$5,4,FALSE),1,0)</f>
        <v>0</v>
      </c>
      <c r="V138" s="9">
        <f>IF(AND($A138&gt;=VLOOKUP(YEAR($A138),'Festive dates'!$A$2:$J$5,9,FALSE),$A138&lt;=VLOOKUP(YEAR($A138),'Festive dates'!$A$2:$J$5,10,FALSE)),1,0)</f>
        <v>0</v>
      </c>
      <c r="W138" s="9">
        <f>IF($A138=VLOOKUP(YEAR($A138),'Festive dates'!$A$2:$J$5,7,FALSE),1,0)</f>
        <v>0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>
      <c r="A139" s="8">
        <v>45154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f>MAX(-20,MIN(10,$A139-VLOOKUP(YEAR($A139),'Festive dates'!$A$2:$J$5,8,FALSE)))</f>
        <v>-20</v>
      </c>
      <c r="R139" s="9">
        <f>IF(AND($A139&gt;VLOOKUP(YEAR($A139),'Festive dates'!$A$2:$J$5,2,FALSE),$A139&lt;VLOOKUP(YEAR($A139),'Festive dates'!$A$2:$J$5,3,FALSE)),1,0)</f>
        <v>0</v>
      </c>
      <c r="S139" s="9">
        <f>IF($A139=VLOOKUP(YEAR($A139),'Festive dates'!$A$2:$J$5,2,FALSE),1,0)</f>
        <v>0</v>
      </c>
      <c r="T139" s="9">
        <f>IF($A139=VLOOKUP(YEAR($A139),'Festive dates'!$A$2:$J$5,3,FALSE),1,0)</f>
        <v>0</v>
      </c>
      <c r="U139" s="9">
        <f>IF($A139=VLOOKUP(YEAR($A139),'Festive dates'!$A$2:$J$5,4,FALSE),1,0)</f>
        <v>0</v>
      </c>
      <c r="V139" s="9">
        <f>IF(AND($A139&gt;=VLOOKUP(YEAR($A139),'Festive dates'!$A$2:$J$5,9,FALSE),$A139&lt;=VLOOKUP(YEAR($A139),'Festive dates'!$A$2:$J$5,10,FALSE)),1,0)</f>
        <v>0</v>
      </c>
      <c r="W139" s="9">
        <f>IF($A139=VLOOKUP(YEAR($A139),'Festive dates'!$A$2:$J$5,7,FALSE),1,0)</f>
        <v>0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>
      <c r="A140" s="8">
        <v>45155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f>MAX(-20,MIN(10,$A140-VLOOKUP(YEAR($A140),'Festive dates'!$A$2:$J$5,8,FALSE)))</f>
        <v>-20</v>
      </c>
      <c r="R140" s="9">
        <f>IF(AND($A140&gt;VLOOKUP(YEAR($A140),'Festive dates'!$A$2:$J$5,2,FALSE),$A140&lt;VLOOKUP(YEAR($A140),'Festive dates'!$A$2:$J$5,3,FALSE)),1,0)</f>
        <v>0</v>
      </c>
      <c r="S140" s="9">
        <f>IF($A140=VLOOKUP(YEAR($A140),'Festive dates'!$A$2:$J$5,2,FALSE),1,0)</f>
        <v>0</v>
      </c>
      <c r="T140" s="9">
        <f>IF($A140=VLOOKUP(YEAR($A140),'Festive dates'!$A$2:$J$5,3,FALSE),1,0)</f>
        <v>0</v>
      </c>
      <c r="U140" s="9">
        <f>IF($A140=VLOOKUP(YEAR($A140),'Festive dates'!$A$2:$J$5,4,FALSE),1,0)</f>
        <v>0</v>
      </c>
      <c r="V140" s="9">
        <f>IF(AND($A140&gt;=VLOOKUP(YEAR($A140),'Festive dates'!$A$2:$J$5,9,FALSE),$A140&lt;=VLOOKUP(YEAR($A140),'Festive dates'!$A$2:$J$5,10,FALSE)),1,0)</f>
        <v>0</v>
      </c>
      <c r="W140" s="9">
        <f>IF($A140=VLOOKUP(YEAR($A140),'Festive dates'!$A$2:$J$5,7,FALSE),1,0)</f>
        <v>0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>
      <c r="A141" s="8">
        <v>45156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f>MAX(-20,MIN(10,$A141-VLOOKUP(YEAR($A141),'Festive dates'!$A$2:$J$5,8,FALSE)))</f>
        <v>-20</v>
      </c>
      <c r="R141" s="9">
        <f>IF(AND($A141&gt;VLOOKUP(YEAR($A141),'Festive dates'!$A$2:$J$5,2,FALSE),$A141&lt;VLOOKUP(YEAR($A141),'Festive dates'!$A$2:$J$5,3,FALSE)),1,0)</f>
        <v>0</v>
      </c>
      <c r="S141" s="9">
        <f>IF($A141=VLOOKUP(YEAR($A141),'Festive dates'!$A$2:$J$5,2,FALSE),1,0)</f>
        <v>0</v>
      </c>
      <c r="T141" s="9">
        <f>IF($A141=VLOOKUP(YEAR($A141),'Festive dates'!$A$2:$J$5,3,FALSE),1,0)</f>
        <v>0</v>
      </c>
      <c r="U141" s="9">
        <f>IF($A141=VLOOKUP(YEAR($A141),'Festive dates'!$A$2:$J$5,4,FALSE),1,0)</f>
        <v>0</v>
      </c>
      <c r="V141" s="9">
        <f>IF(AND($A141&gt;=VLOOKUP(YEAR($A141),'Festive dates'!$A$2:$J$5,9,FALSE),$A141&lt;=VLOOKUP(YEAR($A141),'Festive dates'!$A$2:$J$5,10,FALSE)),1,0)</f>
        <v>0</v>
      </c>
      <c r="W141" s="9">
        <f>IF($A141=VLOOKUP(YEAR($A141),'Festive dates'!$A$2:$J$5,7,FALSE),1,0)</f>
        <v>0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>
      <c r="A142" s="8">
        <v>45157</v>
      </c>
      <c r="B142" s="9">
        <v>1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f>MAX(-20,MIN(10,$A142-VLOOKUP(YEAR($A142),'Festive dates'!$A$2:$J$5,8,FALSE)))</f>
        <v>-20</v>
      </c>
      <c r="R142" s="9">
        <f>IF(AND($A142&gt;VLOOKUP(YEAR($A142),'Festive dates'!$A$2:$J$5,2,FALSE),$A142&lt;VLOOKUP(YEAR($A142),'Festive dates'!$A$2:$J$5,3,FALSE)),1,0)</f>
        <v>0</v>
      </c>
      <c r="S142" s="9">
        <f>IF($A142=VLOOKUP(YEAR($A142),'Festive dates'!$A$2:$J$5,2,FALSE),1,0)</f>
        <v>0</v>
      </c>
      <c r="T142" s="9">
        <f>IF($A142=VLOOKUP(YEAR($A142),'Festive dates'!$A$2:$J$5,3,FALSE),1,0)</f>
        <v>0</v>
      </c>
      <c r="U142" s="9">
        <f>IF($A142=VLOOKUP(YEAR($A142),'Festive dates'!$A$2:$J$5,4,FALSE),1,0)</f>
        <v>0</v>
      </c>
      <c r="V142" s="9">
        <f>IF(AND($A142&gt;=VLOOKUP(YEAR($A142),'Festive dates'!$A$2:$J$5,9,FALSE),$A142&lt;=VLOOKUP(YEAR($A142),'Festive dates'!$A$2:$J$5,10,FALSE)),1,0)</f>
        <v>0</v>
      </c>
      <c r="W142" s="9">
        <f>IF($A142=VLOOKUP(YEAR($A142),'Festive dates'!$A$2:$J$5,7,FALSE),1,0)</f>
        <v>0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>
      <c r="A143" s="8">
        <v>45158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f>MAX(-20,MIN(10,$A143-VLOOKUP(YEAR($A143),'Festive dates'!$A$2:$J$5,8,FALSE)))</f>
        <v>-20</v>
      </c>
      <c r="R143" s="9">
        <f>IF(AND($A143&gt;VLOOKUP(YEAR($A143),'Festive dates'!$A$2:$J$5,2,FALSE),$A143&lt;VLOOKUP(YEAR($A143),'Festive dates'!$A$2:$J$5,3,FALSE)),1,0)</f>
        <v>0</v>
      </c>
      <c r="S143" s="9">
        <f>IF($A143=VLOOKUP(YEAR($A143),'Festive dates'!$A$2:$J$5,2,FALSE),1,0)</f>
        <v>0</v>
      </c>
      <c r="T143" s="9">
        <f>IF($A143=VLOOKUP(YEAR($A143),'Festive dates'!$A$2:$J$5,3,FALSE),1,0)</f>
        <v>0</v>
      </c>
      <c r="U143" s="9">
        <f>IF($A143=VLOOKUP(YEAR($A143),'Festive dates'!$A$2:$J$5,4,FALSE),1,0)</f>
        <v>0</v>
      </c>
      <c r="V143" s="9">
        <f>IF(AND($A143&gt;=VLOOKUP(YEAR($A143),'Festive dates'!$A$2:$J$5,9,FALSE),$A143&lt;=VLOOKUP(YEAR($A143),'Festive dates'!$A$2:$J$5,10,FALSE)),1,0)</f>
        <v>0</v>
      </c>
      <c r="W143" s="9">
        <f>IF($A143=VLOOKUP(YEAR($A143),'Festive dates'!$A$2:$J$5,7,FALSE),1,0)</f>
        <v>0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>
      <c r="A144" s="8">
        <v>45159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1</v>
      </c>
      <c r="O144" s="9">
        <v>0</v>
      </c>
      <c r="P144" s="9">
        <v>0</v>
      </c>
      <c r="Q144" s="9">
        <f>MAX(-20,MIN(10,$A144-VLOOKUP(YEAR($A144),'Festive dates'!$A$2:$J$5,8,FALSE)))</f>
        <v>-20</v>
      </c>
      <c r="R144" s="9">
        <f>IF(AND($A144&gt;VLOOKUP(YEAR($A144),'Festive dates'!$A$2:$J$5,2,FALSE),$A144&lt;VLOOKUP(YEAR($A144),'Festive dates'!$A$2:$J$5,3,FALSE)),1,0)</f>
        <v>0</v>
      </c>
      <c r="S144" s="9">
        <f>IF($A144=VLOOKUP(YEAR($A144),'Festive dates'!$A$2:$J$5,2,FALSE),1,0)</f>
        <v>0</v>
      </c>
      <c r="T144" s="9">
        <f>IF($A144=VLOOKUP(YEAR($A144),'Festive dates'!$A$2:$J$5,3,FALSE),1,0)</f>
        <v>0</v>
      </c>
      <c r="U144" s="9">
        <f>IF($A144=VLOOKUP(YEAR($A144),'Festive dates'!$A$2:$J$5,4,FALSE),1,0)</f>
        <v>0</v>
      </c>
      <c r="V144" s="9">
        <f>IF(AND($A144&gt;=VLOOKUP(YEAR($A144),'Festive dates'!$A$2:$J$5,9,FALSE),$A144&lt;=VLOOKUP(YEAR($A144),'Festive dates'!$A$2:$J$5,10,FALSE)),1,0)</f>
        <v>0</v>
      </c>
      <c r="W144" s="9">
        <f>IF($A144=VLOOKUP(YEAR($A144),'Festive dates'!$A$2:$J$5,7,FALSE),1,0)</f>
        <v>0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>
      <c r="A145" s="8">
        <v>45160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f>MAX(-20,MIN(10,$A145-VLOOKUP(YEAR($A145),'Festive dates'!$A$2:$J$5,8,FALSE)))</f>
        <v>-20</v>
      </c>
      <c r="R145" s="9">
        <f>IF(AND($A145&gt;VLOOKUP(YEAR($A145),'Festive dates'!$A$2:$J$5,2,FALSE),$A145&lt;VLOOKUP(YEAR($A145),'Festive dates'!$A$2:$J$5,3,FALSE)),1,0)</f>
        <v>0</v>
      </c>
      <c r="S145" s="9">
        <f>IF($A145=VLOOKUP(YEAR($A145),'Festive dates'!$A$2:$J$5,2,FALSE),1,0)</f>
        <v>0</v>
      </c>
      <c r="T145" s="9">
        <f>IF($A145=VLOOKUP(YEAR($A145),'Festive dates'!$A$2:$J$5,3,FALSE),1,0)</f>
        <v>0</v>
      </c>
      <c r="U145" s="9">
        <f>IF($A145=VLOOKUP(YEAR($A145),'Festive dates'!$A$2:$J$5,4,FALSE),1,0)</f>
        <v>0</v>
      </c>
      <c r="V145" s="9">
        <f>IF(AND($A145&gt;=VLOOKUP(YEAR($A145),'Festive dates'!$A$2:$J$5,9,FALSE),$A145&lt;=VLOOKUP(YEAR($A145),'Festive dates'!$A$2:$J$5,10,FALSE)),1,0)</f>
        <v>0</v>
      </c>
      <c r="W145" s="9">
        <f>IF($A145=VLOOKUP(YEAR($A145),'Festive dates'!$A$2:$J$5,7,FALSE),1,0)</f>
        <v>0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>
      <c r="A146" s="8">
        <v>45161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f>MAX(-20,MIN(10,$A146-VLOOKUP(YEAR($A146),'Festive dates'!$A$2:$J$5,8,FALSE)))</f>
        <v>-20</v>
      </c>
      <c r="R146" s="9">
        <f>IF(AND($A146&gt;VLOOKUP(YEAR($A146),'Festive dates'!$A$2:$J$5,2,FALSE),$A146&lt;VLOOKUP(YEAR($A146),'Festive dates'!$A$2:$J$5,3,FALSE)),1,0)</f>
        <v>0</v>
      </c>
      <c r="S146" s="9">
        <f>IF($A146=VLOOKUP(YEAR($A146),'Festive dates'!$A$2:$J$5,2,FALSE),1,0)</f>
        <v>0</v>
      </c>
      <c r="T146" s="9">
        <f>IF($A146=VLOOKUP(YEAR($A146),'Festive dates'!$A$2:$J$5,3,FALSE),1,0)</f>
        <v>0</v>
      </c>
      <c r="U146" s="9">
        <f>IF($A146=VLOOKUP(YEAR($A146),'Festive dates'!$A$2:$J$5,4,FALSE),1,0)</f>
        <v>0</v>
      </c>
      <c r="V146" s="9">
        <f>IF(AND($A146&gt;=VLOOKUP(YEAR($A146),'Festive dates'!$A$2:$J$5,9,FALSE),$A146&lt;=VLOOKUP(YEAR($A146),'Festive dates'!$A$2:$J$5,10,FALSE)),1,0)</f>
        <v>0</v>
      </c>
      <c r="W146" s="9">
        <f>IF($A146=VLOOKUP(YEAR($A146),'Festive dates'!$A$2:$J$5,7,FALSE),1,0)</f>
        <v>0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>
      <c r="A147" s="8">
        <v>45162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f>MAX(-20,MIN(10,$A147-VLOOKUP(YEAR($A147),'Festive dates'!$A$2:$J$5,8,FALSE)))</f>
        <v>-20</v>
      </c>
      <c r="R147" s="9">
        <f>IF(AND($A147&gt;VLOOKUP(YEAR($A147),'Festive dates'!$A$2:$J$5,2,FALSE),$A147&lt;VLOOKUP(YEAR($A147),'Festive dates'!$A$2:$J$5,3,FALSE)),1,0)</f>
        <v>0</v>
      </c>
      <c r="S147" s="9">
        <f>IF($A147=VLOOKUP(YEAR($A147),'Festive dates'!$A$2:$J$5,2,FALSE),1,0)</f>
        <v>0</v>
      </c>
      <c r="T147" s="9">
        <f>IF($A147=VLOOKUP(YEAR($A147),'Festive dates'!$A$2:$J$5,3,FALSE),1,0)</f>
        <v>0</v>
      </c>
      <c r="U147" s="9">
        <f>IF($A147=VLOOKUP(YEAR($A147),'Festive dates'!$A$2:$J$5,4,FALSE),1,0)</f>
        <v>0</v>
      </c>
      <c r="V147" s="9">
        <f>IF(AND($A147&gt;=VLOOKUP(YEAR($A147),'Festive dates'!$A$2:$J$5,9,FALSE),$A147&lt;=VLOOKUP(YEAR($A147),'Festive dates'!$A$2:$J$5,10,FALSE)),1,0)</f>
        <v>0</v>
      </c>
      <c r="W147" s="9">
        <f>IF($A147=VLOOKUP(YEAR($A147),'Festive dates'!$A$2:$J$5,7,FALSE),1,0)</f>
        <v>0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>
      <c r="A148" s="8">
        <v>45163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f>MAX(-20,MIN(10,$A148-VLOOKUP(YEAR($A148),'Festive dates'!$A$2:$J$5,8,FALSE)))</f>
        <v>-20</v>
      </c>
      <c r="R148" s="9">
        <f>IF(AND($A148&gt;VLOOKUP(YEAR($A148),'Festive dates'!$A$2:$J$5,2,FALSE),$A148&lt;VLOOKUP(YEAR($A148),'Festive dates'!$A$2:$J$5,3,FALSE)),1,0)</f>
        <v>0</v>
      </c>
      <c r="S148" s="9">
        <f>IF($A148=VLOOKUP(YEAR($A148),'Festive dates'!$A$2:$J$5,2,FALSE),1,0)</f>
        <v>0</v>
      </c>
      <c r="T148" s="9">
        <f>IF($A148=VLOOKUP(YEAR($A148),'Festive dates'!$A$2:$J$5,3,FALSE),1,0)</f>
        <v>0</v>
      </c>
      <c r="U148" s="9">
        <f>IF($A148=VLOOKUP(YEAR($A148),'Festive dates'!$A$2:$J$5,4,FALSE),1,0)</f>
        <v>0</v>
      </c>
      <c r="V148" s="9">
        <f>IF(AND($A148&gt;=VLOOKUP(YEAR($A148),'Festive dates'!$A$2:$J$5,9,FALSE),$A148&lt;=VLOOKUP(YEAR($A148),'Festive dates'!$A$2:$J$5,10,FALSE)),1,0)</f>
        <v>0</v>
      </c>
      <c r="W148" s="9">
        <f>IF($A148=VLOOKUP(YEAR($A148),'Festive dates'!$A$2:$J$5,7,FALSE),1,0)</f>
        <v>0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>
      <c r="A149" s="8">
        <v>45164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f>MAX(-20,MIN(10,$A149-VLOOKUP(YEAR($A149),'Festive dates'!$A$2:$J$5,8,FALSE)))</f>
        <v>-20</v>
      </c>
      <c r="R149" s="9">
        <f>IF(AND($A149&gt;VLOOKUP(YEAR($A149),'Festive dates'!$A$2:$J$5,2,FALSE),$A149&lt;VLOOKUP(YEAR($A149),'Festive dates'!$A$2:$J$5,3,FALSE)),1,0)</f>
        <v>0</v>
      </c>
      <c r="S149" s="9">
        <f>IF($A149=VLOOKUP(YEAR($A149),'Festive dates'!$A$2:$J$5,2,FALSE),1,0)</f>
        <v>0</v>
      </c>
      <c r="T149" s="9">
        <f>IF($A149=VLOOKUP(YEAR($A149),'Festive dates'!$A$2:$J$5,3,FALSE),1,0)</f>
        <v>0</v>
      </c>
      <c r="U149" s="9">
        <f>IF($A149=VLOOKUP(YEAR($A149),'Festive dates'!$A$2:$J$5,4,FALSE),1,0)</f>
        <v>0</v>
      </c>
      <c r="V149" s="9">
        <f>IF(AND($A149&gt;=VLOOKUP(YEAR($A149),'Festive dates'!$A$2:$J$5,9,FALSE),$A149&lt;=VLOOKUP(YEAR($A149),'Festive dates'!$A$2:$J$5,10,FALSE)),1,0)</f>
        <v>0</v>
      </c>
      <c r="W149" s="9">
        <f>IF($A149=VLOOKUP(YEAR($A149),'Festive dates'!$A$2:$J$5,7,FALSE),1,0)</f>
        <v>0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>
      <c r="A150" s="8">
        <v>45165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f>MAX(-20,MIN(10,$A150-VLOOKUP(YEAR($A150),'Festive dates'!$A$2:$J$5,8,FALSE)))</f>
        <v>-20</v>
      </c>
      <c r="R150" s="9">
        <f>IF(AND($A150&gt;VLOOKUP(YEAR($A150),'Festive dates'!$A$2:$J$5,2,FALSE),$A150&lt;VLOOKUP(YEAR($A150),'Festive dates'!$A$2:$J$5,3,FALSE)),1,0)</f>
        <v>0</v>
      </c>
      <c r="S150" s="9">
        <f>IF($A150=VLOOKUP(YEAR($A150),'Festive dates'!$A$2:$J$5,2,FALSE),1,0)</f>
        <v>0</v>
      </c>
      <c r="T150" s="9">
        <f>IF($A150=VLOOKUP(YEAR($A150),'Festive dates'!$A$2:$J$5,3,FALSE),1,0)</f>
        <v>0</v>
      </c>
      <c r="U150" s="9">
        <f>IF($A150=VLOOKUP(YEAR($A150),'Festive dates'!$A$2:$J$5,4,FALSE),1,0)</f>
        <v>0</v>
      </c>
      <c r="V150" s="9">
        <f>IF(AND($A150&gt;=VLOOKUP(YEAR($A150),'Festive dates'!$A$2:$J$5,9,FALSE),$A150&lt;=VLOOKUP(YEAR($A150),'Festive dates'!$A$2:$J$5,10,FALSE)),1,0)</f>
        <v>0</v>
      </c>
      <c r="W150" s="9">
        <f>IF($A150=VLOOKUP(YEAR($A150),'Festive dates'!$A$2:$J$5,7,FALSE),1,0)</f>
        <v>0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>
      <c r="A151" s="8">
        <v>45166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f>MAX(-20,MIN(10,$A151-VLOOKUP(YEAR($A151),'Festive dates'!$A$2:$J$5,8,FALSE)))</f>
        <v>-20</v>
      </c>
      <c r="R151" s="9">
        <f>IF(AND($A151&gt;VLOOKUP(YEAR($A151),'Festive dates'!$A$2:$J$5,2,FALSE),$A151&lt;VLOOKUP(YEAR($A151),'Festive dates'!$A$2:$J$5,3,FALSE)),1,0)</f>
        <v>0</v>
      </c>
      <c r="S151" s="9">
        <f>IF($A151=VLOOKUP(YEAR($A151),'Festive dates'!$A$2:$J$5,2,FALSE),1,0)</f>
        <v>0</v>
      </c>
      <c r="T151" s="9">
        <f>IF($A151=VLOOKUP(YEAR($A151),'Festive dates'!$A$2:$J$5,3,FALSE),1,0)</f>
        <v>0</v>
      </c>
      <c r="U151" s="9">
        <f>IF($A151=VLOOKUP(YEAR($A151),'Festive dates'!$A$2:$J$5,4,FALSE),1,0)</f>
        <v>0</v>
      </c>
      <c r="V151" s="9">
        <f>IF(AND($A151&gt;=VLOOKUP(YEAR($A151),'Festive dates'!$A$2:$J$5,9,FALSE),$A151&lt;=VLOOKUP(YEAR($A151),'Festive dates'!$A$2:$J$5,10,FALSE)),1,0)</f>
        <v>0</v>
      </c>
      <c r="W151" s="9">
        <f>IF($A151=VLOOKUP(YEAR($A151),'Festive dates'!$A$2:$J$5,7,FALSE),1,0)</f>
        <v>0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>
      <c r="A152" s="8">
        <v>45167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f>MAX(-20,MIN(10,$A152-VLOOKUP(YEAR($A152),'Festive dates'!$A$2:$J$5,8,FALSE)))</f>
        <v>-20</v>
      </c>
      <c r="R152" s="9">
        <f>IF(AND($A152&gt;VLOOKUP(YEAR($A152),'Festive dates'!$A$2:$J$5,2,FALSE),$A152&lt;VLOOKUP(YEAR($A152),'Festive dates'!$A$2:$J$5,3,FALSE)),1,0)</f>
        <v>0</v>
      </c>
      <c r="S152" s="9">
        <f>IF($A152=VLOOKUP(YEAR($A152),'Festive dates'!$A$2:$J$5,2,FALSE),1,0)</f>
        <v>0</v>
      </c>
      <c r="T152" s="9">
        <f>IF($A152=VLOOKUP(YEAR($A152),'Festive dates'!$A$2:$J$5,3,FALSE),1,0)</f>
        <v>0</v>
      </c>
      <c r="U152" s="9">
        <f>IF($A152=VLOOKUP(YEAR($A152),'Festive dates'!$A$2:$J$5,4,FALSE),1,0)</f>
        <v>0</v>
      </c>
      <c r="V152" s="9">
        <f>IF(AND($A152&gt;=VLOOKUP(YEAR($A152),'Festive dates'!$A$2:$J$5,9,FALSE),$A152&lt;=VLOOKUP(YEAR($A152),'Festive dates'!$A$2:$J$5,10,FALSE)),1,0)</f>
        <v>0</v>
      </c>
      <c r="W152" s="9">
        <f>IF($A152=VLOOKUP(YEAR($A152),'Festive dates'!$A$2:$J$5,7,FALSE),1,0)</f>
        <v>0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>
      <c r="A153" s="8">
        <v>45168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1</v>
      </c>
      <c r="P153" s="9">
        <v>0</v>
      </c>
      <c r="Q153" s="9">
        <f>MAX(-20,MIN(10,$A153-VLOOKUP(YEAR($A153),'Festive dates'!$A$2:$J$5,8,FALSE)))</f>
        <v>-20</v>
      </c>
      <c r="R153" s="9">
        <f>IF(AND($A153&gt;VLOOKUP(YEAR($A153),'Festive dates'!$A$2:$J$5,2,FALSE),$A153&lt;VLOOKUP(YEAR($A153),'Festive dates'!$A$2:$J$5,3,FALSE)),1,0)</f>
        <v>0</v>
      </c>
      <c r="S153" s="9">
        <f>IF($A153=VLOOKUP(YEAR($A153),'Festive dates'!$A$2:$J$5,2,FALSE),1,0)</f>
        <v>0</v>
      </c>
      <c r="T153" s="9">
        <f>IF($A153=VLOOKUP(YEAR($A153),'Festive dates'!$A$2:$J$5,3,FALSE),1,0)</f>
        <v>0</v>
      </c>
      <c r="U153" s="9">
        <f>IF($A153=VLOOKUP(YEAR($A153),'Festive dates'!$A$2:$J$5,4,FALSE),1,0)</f>
        <v>0</v>
      </c>
      <c r="V153" s="9">
        <f>IF(AND($A153&gt;=VLOOKUP(YEAR($A153),'Festive dates'!$A$2:$J$5,9,FALSE),$A153&lt;=VLOOKUP(YEAR($A153),'Festive dates'!$A$2:$J$5,10,FALSE)),1,0)</f>
        <v>0</v>
      </c>
      <c r="W153" s="9">
        <f>IF($A153=VLOOKUP(YEAR($A153),'Festive dates'!$A$2:$J$5,7,FALSE),1,0)</f>
        <v>0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>
      <c r="A154" s="8">
        <v>45169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f>MAX(-20,MIN(10,$A154-VLOOKUP(YEAR($A154),'Festive dates'!$A$2:$J$5,8,FALSE)))</f>
        <v>-20</v>
      </c>
      <c r="R154" s="9">
        <f>IF(AND($A154&gt;VLOOKUP(YEAR($A154),'Festive dates'!$A$2:$J$5,2,FALSE),$A154&lt;VLOOKUP(YEAR($A154),'Festive dates'!$A$2:$J$5,3,FALSE)),1,0)</f>
        <v>0</v>
      </c>
      <c r="S154" s="9">
        <f>IF($A154=VLOOKUP(YEAR($A154),'Festive dates'!$A$2:$J$5,2,FALSE),1,0)</f>
        <v>0</v>
      </c>
      <c r="T154" s="9">
        <f>IF($A154=VLOOKUP(YEAR($A154),'Festive dates'!$A$2:$J$5,3,FALSE),1,0)</f>
        <v>0</v>
      </c>
      <c r="U154" s="9">
        <f>IF($A154=VLOOKUP(YEAR($A154),'Festive dates'!$A$2:$J$5,4,FALSE),1,0)</f>
        <v>0</v>
      </c>
      <c r="V154" s="9">
        <f>IF(AND($A154&gt;=VLOOKUP(YEAR($A154),'Festive dates'!$A$2:$J$5,9,FALSE),$A154&lt;=VLOOKUP(YEAR($A154),'Festive dates'!$A$2:$J$5,10,FALSE)),1,0)</f>
        <v>0</v>
      </c>
      <c r="W154" s="9">
        <f>IF($A154=VLOOKUP(YEAR($A154),'Festive dates'!$A$2:$J$5,7,FALSE),1,0)</f>
        <v>0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>
      <c r="A155" s="8">
        <v>45170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f>MAX(-20,MIN(10,$A155-VLOOKUP(YEAR($A155),'Festive dates'!$A$2:$J$5,8,FALSE)))</f>
        <v>-20</v>
      </c>
      <c r="R155" s="9">
        <f>IF(AND($A155&gt;VLOOKUP(YEAR($A155),'Festive dates'!$A$2:$J$5,2,FALSE),$A155&lt;VLOOKUP(YEAR($A155),'Festive dates'!$A$2:$J$5,3,FALSE)),1,0)</f>
        <v>0</v>
      </c>
      <c r="S155" s="9">
        <f>IF($A155=VLOOKUP(YEAR($A155),'Festive dates'!$A$2:$J$5,2,FALSE),1,0)</f>
        <v>0</v>
      </c>
      <c r="T155" s="9">
        <f>IF($A155=VLOOKUP(YEAR($A155),'Festive dates'!$A$2:$J$5,3,FALSE),1,0)</f>
        <v>0</v>
      </c>
      <c r="U155" s="9">
        <f>IF($A155=VLOOKUP(YEAR($A155),'Festive dates'!$A$2:$J$5,4,FALSE),1,0)</f>
        <v>0</v>
      </c>
      <c r="V155" s="9">
        <f>IF(AND($A155&gt;=VLOOKUP(YEAR($A155),'Festive dates'!$A$2:$J$5,9,FALSE),$A155&lt;=VLOOKUP(YEAR($A155),'Festive dates'!$A$2:$J$5,10,FALSE)),1,0)</f>
        <v>0</v>
      </c>
      <c r="W155" s="9">
        <f>IF($A155=VLOOKUP(YEAR($A155),'Festive dates'!$A$2:$J$5,7,FALSE),1,0)</f>
        <v>0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>
      <c r="A156" s="8">
        <v>45171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f>MAX(-20,MIN(10,$A156-VLOOKUP(YEAR($A156),'Festive dates'!$A$2:$J$5,8,FALSE)))</f>
        <v>-20</v>
      </c>
      <c r="R156" s="9">
        <f>IF(AND($A156&gt;VLOOKUP(YEAR($A156),'Festive dates'!$A$2:$J$5,2,FALSE),$A156&lt;VLOOKUP(YEAR($A156),'Festive dates'!$A$2:$J$5,3,FALSE)),1,0)</f>
        <v>0</v>
      </c>
      <c r="S156" s="9">
        <f>IF($A156=VLOOKUP(YEAR($A156),'Festive dates'!$A$2:$J$5,2,FALSE),1,0)</f>
        <v>0</v>
      </c>
      <c r="T156" s="9">
        <f>IF($A156=VLOOKUP(YEAR($A156),'Festive dates'!$A$2:$J$5,3,FALSE),1,0)</f>
        <v>0</v>
      </c>
      <c r="U156" s="9">
        <f>IF($A156=VLOOKUP(YEAR($A156),'Festive dates'!$A$2:$J$5,4,FALSE),1,0)</f>
        <v>0</v>
      </c>
      <c r="V156" s="9">
        <f>IF(AND($A156&gt;=VLOOKUP(YEAR($A156),'Festive dates'!$A$2:$J$5,9,FALSE),$A156&lt;=VLOOKUP(YEAR($A156),'Festive dates'!$A$2:$J$5,10,FALSE)),1,0)</f>
        <v>0</v>
      </c>
      <c r="W156" s="9">
        <f>IF($A156=VLOOKUP(YEAR($A156),'Festive dates'!$A$2:$J$5,7,FALSE),1,0)</f>
        <v>0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>
      <c r="A157" s="8">
        <v>45172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f>MAX(-20,MIN(10,$A157-VLOOKUP(YEAR($A157),'Festive dates'!$A$2:$J$5,8,FALSE)))</f>
        <v>-20</v>
      </c>
      <c r="R157" s="9">
        <f>IF(AND($A157&gt;VLOOKUP(YEAR($A157),'Festive dates'!$A$2:$J$5,2,FALSE),$A157&lt;VLOOKUP(YEAR($A157),'Festive dates'!$A$2:$J$5,3,FALSE)),1,0)</f>
        <v>0</v>
      </c>
      <c r="S157" s="9">
        <f>IF($A157=VLOOKUP(YEAR($A157),'Festive dates'!$A$2:$J$5,2,FALSE),1,0)</f>
        <v>0</v>
      </c>
      <c r="T157" s="9">
        <f>IF($A157=VLOOKUP(YEAR($A157),'Festive dates'!$A$2:$J$5,3,FALSE),1,0)</f>
        <v>0</v>
      </c>
      <c r="U157" s="9">
        <f>IF($A157=VLOOKUP(YEAR($A157),'Festive dates'!$A$2:$J$5,4,FALSE),1,0)</f>
        <v>0</v>
      </c>
      <c r="V157" s="9">
        <f>IF(AND($A157&gt;=VLOOKUP(YEAR($A157),'Festive dates'!$A$2:$J$5,9,FALSE),$A157&lt;=VLOOKUP(YEAR($A157),'Festive dates'!$A$2:$J$5,10,FALSE)),1,0)</f>
        <v>0</v>
      </c>
      <c r="W157" s="9">
        <f>IF($A157=VLOOKUP(YEAR($A157),'Festive dates'!$A$2:$J$5,7,FALSE),1,0)</f>
        <v>0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>
      <c r="A158" s="8">
        <v>45173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f>MAX(-20,MIN(10,$A158-VLOOKUP(YEAR($A158),'Festive dates'!$A$2:$J$5,8,FALSE)))</f>
        <v>-20</v>
      </c>
      <c r="R158" s="9">
        <f>IF(AND($A158&gt;VLOOKUP(YEAR($A158),'Festive dates'!$A$2:$J$5,2,FALSE),$A158&lt;VLOOKUP(YEAR($A158),'Festive dates'!$A$2:$J$5,3,FALSE)),1,0)</f>
        <v>0</v>
      </c>
      <c r="S158" s="9">
        <f>IF($A158=VLOOKUP(YEAR($A158),'Festive dates'!$A$2:$J$5,2,FALSE),1,0)</f>
        <v>0</v>
      </c>
      <c r="T158" s="9">
        <f>IF($A158=VLOOKUP(YEAR($A158),'Festive dates'!$A$2:$J$5,3,FALSE),1,0)</f>
        <v>0</v>
      </c>
      <c r="U158" s="9">
        <f>IF($A158=VLOOKUP(YEAR($A158),'Festive dates'!$A$2:$J$5,4,FALSE),1,0)</f>
        <v>0</v>
      </c>
      <c r="V158" s="9">
        <f>IF(AND($A158&gt;=VLOOKUP(YEAR($A158),'Festive dates'!$A$2:$J$5,9,FALSE),$A158&lt;=VLOOKUP(YEAR($A158),'Festive dates'!$A$2:$J$5,10,FALSE)),1,0)</f>
        <v>0</v>
      </c>
      <c r="W158" s="9">
        <f>IF($A158=VLOOKUP(YEAR($A158),'Festive dates'!$A$2:$J$5,7,FALSE),1,0)</f>
        <v>0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>
      <c r="A159" s="8">
        <v>45174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f>MAX(-20,MIN(10,$A159-VLOOKUP(YEAR($A159),'Festive dates'!$A$2:$J$5,8,FALSE)))</f>
        <v>-20</v>
      </c>
      <c r="R159" s="9">
        <f>IF(AND($A159&gt;VLOOKUP(YEAR($A159),'Festive dates'!$A$2:$J$5,2,FALSE),$A159&lt;VLOOKUP(YEAR($A159),'Festive dates'!$A$2:$J$5,3,FALSE)),1,0)</f>
        <v>0</v>
      </c>
      <c r="S159" s="9">
        <f>IF($A159=VLOOKUP(YEAR($A159),'Festive dates'!$A$2:$J$5,2,FALSE),1,0)</f>
        <v>0</v>
      </c>
      <c r="T159" s="9">
        <f>IF($A159=VLOOKUP(YEAR($A159),'Festive dates'!$A$2:$J$5,3,FALSE),1,0)</f>
        <v>0</v>
      </c>
      <c r="U159" s="9">
        <f>IF($A159=VLOOKUP(YEAR($A159),'Festive dates'!$A$2:$J$5,4,FALSE),1,0)</f>
        <v>0</v>
      </c>
      <c r="V159" s="9">
        <f>IF(AND($A159&gt;=VLOOKUP(YEAR($A159),'Festive dates'!$A$2:$J$5,9,FALSE),$A159&lt;=VLOOKUP(YEAR($A159),'Festive dates'!$A$2:$J$5,10,FALSE)),1,0)</f>
        <v>0</v>
      </c>
      <c r="W159" s="9">
        <f>IF($A159=VLOOKUP(YEAR($A159),'Festive dates'!$A$2:$J$5,7,FALSE),1,0)</f>
        <v>0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>
      <c r="A160" s="8">
        <v>45175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f>MAX(-20,MIN(10,$A160-VLOOKUP(YEAR($A160),'Festive dates'!$A$2:$J$5,8,FALSE)))</f>
        <v>-20</v>
      </c>
      <c r="R160" s="9">
        <f>IF(AND($A160&gt;VLOOKUP(YEAR($A160),'Festive dates'!$A$2:$J$5,2,FALSE),$A160&lt;VLOOKUP(YEAR($A160),'Festive dates'!$A$2:$J$5,3,FALSE)),1,0)</f>
        <v>0</v>
      </c>
      <c r="S160" s="9">
        <f>IF($A160=VLOOKUP(YEAR($A160),'Festive dates'!$A$2:$J$5,2,FALSE),1,0)</f>
        <v>0</v>
      </c>
      <c r="T160" s="9">
        <f>IF($A160=VLOOKUP(YEAR($A160),'Festive dates'!$A$2:$J$5,3,FALSE),1,0)</f>
        <v>0</v>
      </c>
      <c r="U160" s="9">
        <f>IF($A160=VLOOKUP(YEAR($A160),'Festive dates'!$A$2:$J$5,4,FALSE),1,0)</f>
        <v>0</v>
      </c>
      <c r="V160" s="9">
        <f>IF(AND($A160&gt;=VLOOKUP(YEAR($A160),'Festive dates'!$A$2:$J$5,9,FALSE),$A160&lt;=VLOOKUP(YEAR($A160),'Festive dates'!$A$2:$J$5,10,FALSE)),1,0)</f>
        <v>0</v>
      </c>
      <c r="W160" s="9">
        <f>IF($A160=VLOOKUP(YEAR($A160),'Festive dates'!$A$2:$J$5,7,FALSE),1,0)</f>
        <v>0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>
      <c r="A161" s="8">
        <v>45176</v>
      </c>
      <c r="B161" s="9">
        <v>0</v>
      </c>
      <c r="C161" s="9">
        <v>0</v>
      </c>
      <c r="D161" s="9">
        <v>1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f>MAX(-20,MIN(10,$A161-VLOOKUP(YEAR($A161),'Festive dates'!$A$2:$J$5,8,FALSE)))</f>
        <v>-20</v>
      </c>
      <c r="R161" s="9">
        <f>IF(AND($A161&gt;VLOOKUP(YEAR($A161),'Festive dates'!$A$2:$J$5,2,FALSE),$A161&lt;VLOOKUP(YEAR($A161),'Festive dates'!$A$2:$J$5,3,FALSE)),1,0)</f>
        <v>0</v>
      </c>
      <c r="S161" s="9">
        <f>IF($A161=VLOOKUP(YEAR($A161),'Festive dates'!$A$2:$J$5,2,FALSE),1,0)</f>
        <v>0</v>
      </c>
      <c r="T161" s="9">
        <f>IF($A161=VLOOKUP(YEAR($A161),'Festive dates'!$A$2:$J$5,3,FALSE),1,0)</f>
        <v>0</v>
      </c>
      <c r="U161" s="9">
        <f>IF($A161=VLOOKUP(YEAR($A161),'Festive dates'!$A$2:$J$5,4,FALSE),1,0)</f>
        <v>0</v>
      </c>
      <c r="V161" s="9">
        <f>IF(AND($A161&gt;=VLOOKUP(YEAR($A161),'Festive dates'!$A$2:$J$5,9,FALSE),$A161&lt;=VLOOKUP(YEAR($A161),'Festive dates'!$A$2:$J$5,10,FALSE)),1,0)</f>
        <v>0</v>
      </c>
      <c r="W161" s="9">
        <f>IF($A161=VLOOKUP(YEAR($A161),'Festive dates'!$A$2:$J$5,7,FALSE),1,0)</f>
        <v>0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>
      <c r="A162" s="8">
        <v>45177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f>MAX(-20,MIN(10,$A162-VLOOKUP(YEAR($A162),'Festive dates'!$A$2:$J$5,8,FALSE)))</f>
        <v>-20</v>
      </c>
      <c r="R162" s="9">
        <f>IF(AND($A162&gt;VLOOKUP(YEAR($A162),'Festive dates'!$A$2:$J$5,2,FALSE),$A162&lt;VLOOKUP(YEAR($A162),'Festive dates'!$A$2:$J$5,3,FALSE)),1,0)</f>
        <v>0</v>
      </c>
      <c r="S162" s="9">
        <f>IF($A162=VLOOKUP(YEAR($A162),'Festive dates'!$A$2:$J$5,2,FALSE),1,0)</f>
        <v>0</v>
      </c>
      <c r="T162" s="9">
        <f>IF($A162=VLOOKUP(YEAR($A162),'Festive dates'!$A$2:$J$5,3,FALSE),1,0)</f>
        <v>0</v>
      </c>
      <c r="U162" s="9">
        <f>IF($A162=VLOOKUP(YEAR($A162),'Festive dates'!$A$2:$J$5,4,FALSE),1,0)</f>
        <v>0</v>
      </c>
      <c r="V162" s="9">
        <f>IF(AND($A162&gt;=VLOOKUP(YEAR($A162),'Festive dates'!$A$2:$J$5,9,FALSE),$A162&lt;=VLOOKUP(YEAR($A162),'Festive dates'!$A$2:$J$5,10,FALSE)),1,0)</f>
        <v>0</v>
      </c>
      <c r="W162" s="9">
        <f>IF($A162=VLOOKUP(YEAR($A162),'Festive dates'!$A$2:$J$5,7,FALSE),1,0)</f>
        <v>0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>
      <c r="A163" s="8">
        <v>45178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f>MAX(-20,MIN(10,$A163-VLOOKUP(YEAR($A163),'Festive dates'!$A$2:$J$5,8,FALSE)))</f>
        <v>-20</v>
      </c>
      <c r="R163" s="9">
        <f>IF(AND($A163&gt;VLOOKUP(YEAR($A163),'Festive dates'!$A$2:$J$5,2,FALSE),$A163&lt;VLOOKUP(YEAR($A163),'Festive dates'!$A$2:$J$5,3,FALSE)),1,0)</f>
        <v>0</v>
      </c>
      <c r="S163" s="9">
        <f>IF($A163=VLOOKUP(YEAR($A163),'Festive dates'!$A$2:$J$5,2,FALSE),1,0)</f>
        <v>0</v>
      </c>
      <c r="T163" s="9">
        <f>IF($A163=VLOOKUP(YEAR($A163),'Festive dates'!$A$2:$J$5,3,FALSE),1,0)</f>
        <v>0</v>
      </c>
      <c r="U163" s="9">
        <f>IF($A163=VLOOKUP(YEAR($A163),'Festive dates'!$A$2:$J$5,4,FALSE),1,0)</f>
        <v>0</v>
      </c>
      <c r="V163" s="9">
        <f>IF(AND($A163&gt;=VLOOKUP(YEAR($A163),'Festive dates'!$A$2:$J$5,9,FALSE),$A163&lt;=VLOOKUP(YEAR($A163),'Festive dates'!$A$2:$J$5,10,FALSE)),1,0)</f>
        <v>0</v>
      </c>
      <c r="W163" s="9">
        <f>IF($A163=VLOOKUP(YEAR($A163),'Festive dates'!$A$2:$J$5,7,FALSE),1,0)</f>
        <v>0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>
      <c r="A164" s="8">
        <v>45179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f>MAX(-20,MIN(10,$A164-VLOOKUP(YEAR($A164),'Festive dates'!$A$2:$J$5,8,FALSE)))</f>
        <v>-20</v>
      </c>
      <c r="R164" s="9">
        <f>IF(AND($A164&gt;VLOOKUP(YEAR($A164),'Festive dates'!$A$2:$J$5,2,FALSE),$A164&lt;VLOOKUP(YEAR($A164),'Festive dates'!$A$2:$J$5,3,FALSE)),1,0)</f>
        <v>0</v>
      </c>
      <c r="S164" s="9">
        <f>IF($A164=VLOOKUP(YEAR($A164),'Festive dates'!$A$2:$J$5,2,FALSE),1,0)</f>
        <v>0</v>
      </c>
      <c r="T164" s="9">
        <f>IF($A164=VLOOKUP(YEAR($A164),'Festive dates'!$A$2:$J$5,3,FALSE),1,0)</f>
        <v>0</v>
      </c>
      <c r="U164" s="9">
        <f>IF($A164=VLOOKUP(YEAR($A164),'Festive dates'!$A$2:$J$5,4,FALSE),1,0)</f>
        <v>0</v>
      </c>
      <c r="V164" s="9">
        <f>IF(AND($A164&gt;=VLOOKUP(YEAR($A164),'Festive dates'!$A$2:$J$5,9,FALSE),$A164&lt;=VLOOKUP(YEAR($A164),'Festive dates'!$A$2:$J$5,10,FALSE)),1,0)</f>
        <v>0</v>
      </c>
      <c r="W164" s="9">
        <f>IF($A164=VLOOKUP(YEAR($A164),'Festive dates'!$A$2:$J$5,7,FALSE),1,0)</f>
        <v>0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>
      <c r="A165" s="8">
        <v>45180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f>MAX(-20,MIN(10,$A165-VLOOKUP(YEAR($A165),'Festive dates'!$A$2:$J$5,8,FALSE)))</f>
        <v>-20</v>
      </c>
      <c r="R165" s="9">
        <f>IF(AND($A165&gt;VLOOKUP(YEAR($A165),'Festive dates'!$A$2:$J$5,2,FALSE),$A165&lt;VLOOKUP(YEAR($A165),'Festive dates'!$A$2:$J$5,3,FALSE)),1,0)</f>
        <v>0</v>
      </c>
      <c r="S165" s="9">
        <f>IF($A165=VLOOKUP(YEAR($A165),'Festive dates'!$A$2:$J$5,2,FALSE),1,0)</f>
        <v>0</v>
      </c>
      <c r="T165" s="9">
        <f>IF($A165=VLOOKUP(YEAR($A165),'Festive dates'!$A$2:$J$5,3,FALSE),1,0)</f>
        <v>0</v>
      </c>
      <c r="U165" s="9">
        <f>IF($A165=VLOOKUP(YEAR($A165),'Festive dates'!$A$2:$J$5,4,FALSE),1,0)</f>
        <v>0</v>
      </c>
      <c r="V165" s="9">
        <f>IF(AND($A165&gt;=VLOOKUP(YEAR($A165),'Festive dates'!$A$2:$J$5,9,FALSE),$A165&lt;=VLOOKUP(YEAR($A165),'Festive dates'!$A$2:$J$5,10,FALSE)),1,0)</f>
        <v>0</v>
      </c>
      <c r="W165" s="9">
        <f>IF($A165=VLOOKUP(YEAR($A165),'Festive dates'!$A$2:$J$5,7,FALSE),1,0)</f>
        <v>0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>
      <c r="A166" s="8">
        <v>45181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f>MAX(-20,MIN(10,$A166-VLOOKUP(YEAR($A166),'Festive dates'!$A$2:$J$5,8,FALSE)))</f>
        <v>-20</v>
      </c>
      <c r="R166" s="9">
        <f>IF(AND($A166&gt;VLOOKUP(YEAR($A166),'Festive dates'!$A$2:$J$5,2,FALSE),$A166&lt;VLOOKUP(YEAR($A166),'Festive dates'!$A$2:$J$5,3,FALSE)),1,0)</f>
        <v>0</v>
      </c>
      <c r="S166" s="9">
        <f>IF($A166=VLOOKUP(YEAR($A166),'Festive dates'!$A$2:$J$5,2,FALSE),1,0)</f>
        <v>0</v>
      </c>
      <c r="T166" s="9">
        <f>IF($A166=VLOOKUP(YEAR($A166),'Festive dates'!$A$2:$J$5,3,FALSE),1,0)</f>
        <v>0</v>
      </c>
      <c r="U166" s="9">
        <f>IF($A166=VLOOKUP(YEAR($A166),'Festive dates'!$A$2:$J$5,4,FALSE),1,0)</f>
        <v>0</v>
      </c>
      <c r="V166" s="9">
        <f>IF(AND($A166&gt;=VLOOKUP(YEAR($A166),'Festive dates'!$A$2:$J$5,9,FALSE),$A166&lt;=VLOOKUP(YEAR($A166),'Festive dates'!$A$2:$J$5,10,FALSE)),1,0)</f>
        <v>0</v>
      </c>
      <c r="W166" s="9">
        <f>IF($A166=VLOOKUP(YEAR($A166),'Festive dates'!$A$2:$J$5,7,FALSE),1,0)</f>
        <v>0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>
      <c r="A167" s="8">
        <v>45182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f>MAX(-20,MIN(10,$A167-VLOOKUP(YEAR($A167),'Festive dates'!$A$2:$J$5,8,FALSE)))</f>
        <v>-20</v>
      </c>
      <c r="R167" s="9">
        <f>IF(AND($A167&gt;VLOOKUP(YEAR($A167),'Festive dates'!$A$2:$J$5,2,FALSE),$A167&lt;VLOOKUP(YEAR($A167),'Festive dates'!$A$2:$J$5,3,FALSE)),1,0)</f>
        <v>0</v>
      </c>
      <c r="S167" s="9">
        <f>IF($A167=VLOOKUP(YEAR($A167),'Festive dates'!$A$2:$J$5,2,FALSE),1,0)</f>
        <v>0</v>
      </c>
      <c r="T167" s="9">
        <f>IF($A167=VLOOKUP(YEAR($A167),'Festive dates'!$A$2:$J$5,3,FALSE),1,0)</f>
        <v>0</v>
      </c>
      <c r="U167" s="9">
        <f>IF($A167=VLOOKUP(YEAR($A167),'Festive dates'!$A$2:$J$5,4,FALSE),1,0)</f>
        <v>0</v>
      </c>
      <c r="V167" s="9">
        <f>IF(AND($A167&gt;=VLOOKUP(YEAR($A167),'Festive dates'!$A$2:$J$5,9,FALSE),$A167&lt;=VLOOKUP(YEAR($A167),'Festive dates'!$A$2:$J$5,10,FALSE)),1,0)</f>
        <v>0</v>
      </c>
      <c r="W167" s="9">
        <f>IF($A167=VLOOKUP(YEAR($A167),'Festive dates'!$A$2:$J$5,7,FALSE),1,0)</f>
        <v>0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>
      <c r="A168" s="8">
        <v>45183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f>MAX(-20,MIN(10,$A168-VLOOKUP(YEAR($A168),'Festive dates'!$A$2:$J$5,8,FALSE)))</f>
        <v>-20</v>
      </c>
      <c r="R168" s="9">
        <f>IF(AND($A168&gt;VLOOKUP(YEAR($A168),'Festive dates'!$A$2:$J$5,2,FALSE),$A168&lt;VLOOKUP(YEAR($A168),'Festive dates'!$A$2:$J$5,3,FALSE)),1,0)</f>
        <v>0</v>
      </c>
      <c r="S168" s="9">
        <f>IF($A168=VLOOKUP(YEAR($A168),'Festive dates'!$A$2:$J$5,2,FALSE),1,0)</f>
        <v>0</v>
      </c>
      <c r="T168" s="9">
        <f>IF($A168=VLOOKUP(YEAR($A168),'Festive dates'!$A$2:$J$5,3,FALSE),1,0)</f>
        <v>0</v>
      </c>
      <c r="U168" s="9">
        <f>IF($A168=VLOOKUP(YEAR($A168),'Festive dates'!$A$2:$J$5,4,FALSE),1,0)</f>
        <v>0</v>
      </c>
      <c r="V168" s="9">
        <f>IF(AND($A168&gt;=VLOOKUP(YEAR($A168),'Festive dates'!$A$2:$J$5,9,FALSE),$A168&lt;=VLOOKUP(YEAR($A168),'Festive dates'!$A$2:$J$5,10,FALSE)),1,0)</f>
        <v>0</v>
      </c>
      <c r="W168" s="9">
        <f>IF($A168=VLOOKUP(YEAR($A168),'Festive dates'!$A$2:$J$5,7,FALSE),1,0)</f>
        <v>0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>
      <c r="A169" s="8">
        <v>45184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f>MAX(-20,MIN(10,$A169-VLOOKUP(YEAR($A169),'Festive dates'!$A$2:$J$5,8,FALSE)))</f>
        <v>-20</v>
      </c>
      <c r="R169" s="9">
        <f>IF(AND($A169&gt;VLOOKUP(YEAR($A169),'Festive dates'!$A$2:$J$5,2,FALSE),$A169&lt;VLOOKUP(YEAR($A169),'Festive dates'!$A$2:$J$5,3,FALSE)),1,0)</f>
        <v>0</v>
      </c>
      <c r="S169" s="9">
        <f>IF($A169=VLOOKUP(YEAR($A169),'Festive dates'!$A$2:$J$5,2,FALSE),1,0)</f>
        <v>0</v>
      </c>
      <c r="T169" s="9">
        <f>IF($A169=VLOOKUP(YEAR($A169),'Festive dates'!$A$2:$J$5,3,FALSE),1,0)</f>
        <v>0</v>
      </c>
      <c r="U169" s="9">
        <f>IF($A169=VLOOKUP(YEAR($A169),'Festive dates'!$A$2:$J$5,4,FALSE),1,0)</f>
        <v>0</v>
      </c>
      <c r="V169" s="9">
        <f>IF(AND($A169&gt;=VLOOKUP(YEAR($A169),'Festive dates'!$A$2:$J$5,9,FALSE),$A169&lt;=VLOOKUP(YEAR($A169),'Festive dates'!$A$2:$J$5,10,FALSE)),1,0)</f>
        <v>0</v>
      </c>
      <c r="W169" s="9">
        <f>IF($A169=VLOOKUP(YEAR($A169),'Festive dates'!$A$2:$J$5,7,FALSE),1,0)</f>
        <v>0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>
      <c r="A170" s="8">
        <v>45185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f>MAX(-20,MIN(10,$A170-VLOOKUP(YEAR($A170),'Festive dates'!$A$2:$J$5,8,FALSE)))</f>
        <v>-20</v>
      </c>
      <c r="R170" s="9">
        <f>IF(AND($A170&gt;VLOOKUP(YEAR($A170),'Festive dates'!$A$2:$J$5,2,FALSE),$A170&lt;VLOOKUP(YEAR($A170),'Festive dates'!$A$2:$J$5,3,FALSE)),1,0)</f>
        <v>0</v>
      </c>
      <c r="S170" s="9">
        <f>IF($A170=VLOOKUP(YEAR($A170),'Festive dates'!$A$2:$J$5,2,FALSE),1,0)</f>
        <v>0</v>
      </c>
      <c r="T170" s="9">
        <f>IF($A170=VLOOKUP(YEAR($A170),'Festive dates'!$A$2:$J$5,3,FALSE),1,0)</f>
        <v>0</v>
      </c>
      <c r="U170" s="9">
        <f>IF($A170=VLOOKUP(YEAR($A170),'Festive dates'!$A$2:$J$5,4,FALSE),1,0)</f>
        <v>0</v>
      </c>
      <c r="V170" s="9">
        <f>IF(AND($A170&gt;=VLOOKUP(YEAR($A170),'Festive dates'!$A$2:$J$5,9,FALSE),$A170&lt;=VLOOKUP(YEAR($A170),'Festive dates'!$A$2:$J$5,10,FALSE)),1,0)</f>
        <v>0</v>
      </c>
      <c r="W170" s="9">
        <f>IF($A170=VLOOKUP(YEAR($A170),'Festive dates'!$A$2:$J$5,7,FALSE),1,0)</f>
        <v>0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>
      <c r="A171" s="8">
        <v>45186</v>
      </c>
      <c r="B171" s="9">
        <v>0</v>
      </c>
      <c r="C171" s="9">
        <v>0</v>
      </c>
      <c r="D171" s="9">
        <v>0</v>
      </c>
      <c r="E171" s="9">
        <v>1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f>MAX(-20,MIN(10,$A171-VLOOKUP(YEAR($A171),'Festive dates'!$A$2:$J$5,8,FALSE)))</f>
        <v>-20</v>
      </c>
      <c r="R171" s="9">
        <f>IF(AND($A171&gt;VLOOKUP(YEAR($A171),'Festive dates'!$A$2:$J$5,2,FALSE),$A171&lt;VLOOKUP(YEAR($A171),'Festive dates'!$A$2:$J$5,3,FALSE)),1,0)</f>
        <v>0</v>
      </c>
      <c r="S171" s="9">
        <f>IF($A171=VLOOKUP(YEAR($A171),'Festive dates'!$A$2:$J$5,2,FALSE),1,0)</f>
        <v>0</v>
      </c>
      <c r="T171" s="9">
        <f>IF($A171=VLOOKUP(YEAR($A171),'Festive dates'!$A$2:$J$5,3,FALSE),1,0)</f>
        <v>0</v>
      </c>
      <c r="U171" s="9">
        <f>IF($A171=VLOOKUP(YEAR($A171),'Festive dates'!$A$2:$J$5,4,FALSE),1,0)</f>
        <v>0</v>
      </c>
      <c r="V171" s="9">
        <f>IF(AND($A171&gt;=VLOOKUP(YEAR($A171),'Festive dates'!$A$2:$J$5,9,FALSE),$A171&lt;=VLOOKUP(YEAR($A171),'Festive dates'!$A$2:$J$5,10,FALSE)),1,0)</f>
        <v>0</v>
      </c>
      <c r="W171" s="9">
        <f>IF($A171=VLOOKUP(YEAR($A171),'Festive dates'!$A$2:$J$5,7,FALSE),1,0)</f>
        <v>0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>
      <c r="A172" s="8">
        <v>45187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f>MAX(-20,MIN(10,$A172-VLOOKUP(YEAR($A172),'Festive dates'!$A$2:$J$5,8,FALSE)))</f>
        <v>-20</v>
      </c>
      <c r="R172" s="9">
        <f>IF(AND($A172&gt;VLOOKUP(YEAR($A172),'Festive dates'!$A$2:$J$5,2,FALSE),$A172&lt;VLOOKUP(YEAR($A172),'Festive dates'!$A$2:$J$5,3,FALSE)),1,0)</f>
        <v>0</v>
      </c>
      <c r="S172" s="9">
        <f>IF($A172=VLOOKUP(YEAR($A172),'Festive dates'!$A$2:$J$5,2,FALSE),1,0)</f>
        <v>0</v>
      </c>
      <c r="T172" s="9">
        <f>IF($A172=VLOOKUP(YEAR($A172),'Festive dates'!$A$2:$J$5,3,FALSE),1,0)</f>
        <v>0</v>
      </c>
      <c r="U172" s="9">
        <f>IF($A172=VLOOKUP(YEAR($A172),'Festive dates'!$A$2:$J$5,4,FALSE),1,0)</f>
        <v>0</v>
      </c>
      <c r="V172" s="9">
        <f>IF(AND($A172&gt;=VLOOKUP(YEAR($A172),'Festive dates'!$A$2:$J$5,9,FALSE),$A172&lt;=VLOOKUP(YEAR($A172),'Festive dates'!$A$2:$J$5,10,FALSE)),1,0)</f>
        <v>0</v>
      </c>
      <c r="W172" s="9">
        <f>IF($A172=VLOOKUP(YEAR($A172),'Festive dates'!$A$2:$J$5,7,FALSE),1,0)</f>
        <v>0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>
      <c r="A173" s="8">
        <v>45188</v>
      </c>
      <c r="B173" s="9">
        <v>0</v>
      </c>
      <c r="C173" s="9">
        <v>1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f>MAX(-20,MIN(10,$A173-VLOOKUP(YEAR($A173),'Festive dates'!$A$2:$J$5,8,FALSE)))</f>
        <v>-20</v>
      </c>
      <c r="R173" s="9">
        <f>IF(AND($A173&gt;VLOOKUP(YEAR($A173),'Festive dates'!$A$2:$J$5,2,FALSE),$A173&lt;VLOOKUP(YEAR($A173),'Festive dates'!$A$2:$J$5,3,FALSE)),1,0)</f>
        <v>0</v>
      </c>
      <c r="S173" s="9">
        <f>IF($A173=VLOOKUP(YEAR($A173),'Festive dates'!$A$2:$J$5,2,FALSE),1,0)</f>
        <v>0</v>
      </c>
      <c r="T173" s="9">
        <f>IF($A173=VLOOKUP(YEAR($A173),'Festive dates'!$A$2:$J$5,3,FALSE),1,0)</f>
        <v>0</v>
      </c>
      <c r="U173" s="9">
        <f>IF($A173=VLOOKUP(YEAR($A173),'Festive dates'!$A$2:$J$5,4,FALSE),1,0)</f>
        <v>0</v>
      </c>
      <c r="V173" s="9">
        <f>IF(AND($A173&gt;=VLOOKUP(YEAR($A173),'Festive dates'!$A$2:$J$5,9,FALSE),$A173&lt;=VLOOKUP(YEAR($A173),'Festive dates'!$A$2:$J$5,10,FALSE)),1,0)</f>
        <v>0</v>
      </c>
      <c r="W173" s="9">
        <f>IF($A173=VLOOKUP(YEAR($A173),'Festive dates'!$A$2:$J$5,7,FALSE),1,0)</f>
        <v>0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>
      <c r="A174" s="8">
        <v>45189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f>MAX(-20,MIN(10,$A174-VLOOKUP(YEAR($A174),'Festive dates'!$A$2:$J$5,8,FALSE)))</f>
        <v>-20</v>
      </c>
      <c r="R174" s="9">
        <f>IF(AND($A174&gt;VLOOKUP(YEAR($A174),'Festive dates'!$A$2:$J$5,2,FALSE),$A174&lt;VLOOKUP(YEAR($A174),'Festive dates'!$A$2:$J$5,3,FALSE)),1,0)</f>
        <v>0</v>
      </c>
      <c r="S174" s="9">
        <f>IF($A174=VLOOKUP(YEAR($A174),'Festive dates'!$A$2:$J$5,2,FALSE),1,0)</f>
        <v>0</v>
      </c>
      <c r="T174" s="9">
        <f>IF($A174=VLOOKUP(YEAR($A174),'Festive dates'!$A$2:$J$5,3,FALSE),1,0)</f>
        <v>0</v>
      </c>
      <c r="U174" s="9">
        <f>IF($A174=VLOOKUP(YEAR($A174),'Festive dates'!$A$2:$J$5,4,FALSE),1,0)</f>
        <v>0</v>
      </c>
      <c r="V174" s="9">
        <f>IF(AND($A174&gt;=VLOOKUP(YEAR($A174),'Festive dates'!$A$2:$J$5,9,FALSE),$A174&lt;=VLOOKUP(YEAR($A174),'Festive dates'!$A$2:$J$5,10,FALSE)),1,0)</f>
        <v>0</v>
      </c>
      <c r="W174" s="9">
        <f>IF($A174=VLOOKUP(YEAR($A174),'Festive dates'!$A$2:$J$5,7,FALSE),1,0)</f>
        <v>0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>
      <c r="A175" s="8">
        <v>45190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f>MAX(-20,MIN(10,$A175-VLOOKUP(YEAR($A175),'Festive dates'!$A$2:$J$5,8,FALSE)))</f>
        <v>-20</v>
      </c>
      <c r="R175" s="9">
        <f>IF(AND($A175&gt;VLOOKUP(YEAR($A175),'Festive dates'!$A$2:$J$5,2,FALSE),$A175&lt;VLOOKUP(YEAR($A175),'Festive dates'!$A$2:$J$5,3,FALSE)),1,0)</f>
        <v>0</v>
      </c>
      <c r="S175" s="9">
        <f>IF($A175=VLOOKUP(YEAR($A175),'Festive dates'!$A$2:$J$5,2,FALSE),1,0)</f>
        <v>0</v>
      </c>
      <c r="T175" s="9">
        <f>IF($A175=VLOOKUP(YEAR($A175),'Festive dates'!$A$2:$J$5,3,FALSE),1,0)</f>
        <v>0</v>
      </c>
      <c r="U175" s="9">
        <f>IF($A175=VLOOKUP(YEAR($A175),'Festive dates'!$A$2:$J$5,4,FALSE),1,0)</f>
        <v>0</v>
      </c>
      <c r="V175" s="9">
        <f>IF(AND($A175&gt;=VLOOKUP(YEAR($A175),'Festive dates'!$A$2:$J$5,9,FALSE),$A175&lt;=VLOOKUP(YEAR($A175),'Festive dates'!$A$2:$J$5,10,FALSE)),1,0)</f>
        <v>0</v>
      </c>
      <c r="W175" s="9">
        <f>IF($A175=VLOOKUP(YEAR($A175),'Festive dates'!$A$2:$J$5,7,FALSE),1,0)</f>
        <v>0</v>
      </c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>
      <c r="A176" s="8">
        <v>45191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f>MAX(-20,MIN(10,$A176-VLOOKUP(YEAR($A176),'Festive dates'!$A$2:$J$5,8,FALSE)))</f>
        <v>-20</v>
      </c>
      <c r="R176" s="9">
        <f>IF(AND($A176&gt;VLOOKUP(YEAR($A176),'Festive dates'!$A$2:$J$5,2,FALSE),$A176&lt;VLOOKUP(YEAR($A176),'Festive dates'!$A$2:$J$5,3,FALSE)),1,0)</f>
        <v>0</v>
      </c>
      <c r="S176" s="9">
        <f>IF($A176=VLOOKUP(YEAR($A176),'Festive dates'!$A$2:$J$5,2,FALSE),1,0)</f>
        <v>0</v>
      </c>
      <c r="T176" s="9">
        <f>IF($A176=VLOOKUP(YEAR($A176),'Festive dates'!$A$2:$J$5,3,FALSE),1,0)</f>
        <v>0</v>
      </c>
      <c r="U176" s="9">
        <f>IF($A176=VLOOKUP(YEAR($A176),'Festive dates'!$A$2:$J$5,4,FALSE),1,0)</f>
        <v>0</v>
      </c>
      <c r="V176" s="9">
        <f>IF(AND($A176&gt;=VLOOKUP(YEAR($A176),'Festive dates'!$A$2:$J$5,9,FALSE),$A176&lt;=VLOOKUP(YEAR($A176),'Festive dates'!$A$2:$J$5,10,FALSE)),1,0)</f>
        <v>0</v>
      </c>
      <c r="W176" s="9">
        <f>IF($A176=VLOOKUP(YEAR($A176),'Festive dates'!$A$2:$J$5,7,FALSE),1,0)</f>
        <v>0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>
      <c r="A177" s="8">
        <v>45192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f>MAX(-20,MIN(10,$A177-VLOOKUP(YEAR($A177),'Festive dates'!$A$2:$J$5,8,FALSE)))</f>
        <v>-20</v>
      </c>
      <c r="R177" s="9">
        <f>IF(AND($A177&gt;VLOOKUP(YEAR($A177),'Festive dates'!$A$2:$J$5,2,FALSE),$A177&lt;VLOOKUP(YEAR($A177),'Festive dates'!$A$2:$J$5,3,FALSE)),1,0)</f>
        <v>0</v>
      </c>
      <c r="S177" s="9">
        <f>IF($A177=VLOOKUP(YEAR($A177),'Festive dates'!$A$2:$J$5,2,FALSE),1,0)</f>
        <v>0</v>
      </c>
      <c r="T177" s="9">
        <f>IF($A177=VLOOKUP(YEAR($A177),'Festive dates'!$A$2:$J$5,3,FALSE),1,0)</f>
        <v>0</v>
      </c>
      <c r="U177" s="9">
        <f>IF($A177=VLOOKUP(YEAR($A177),'Festive dates'!$A$2:$J$5,4,FALSE),1,0)</f>
        <v>0</v>
      </c>
      <c r="V177" s="9">
        <f>IF(AND($A177&gt;=VLOOKUP(YEAR($A177),'Festive dates'!$A$2:$J$5,9,FALSE),$A177&lt;=VLOOKUP(YEAR($A177),'Festive dates'!$A$2:$J$5,10,FALSE)),1,0)</f>
        <v>0</v>
      </c>
      <c r="W177" s="9">
        <f>IF($A177=VLOOKUP(YEAR($A177),'Festive dates'!$A$2:$J$5,7,FALSE),1,0)</f>
        <v>0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>
      <c r="A178" s="8">
        <v>45193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f>MAX(-20,MIN(10,$A178-VLOOKUP(YEAR($A178),'Festive dates'!$A$2:$J$5,8,FALSE)))</f>
        <v>-20</v>
      </c>
      <c r="R178" s="9">
        <f>IF(AND($A178&gt;VLOOKUP(YEAR($A178),'Festive dates'!$A$2:$J$5,2,FALSE),$A178&lt;VLOOKUP(YEAR($A178),'Festive dates'!$A$2:$J$5,3,FALSE)),1,0)</f>
        <v>0</v>
      </c>
      <c r="S178" s="9">
        <f>IF($A178=VLOOKUP(YEAR($A178),'Festive dates'!$A$2:$J$5,2,FALSE),1,0)</f>
        <v>0</v>
      </c>
      <c r="T178" s="9">
        <f>IF($A178=VLOOKUP(YEAR($A178),'Festive dates'!$A$2:$J$5,3,FALSE),1,0)</f>
        <v>0</v>
      </c>
      <c r="U178" s="9">
        <f>IF($A178=VLOOKUP(YEAR($A178),'Festive dates'!$A$2:$J$5,4,FALSE),1,0)</f>
        <v>0</v>
      </c>
      <c r="V178" s="9">
        <f>IF(AND($A178&gt;=VLOOKUP(YEAR($A178),'Festive dates'!$A$2:$J$5,9,FALSE),$A178&lt;=VLOOKUP(YEAR($A178),'Festive dates'!$A$2:$J$5,10,FALSE)),1,0)</f>
        <v>0</v>
      </c>
      <c r="W178" s="9">
        <f>IF($A178=VLOOKUP(YEAR($A178),'Festive dates'!$A$2:$J$5,7,FALSE),1,0)</f>
        <v>0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>
      <c r="A179" s="8">
        <v>45194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f>MAX(-20,MIN(10,$A179-VLOOKUP(YEAR($A179),'Festive dates'!$A$2:$J$5,8,FALSE)))</f>
        <v>-20</v>
      </c>
      <c r="R179" s="9">
        <f>IF(AND($A179&gt;VLOOKUP(YEAR($A179),'Festive dates'!$A$2:$J$5,2,FALSE),$A179&lt;VLOOKUP(YEAR($A179),'Festive dates'!$A$2:$J$5,3,FALSE)),1,0)</f>
        <v>0</v>
      </c>
      <c r="S179" s="9">
        <f>IF($A179=VLOOKUP(YEAR($A179),'Festive dates'!$A$2:$J$5,2,FALSE),1,0)</f>
        <v>0</v>
      </c>
      <c r="T179" s="9">
        <f>IF($A179=VLOOKUP(YEAR($A179),'Festive dates'!$A$2:$J$5,3,FALSE),1,0)</f>
        <v>0</v>
      </c>
      <c r="U179" s="9">
        <f>IF($A179=VLOOKUP(YEAR($A179),'Festive dates'!$A$2:$J$5,4,FALSE),1,0)</f>
        <v>0</v>
      </c>
      <c r="V179" s="9">
        <f>IF(AND($A179&gt;=VLOOKUP(YEAR($A179),'Festive dates'!$A$2:$J$5,9,FALSE),$A179&lt;=VLOOKUP(YEAR($A179),'Festive dates'!$A$2:$J$5,10,FALSE)),1,0)</f>
        <v>0</v>
      </c>
      <c r="W179" s="9">
        <f>IF($A179=VLOOKUP(YEAR($A179),'Festive dates'!$A$2:$J$5,7,FALSE),1,0)</f>
        <v>0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>
      <c r="A180" s="8">
        <v>45195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f>MAX(-20,MIN(10,$A180-VLOOKUP(YEAR($A180),'Festive dates'!$A$2:$J$5,8,FALSE)))</f>
        <v>-20</v>
      </c>
      <c r="R180" s="9">
        <f>IF(AND($A180&gt;VLOOKUP(YEAR($A180),'Festive dates'!$A$2:$J$5,2,FALSE),$A180&lt;VLOOKUP(YEAR($A180),'Festive dates'!$A$2:$J$5,3,FALSE)),1,0)</f>
        <v>0</v>
      </c>
      <c r="S180" s="9">
        <f>IF($A180=VLOOKUP(YEAR($A180),'Festive dates'!$A$2:$J$5,2,FALSE),1,0)</f>
        <v>0</v>
      </c>
      <c r="T180" s="9">
        <f>IF($A180=VLOOKUP(YEAR($A180),'Festive dates'!$A$2:$J$5,3,FALSE),1,0)</f>
        <v>0</v>
      </c>
      <c r="U180" s="9">
        <f>IF($A180=VLOOKUP(YEAR($A180),'Festive dates'!$A$2:$J$5,4,FALSE),1,0)</f>
        <v>0</v>
      </c>
      <c r="V180" s="9">
        <f>IF(AND($A180&gt;=VLOOKUP(YEAR($A180),'Festive dates'!$A$2:$J$5,9,FALSE),$A180&lt;=VLOOKUP(YEAR($A180),'Festive dates'!$A$2:$J$5,10,FALSE)),1,0)</f>
        <v>0</v>
      </c>
      <c r="W180" s="9">
        <f>IF($A180=VLOOKUP(YEAR($A180),'Festive dates'!$A$2:$J$5,7,FALSE),1,0)</f>
        <v>0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>
      <c r="A181" s="8">
        <v>45196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f>MAX(-20,MIN(10,$A181-VLOOKUP(YEAR($A181),'Festive dates'!$A$2:$J$5,8,FALSE)))</f>
        <v>-20</v>
      </c>
      <c r="R181" s="9">
        <f>IF(AND($A181&gt;VLOOKUP(YEAR($A181),'Festive dates'!$A$2:$J$5,2,FALSE),$A181&lt;VLOOKUP(YEAR($A181),'Festive dates'!$A$2:$J$5,3,FALSE)),1,0)</f>
        <v>0</v>
      </c>
      <c r="S181" s="9">
        <f>IF($A181=VLOOKUP(YEAR($A181),'Festive dates'!$A$2:$J$5,2,FALSE),1,0)</f>
        <v>0</v>
      </c>
      <c r="T181" s="9">
        <f>IF($A181=VLOOKUP(YEAR($A181),'Festive dates'!$A$2:$J$5,3,FALSE),1,0)</f>
        <v>0</v>
      </c>
      <c r="U181" s="9">
        <f>IF($A181=VLOOKUP(YEAR($A181),'Festive dates'!$A$2:$J$5,4,FALSE),1,0)</f>
        <v>0</v>
      </c>
      <c r="V181" s="9">
        <f>IF(AND($A181&gt;=VLOOKUP(YEAR($A181),'Festive dates'!$A$2:$J$5,9,FALSE),$A181&lt;=VLOOKUP(YEAR($A181),'Festive dates'!$A$2:$J$5,10,FALSE)),1,0)</f>
        <v>0</v>
      </c>
      <c r="W181" s="9">
        <f>IF($A181=VLOOKUP(YEAR($A181),'Festive dates'!$A$2:$J$5,7,FALSE),1,0)</f>
        <v>0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>
      <c r="A182" s="8">
        <v>45197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f>MAX(-20,MIN(10,$A182-VLOOKUP(YEAR($A182),'Festive dates'!$A$2:$J$5,8,FALSE)))</f>
        <v>-20</v>
      </c>
      <c r="R182" s="9">
        <f>IF(AND($A182&gt;VLOOKUP(YEAR($A182),'Festive dates'!$A$2:$J$5,2,FALSE),$A182&lt;VLOOKUP(YEAR($A182),'Festive dates'!$A$2:$J$5,3,FALSE)),1,0)</f>
        <v>0</v>
      </c>
      <c r="S182" s="9">
        <f>IF($A182=VLOOKUP(YEAR($A182),'Festive dates'!$A$2:$J$5,2,FALSE),1,0)</f>
        <v>0</v>
      </c>
      <c r="T182" s="9">
        <f>IF($A182=VLOOKUP(YEAR($A182),'Festive dates'!$A$2:$J$5,3,FALSE),1,0)</f>
        <v>0</v>
      </c>
      <c r="U182" s="9">
        <f>IF($A182=VLOOKUP(YEAR($A182),'Festive dates'!$A$2:$J$5,4,FALSE),1,0)</f>
        <v>0</v>
      </c>
      <c r="V182" s="9">
        <f>IF(AND($A182&gt;=VLOOKUP(YEAR($A182),'Festive dates'!$A$2:$J$5,9,FALSE),$A182&lt;=VLOOKUP(YEAR($A182),'Festive dates'!$A$2:$J$5,10,FALSE)),1,0)</f>
        <v>0</v>
      </c>
      <c r="W182" s="9">
        <f>IF($A182=VLOOKUP(YEAR($A182),'Festive dates'!$A$2:$J$5,7,FALSE),1,0)</f>
        <v>0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>
      <c r="A183" s="8">
        <v>45198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f>MAX(-20,MIN(10,$A183-VLOOKUP(YEAR($A183),'Festive dates'!$A$2:$J$5,8,FALSE)))</f>
        <v>-20</v>
      </c>
      <c r="R183" s="9">
        <f>IF(AND($A183&gt;VLOOKUP(YEAR($A183),'Festive dates'!$A$2:$J$5,2,FALSE),$A183&lt;VLOOKUP(YEAR($A183),'Festive dates'!$A$2:$J$5,3,FALSE)),1,0)</f>
        <v>0</v>
      </c>
      <c r="S183" s="9">
        <f>IF($A183=VLOOKUP(YEAR($A183),'Festive dates'!$A$2:$J$5,2,FALSE),1,0)</f>
        <v>0</v>
      </c>
      <c r="T183" s="9">
        <f>IF($A183=VLOOKUP(YEAR($A183),'Festive dates'!$A$2:$J$5,3,FALSE),1,0)</f>
        <v>0</v>
      </c>
      <c r="U183" s="9">
        <f>IF($A183=VLOOKUP(YEAR($A183),'Festive dates'!$A$2:$J$5,4,FALSE),1,0)</f>
        <v>0</v>
      </c>
      <c r="V183" s="9">
        <f>IF(AND($A183&gt;=VLOOKUP(YEAR($A183),'Festive dates'!$A$2:$J$5,9,FALSE),$A183&lt;=VLOOKUP(YEAR($A183),'Festive dates'!$A$2:$J$5,10,FALSE)),1,0)</f>
        <v>1</v>
      </c>
      <c r="W183" s="9">
        <f>IF($A183=VLOOKUP(YEAR($A183),'Festive dates'!$A$2:$J$5,7,FALSE),1,0)</f>
        <v>0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>
      <c r="A184" s="8">
        <v>45199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f>MAX(-20,MIN(10,$A184-VLOOKUP(YEAR($A184),'Festive dates'!$A$2:$J$5,8,FALSE)))</f>
        <v>-20</v>
      </c>
      <c r="R184" s="9">
        <f>IF(AND($A184&gt;VLOOKUP(YEAR($A184),'Festive dates'!$A$2:$J$5,2,FALSE),$A184&lt;VLOOKUP(YEAR($A184),'Festive dates'!$A$2:$J$5,3,FALSE)),1,0)</f>
        <v>0</v>
      </c>
      <c r="S184" s="9">
        <f>IF($A184=VLOOKUP(YEAR($A184),'Festive dates'!$A$2:$J$5,2,FALSE),1,0)</f>
        <v>0</v>
      </c>
      <c r="T184" s="9">
        <f>IF($A184=VLOOKUP(YEAR($A184),'Festive dates'!$A$2:$J$5,3,FALSE),1,0)</f>
        <v>0</v>
      </c>
      <c r="U184" s="9">
        <f>IF($A184=VLOOKUP(YEAR($A184),'Festive dates'!$A$2:$J$5,4,FALSE),1,0)</f>
        <v>0</v>
      </c>
      <c r="V184" s="9">
        <f>IF(AND($A184&gt;=VLOOKUP(YEAR($A184),'Festive dates'!$A$2:$J$5,9,FALSE),$A184&lt;=VLOOKUP(YEAR($A184),'Festive dates'!$A$2:$J$5,10,FALSE)),1,0)</f>
        <v>1</v>
      </c>
      <c r="W184" s="9">
        <f>IF($A184=VLOOKUP(YEAR($A184),'Festive dates'!$A$2:$J$5,7,FALSE),1,0)</f>
        <v>0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>
      <c r="A185" s="8">
        <v>45200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f>MAX(-20,MIN(10,$A185-VLOOKUP(YEAR($A185),'Festive dates'!$A$2:$J$5,8,FALSE)))</f>
        <v>-20</v>
      </c>
      <c r="R185" s="9">
        <f>IF(AND($A185&gt;VLOOKUP(YEAR($A185),'Festive dates'!$A$2:$J$5,2,FALSE),$A185&lt;VLOOKUP(YEAR($A185),'Festive dates'!$A$2:$J$5,3,FALSE)),1,0)</f>
        <v>0</v>
      </c>
      <c r="S185" s="9">
        <f>IF($A185=VLOOKUP(YEAR($A185),'Festive dates'!$A$2:$J$5,2,FALSE),1,0)</f>
        <v>0</v>
      </c>
      <c r="T185" s="9">
        <f>IF($A185=VLOOKUP(YEAR($A185),'Festive dates'!$A$2:$J$5,3,FALSE),1,0)</f>
        <v>0</v>
      </c>
      <c r="U185" s="9">
        <f>IF($A185=VLOOKUP(YEAR($A185),'Festive dates'!$A$2:$J$5,4,FALSE),1,0)</f>
        <v>0</v>
      </c>
      <c r="V185" s="9">
        <f>IF(AND($A185&gt;=VLOOKUP(YEAR($A185),'Festive dates'!$A$2:$J$5,9,FALSE),$A185&lt;=VLOOKUP(YEAR($A185),'Festive dates'!$A$2:$J$5,10,FALSE)),1,0)</f>
        <v>1</v>
      </c>
      <c r="W185" s="9">
        <f>IF($A185=VLOOKUP(YEAR($A185),'Festive dates'!$A$2:$J$5,7,FALSE),1,0)</f>
        <v>0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>
      <c r="A186" s="8">
        <v>45201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f>MAX(-20,MIN(10,$A186-VLOOKUP(YEAR($A186),'Festive dates'!$A$2:$J$5,8,FALSE)))</f>
        <v>-20</v>
      </c>
      <c r="R186" s="9">
        <f>IF(AND($A186&gt;VLOOKUP(YEAR($A186),'Festive dates'!$A$2:$J$5,2,FALSE),$A186&lt;VLOOKUP(YEAR($A186),'Festive dates'!$A$2:$J$5,3,FALSE)),1,0)</f>
        <v>0</v>
      </c>
      <c r="S186" s="9">
        <f>IF($A186=VLOOKUP(YEAR($A186),'Festive dates'!$A$2:$J$5,2,FALSE),1,0)</f>
        <v>0</v>
      </c>
      <c r="T186" s="9">
        <f>IF($A186=VLOOKUP(YEAR($A186),'Festive dates'!$A$2:$J$5,3,FALSE),1,0)</f>
        <v>0</v>
      </c>
      <c r="U186" s="9">
        <f>IF($A186=VLOOKUP(YEAR($A186),'Festive dates'!$A$2:$J$5,4,FALSE),1,0)</f>
        <v>0</v>
      </c>
      <c r="V186" s="9">
        <f>IF(AND($A186&gt;=VLOOKUP(YEAR($A186),'Festive dates'!$A$2:$J$5,9,FALSE),$A186&lt;=VLOOKUP(YEAR($A186),'Festive dates'!$A$2:$J$5,10,FALSE)),1,0)</f>
        <v>1</v>
      </c>
      <c r="W186" s="9">
        <f>IF($A186=VLOOKUP(YEAR($A186),'Festive dates'!$A$2:$J$5,7,FALSE),1,0)</f>
        <v>0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>
      <c r="A187" s="8">
        <v>45202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f>MAX(-20,MIN(10,$A187-VLOOKUP(YEAR($A187),'Festive dates'!$A$2:$J$5,8,FALSE)))</f>
        <v>-20</v>
      </c>
      <c r="R187" s="9">
        <f>IF(AND($A187&gt;VLOOKUP(YEAR($A187),'Festive dates'!$A$2:$J$5,2,FALSE),$A187&lt;VLOOKUP(YEAR($A187),'Festive dates'!$A$2:$J$5,3,FALSE)),1,0)</f>
        <v>0</v>
      </c>
      <c r="S187" s="9">
        <f>IF($A187=VLOOKUP(YEAR($A187),'Festive dates'!$A$2:$J$5,2,FALSE),1,0)</f>
        <v>0</v>
      </c>
      <c r="T187" s="9">
        <f>IF($A187=VLOOKUP(YEAR($A187),'Festive dates'!$A$2:$J$5,3,FALSE),1,0)</f>
        <v>0</v>
      </c>
      <c r="U187" s="9">
        <f>IF($A187=VLOOKUP(YEAR($A187),'Festive dates'!$A$2:$J$5,4,FALSE),1,0)</f>
        <v>0</v>
      </c>
      <c r="V187" s="9">
        <f>IF(AND($A187&gt;=VLOOKUP(YEAR($A187),'Festive dates'!$A$2:$J$5,9,FALSE),$A187&lt;=VLOOKUP(YEAR($A187),'Festive dates'!$A$2:$J$5,10,FALSE)),1,0)</f>
        <v>1</v>
      </c>
      <c r="W187" s="9">
        <f>IF($A187=VLOOKUP(YEAR($A187),'Festive dates'!$A$2:$J$5,7,FALSE),1,0)</f>
        <v>0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>
      <c r="A188" s="8">
        <v>45203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f>MAX(-20,MIN(10,$A188-VLOOKUP(YEAR($A188),'Festive dates'!$A$2:$J$5,8,FALSE)))</f>
        <v>-20</v>
      </c>
      <c r="R188" s="9">
        <f>IF(AND($A188&gt;VLOOKUP(YEAR($A188),'Festive dates'!$A$2:$J$5,2,FALSE),$A188&lt;VLOOKUP(YEAR($A188),'Festive dates'!$A$2:$J$5,3,FALSE)),1,0)</f>
        <v>0</v>
      </c>
      <c r="S188" s="9">
        <f>IF($A188=VLOOKUP(YEAR($A188),'Festive dates'!$A$2:$J$5,2,FALSE),1,0)</f>
        <v>0</v>
      </c>
      <c r="T188" s="9">
        <f>IF($A188=VLOOKUP(YEAR($A188),'Festive dates'!$A$2:$J$5,3,FALSE),1,0)</f>
        <v>0</v>
      </c>
      <c r="U188" s="9">
        <f>IF($A188=VLOOKUP(YEAR($A188),'Festive dates'!$A$2:$J$5,4,FALSE),1,0)</f>
        <v>0</v>
      </c>
      <c r="V188" s="9">
        <f>IF(AND($A188&gt;=VLOOKUP(YEAR($A188),'Festive dates'!$A$2:$J$5,9,FALSE),$A188&lt;=VLOOKUP(YEAR($A188),'Festive dates'!$A$2:$J$5,10,FALSE)),1,0)</f>
        <v>1</v>
      </c>
      <c r="W188" s="9">
        <f>IF($A188=VLOOKUP(YEAR($A188),'Festive dates'!$A$2:$J$5,7,FALSE),1,0)</f>
        <v>0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>
      <c r="A189" s="8">
        <v>45204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f>MAX(-20,MIN(10,$A189-VLOOKUP(YEAR($A189),'Festive dates'!$A$2:$J$5,8,FALSE)))</f>
        <v>-20</v>
      </c>
      <c r="R189" s="9">
        <f>IF(AND($A189&gt;VLOOKUP(YEAR($A189),'Festive dates'!$A$2:$J$5,2,FALSE),$A189&lt;VLOOKUP(YEAR($A189),'Festive dates'!$A$2:$J$5,3,FALSE)),1,0)</f>
        <v>0</v>
      </c>
      <c r="S189" s="9">
        <f>IF($A189=VLOOKUP(YEAR($A189),'Festive dates'!$A$2:$J$5,2,FALSE),1,0)</f>
        <v>0</v>
      </c>
      <c r="T189" s="9">
        <f>IF($A189=VLOOKUP(YEAR($A189),'Festive dates'!$A$2:$J$5,3,FALSE),1,0)</f>
        <v>0</v>
      </c>
      <c r="U189" s="9">
        <f>IF($A189=VLOOKUP(YEAR($A189),'Festive dates'!$A$2:$J$5,4,FALSE),1,0)</f>
        <v>0</v>
      </c>
      <c r="V189" s="9">
        <f>IF(AND($A189&gt;=VLOOKUP(YEAR($A189),'Festive dates'!$A$2:$J$5,9,FALSE),$A189&lt;=VLOOKUP(YEAR($A189),'Festive dates'!$A$2:$J$5,10,FALSE)),1,0)</f>
        <v>1</v>
      </c>
      <c r="W189" s="9">
        <f>IF($A189=VLOOKUP(YEAR($A189),'Festive dates'!$A$2:$J$5,7,FALSE),1,0)</f>
        <v>0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>
      <c r="A190" s="8">
        <v>45205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f>MAX(-20,MIN(10,$A190-VLOOKUP(YEAR($A190),'Festive dates'!$A$2:$J$5,8,FALSE)))</f>
        <v>-20</v>
      </c>
      <c r="R190" s="9">
        <f>IF(AND($A190&gt;VLOOKUP(YEAR($A190),'Festive dates'!$A$2:$J$5,2,FALSE),$A190&lt;VLOOKUP(YEAR($A190),'Festive dates'!$A$2:$J$5,3,FALSE)),1,0)</f>
        <v>0</v>
      </c>
      <c r="S190" s="9">
        <f>IF($A190=VLOOKUP(YEAR($A190),'Festive dates'!$A$2:$J$5,2,FALSE),1,0)</f>
        <v>0</v>
      </c>
      <c r="T190" s="9">
        <f>IF($A190=VLOOKUP(YEAR($A190),'Festive dates'!$A$2:$J$5,3,FALSE),1,0)</f>
        <v>0</v>
      </c>
      <c r="U190" s="9">
        <f>IF($A190=VLOOKUP(YEAR($A190),'Festive dates'!$A$2:$J$5,4,FALSE),1,0)</f>
        <v>0</v>
      </c>
      <c r="V190" s="9">
        <f>IF(AND($A190&gt;=VLOOKUP(YEAR($A190),'Festive dates'!$A$2:$J$5,9,FALSE),$A190&lt;=VLOOKUP(YEAR($A190),'Festive dates'!$A$2:$J$5,10,FALSE)),1,0)</f>
        <v>1</v>
      </c>
      <c r="W190" s="9">
        <f>IF($A190=VLOOKUP(YEAR($A190),'Festive dates'!$A$2:$J$5,7,FALSE),1,0)</f>
        <v>0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>
      <c r="A191" s="8">
        <v>45206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f>MAX(-20,MIN(10,$A191-VLOOKUP(YEAR($A191),'Festive dates'!$A$2:$J$5,8,FALSE)))</f>
        <v>-20</v>
      </c>
      <c r="R191" s="9">
        <f>IF(AND($A191&gt;VLOOKUP(YEAR($A191),'Festive dates'!$A$2:$J$5,2,FALSE),$A191&lt;VLOOKUP(YEAR($A191),'Festive dates'!$A$2:$J$5,3,FALSE)),1,0)</f>
        <v>0</v>
      </c>
      <c r="S191" s="9">
        <f>IF($A191=VLOOKUP(YEAR($A191),'Festive dates'!$A$2:$J$5,2,FALSE),1,0)</f>
        <v>0</v>
      </c>
      <c r="T191" s="9">
        <f>IF($A191=VLOOKUP(YEAR($A191),'Festive dates'!$A$2:$J$5,3,FALSE),1,0)</f>
        <v>0</v>
      </c>
      <c r="U191" s="9">
        <f>IF($A191=VLOOKUP(YEAR($A191),'Festive dates'!$A$2:$J$5,4,FALSE),1,0)</f>
        <v>0</v>
      </c>
      <c r="V191" s="9">
        <f>IF(AND($A191&gt;=VLOOKUP(YEAR($A191),'Festive dates'!$A$2:$J$5,9,FALSE),$A191&lt;=VLOOKUP(YEAR($A191),'Festive dates'!$A$2:$J$5,10,FALSE)),1,0)</f>
        <v>1</v>
      </c>
      <c r="W191" s="9">
        <f>IF($A191=VLOOKUP(YEAR($A191),'Festive dates'!$A$2:$J$5,7,FALSE),1,0)</f>
        <v>0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>
      <c r="A192" s="8">
        <v>45207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f>MAX(-20,MIN(10,$A192-VLOOKUP(YEAR($A192),'Festive dates'!$A$2:$J$5,8,FALSE)))</f>
        <v>-20</v>
      </c>
      <c r="R192" s="9">
        <f>IF(AND($A192&gt;VLOOKUP(YEAR($A192),'Festive dates'!$A$2:$J$5,2,FALSE),$A192&lt;VLOOKUP(YEAR($A192),'Festive dates'!$A$2:$J$5,3,FALSE)),1,0)</f>
        <v>0</v>
      </c>
      <c r="S192" s="9">
        <f>IF($A192=VLOOKUP(YEAR($A192),'Festive dates'!$A$2:$J$5,2,FALSE),1,0)</f>
        <v>0</v>
      </c>
      <c r="T192" s="9">
        <f>IF($A192=VLOOKUP(YEAR($A192),'Festive dates'!$A$2:$J$5,3,FALSE),1,0)</f>
        <v>0</v>
      </c>
      <c r="U192" s="9">
        <f>IF($A192=VLOOKUP(YEAR($A192),'Festive dates'!$A$2:$J$5,4,FALSE),1,0)</f>
        <v>0</v>
      </c>
      <c r="V192" s="9">
        <f>IF(AND($A192&gt;=VLOOKUP(YEAR($A192),'Festive dates'!$A$2:$J$5,9,FALSE),$A192&lt;=VLOOKUP(YEAR($A192),'Festive dates'!$A$2:$J$5,10,FALSE)),1,0)</f>
        <v>1</v>
      </c>
      <c r="W192" s="9">
        <f>IF($A192=VLOOKUP(YEAR($A192),'Festive dates'!$A$2:$J$5,7,FALSE),1,0)</f>
        <v>0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>
      <c r="A193" s="8">
        <v>45208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f>MAX(-20,MIN(10,$A193-VLOOKUP(YEAR($A193),'Festive dates'!$A$2:$J$5,8,FALSE)))</f>
        <v>-20</v>
      </c>
      <c r="R193" s="9">
        <f>IF(AND($A193&gt;VLOOKUP(YEAR($A193),'Festive dates'!$A$2:$J$5,2,FALSE),$A193&lt;VLOOKUP(YEAR($A193),'Festive dates'!$A$2:$J$5,3,FALSE)),1,0)</f>
        <v>0</v>
      </c>
      <c r="S193" s="9">
        <f>IF($A193=VLOOKUP(YEAR($A193),'Festive dates'!$A$2:$J$5,2,FALSE),1,0)</f>
        <v>0</v>
      </c>
      <c r="T193" s="9">
        <f>IF($A193=VLOOKUP(YEAR($A193),'Festive dates'!$A$2:$J$5,3,FALSE),1,0)</f>
        <v>0</v>
      </c>
      <c r="U193" s="9">
        <f>IF($A193=VLOOKUP(YEAR($A193),'Festive dates'!$A$2:$J$5,4,FALSE),1,0)</f>
        <v>0</v>
      </c>
      <c r="V193" s="9">
        <f>IF(AND($A193&gt;=VLOOKUP(YEAR($A193),'Festive dates'!$A$2:$J$5,9,FALSE),$A193&lt;=VLOOKUP(YEAR($A193),'Festive dates'!$A$2:$J$5,10,FALSE)),1,0)</f>
        <v>1</v>
      </c>
      <c r="W193" s="9">
        <f>IF($A193=VLOOKUP(YEAR($A193),'Festive dates'!$A$2:$J$5,7,FALSE),1,0)</f>
        <v>0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>
      <c r="A194" s="8">
        <v>45209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f>MAX(-20,MIN(10,$A194-VLOOKUP(YEAR($A194),'Festive dates'!$A$2:$J$5,8,FALSE)))</f>
        <v>-20</v>
      </c>
      <c r="R194" s="9">
        <f>IF(AND($A194&gt;VLOOKUP(YEAR($A194),'Festive dates'!$A$2:$J$5,2,FALSE),$A194&lt;VLOOKUP(YEAR($A194),'Festive dates'!$A$2:$J$5,3,FALSE)),1,0)</f>
        <v>0</v>
      </c>
      <c r="S194" s="9">
        <f>IF($A194=VLOOKUP(YEAR($A194),'Festive dates'!$A$2:$J$5,2,FALSE),1,0)</f>
        <v>0</v>
      </c>
      <c r="T194" s="9">
        <f>IF($A194=VLOOKUP(YEAR($A194),'Festive dates'!$A$2:$J$5,3,FALSE),1,0)</f>
        <v>0</v>
      </c>
      <c r="U194" s="9">
        <f>IF($A194=VLOOKUP(YEAR($A194),'Festive dates'!$A$2:$J$5,4,FALSE),1,0)</f>
        <v>0</v>
      </c>
      <c r="V194" s="9">
        <f>IF(AND($A194&gt;=VLOOKUP(YEAR($A194),'Festive dates'!$A$2:$J$5,9,FALSE),$A194&lt;=VLOOKUP(YEAR($A194),'Festive dates'!$A$2:$J$5,10,FALSE)),1,0)</f>
        <v>1</v>
      </c>
      <c r="W194" s="9">
        <f>IF($A194=VLOOKUP(YEAR($A194),'Festive dates'!$A$2:$J$5,7,FALSE),1,0)</f>
        <v>0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>
      <c r="A195" s="8">
        <v>45210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f>MAX(-20,MIN(10,$A195-VLOOKUP(YEAR($A195),'Festive dates'!$A$2:$J$5,8,FALSE)))</f>
        <v>-20</v>
      </c>
      <c r="R195" s="9">
        <f>IF(AND($A195&gt;VLOOKUP(YEAR($A195),'Festive dates'!$A$2:$J$5,2,FALSE),$A195&lt;VLOOKUP(YEAR($A195),'Festive dates'!$A$2:$J$5,3,FALSE)),1,0)</f>
        <v>0</v>
      </c>
      <c r="S195" s="9">
        <f>IF($A195=VLOOKUP(YEAR($A195),'Festive dates'!$A$2:$J$5,2,FALSE),1,0)</f>
        <v>0</v>
      </c>
      <c r="T195" s="9">
        <f>IF($A195=VLOOKUP(YEAR($A195),'Festive dates'!$A$2:$J$5,3,FALSE),1,0)</f>
        <v>0</v>
      </c>
      <c r="U195" s="9">
        <f>IF($A195=VLOOKUP(YEAR($A195),'Festive dates'!$A$2:$J$5,4,FALSE),1,0)</f>
        <v>0</v>
      </c>
      <c r="V195" s="9">
        <f>IF(AND($A195&gt;=VLOOKUP(YEAR($A195),'Festive dates'!$A$2:$J$5,9,FALSE),$A195&lt;=VLOOKUP(YEAR($A195),'Festive dates'!$A$2:$J$5,10,FALSE)),1,0)</f>
        <v>1</v>
      </c>
      <c r="W195" s="9">
        <f>IF($A195=VLOOKUP(YEAR($A195),'Festive dates'!$A$2:$J$5,7,FALSE),1,0)</f>
        <v>0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>
      <c r="A196" s="8">
        <v>45211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f>MAX(-20,MIN(10,$A196-VLOOKUP(YEAR($A196),'Festive dates'!$A$2:$J$5,8,FALSE)))</f>
        <v>-20</v>
      </c>
      <c r="R196" s="9">
        <f>IF(AND($A196&gt;VLOOKUP(YEAR($A196),'Festive dates'!$A$2:$J$5,2,FALSE),$A196&lt;VLOOKUP(YEAR($A196),'Festive dates'!$A$2:$J$5,3,FALSE)),1,0)</f>
        <v>0</v>
      </c>
      <c r="S196" s="9">
        <f>IF($A196=VLOOKUP(YEAR($A196),'Festive dates'!$A$2:$J$5,2,FALSE),1,0)</f>
        <v>0</v>
      </c>
      <c r="T196" s="9">
        <f>IF($A196=VLOOKUP(YEAR($A196),'Festive dates'!$A$2:$J$5,3,FALSE),1,0)</f>
        <v>0</v>
      </c>
      <c r="U196" s="9">
        <f>IF($A196=VLOOKUP(YEAR($A196),'Festive dates'!$A$2:$J$5,4,FALSE),1,0)</f>
        <v>0</v>
      </c>
      <c r="V196" s="9">
        <f>IF(AND($A196&gt;=VLOOKUP(YEAR($A196),'Festive dates'!$A$2:$J$5,9,FALSE),$A196&lt;=VLOOKUP(YEAR($A196),'Festive dates'!$A$2:$J$5,10,FALSE)),1,0)</f>
        <v>1</v>
      </c>
      <c r="W196" s="9">
        <f>IF($A196=VLOOKUP(YEAR($A196),'Festive dates'!$A$2:$J$5,7,FALSE),1,0)</f>
        <v>0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>
      <c r="A197" s="8">
        <v>45212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f>MAX(-20,MIN(10,$A197-VLOOKUP(YEAR($A197),'Festive dates'!$A$2:$J$5,8,FALSE)))</f>
        <v>-20</v>
      </c>
      <c r="R197" s="9">
        <f>IF(AND($A197&gt;VLOOKUP(YEAR($A197),'Festive dates'!$A$2:$J$5,2,FALSE),$A197&lt;VLOOKUP(YEAR($A197),'Festive dates'!$A$2:$J$5,3,FALSE)),1,0)</f>
        <v>0</v>
      </c>
      <c r="S197" s="9">
        <f>IF($A197=VLOOKUP(YEAR($A197),'Festive dates'!$A$2:$J$5,2,FALSE),1,0)</f>
        <v>0</v>
      </c>
      <c r="T197" s="9">
        <f>IF($A197=VLOOKUP(YEAR($A197),'Festive dates'!$A$2:$J$5,3,FALSE),1,0)</f>
        <v>0</v>
      </c>
      <c r="U197" s="9">
        <f>IF($A197=VLOOKUP(YEAR($A197),'Festive dates'!$A$2:$J$5,4,FALSE),1,0)</f>
        <v>0</v>
      </c>
      <c r="V197" s="9">
        <f>IF(AND($A197&gt;=VLOOKUP(YEAR($A197),'Festive dates'!$A$2:$J$5,9,FALSE),$A197&lt;=VLOOKUP(YEAR($A197),'Festive dates'!$A$2:$J$5,10,FALSE)),1,0)</f>
        <v>1</v>
      </c>
      <c r="W197" s="9">
        <f>IF($A197=VLOOKUP(YEAR($A197),'Festive dates'!$A$2:$J$5,7,FALSE),1,0)</f>
        <v>0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>
      <c r="A198" s="8">
        <v>45213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f>MAX(-20,MIN(10,$A198-VLOOKUP(YEAR($A198),'Festive dates'!$A$2:$J$5,8,FALSE)))</f>
        <v>-20</v>
      </c>
      <c r="R198" s="9">
        <f>IF(AND($A198&gt;VLOOKUP(YEAR($A198),'Festive dates'!$A$2:$J$5,2,FALSE),$A198&lt;VLOOKUP(YEAR($A198),'Festive dates'!$A$2:$J$5,3,FALSE)),1,0)</f>
        <v>0</v>
      </c>
      <c r="S198" s="9">
        <f>IF($A198=VLOOKUP(YEAR($A198),'Festive dates'!$A$2:$J$5,2,FALSE),1,0)</f>
        <v>0</v>
      </c>
      <c r="T198" s="9">
        <f>IF($A198=VLOOKUP(YEAR($A198),'Festive dates'!$A$2:$J$5,3,FALSE),1,0)</f>
        <v>0</v>
      </c>
      <c r="U198" s="9">
        <f>IF($A198=VLOOKUP(YEAR($A198),'Festive dates'!$A$2:$J$5,4,FALSE),1,0)</f>
        <v>0</v>
      </c>
      <c r="V198" s="9">
        <f>IF(AND($A198&gt;=VLOOKUP(YEAR($A198),'Festive dates'!$A$2:$J$5,9,FALSE),$A198&lt;=VLOOKUP(YEAR($A198),'Festive dates'!$A$2:$J$5,10,FALSE)),1,0)</f>
        <v>1</v>
      </c>
      <c r="W198" s="9">
        <f>IF($A198=VLOOKUP(YEAR($A198),'Festive dates'!$A$2:$J$5,7,FALSE),1,0)</f>
        <v>0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>
      <c r="A199" s="8">
        <v>45214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f>MAX(-20,MIN(10,$A199-VLOOKUP(YEAR($A199),'Festive dates'!$A$2:$J$5,8,FALSE)))</f>
        <v>-20</v>
      </c>
      <c r="R199" s="9">
        <f>IF(AND($A199&gt;VLOOKUP(YEAR($A199),'Festive dates'!$A$2:$J$5,2,FALSE),$A199&lt;VLOOKUP(YEAR($A199),'Festive dates'!$A$2:$J$5,3,FALSE)),1,0)</f>
        <v>0</v>
      </c>
      <c r="S199" s="9">
        <f>IF($A199=VLOOKUP(YEAR($A199),'Festive dates'!$A$2:$J$5,2,FALSE),1,0)</f>
        <v>1</v>
      </c>
      <c r="T199" s="9">
        <f>IF($A199=VLOOKUP(YEAR($A199),'Festive dates'!$A$2:$J$5,3,FALSE),1,0)</f>
        <v>0</v>
      </c>
      <c r="U199" s="9">
        <f>IF($A199=VLOOKUP(YEAR($A199),'Festive dates'!$A$2:$J$5,4,FALSE),1,0)</f>
        <v>0</v>
      </c>
      <c r="V199" s="9">
        <f>IF(AND($A199&gt;=VLOOKUP(YEAR($A199),'Festive dates'!$A$2:$J$5,9,FALSE),$A199&lt;=VLOOKUP(YEAR($A199),'Festive dates'!$A$2:$J$5,10,FALSE)),1,0)</f>
        <v>0</v>
      </c>
      <c r="W199" s="9">
        <f>IF($A199=VLOOKUP(YEAR($A199),'Festive dates'!$A$2:$J$5,7,FALSE),1,0)</f>
        <v>0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>
      <c r="A200" s="8">
        <v>45215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f>MAX(-20,MIN(10,$A200-VLOOKUP(YEAR($A200),'Festive dates'!$A$2:$J$5,8,FALSE)))</f>
        <v>-20</v>
      </c>
      <c r="R200" s="9">
        <f>IF(AND($A200&gt;VLOOKUP(YEAR($A200),'Festive dates'!$A$2:$J$5,2,FALSE),$A200&lt;VLOOKUP(YEAR($A200),'Festive dates'!$A$2:$J$5,3,FALSE)),1,0)</f>
        <v>1</v>
      </c>
      <c r="S200" s="9">
        <f>IF($A200=VLOOKUP(YEAR($A200),'Festive dates'!$A$2:$J$5,2,FALSE),1,0)</f>
        <v>0</v>
      </c>
      <c r="T200" s="9">
        <f>IF($A200=VLOOKUP(YEAR($A200),'Festive dates'!$A$2:$J$5,3,FALSE),1,0)</f>
        <v>0</v>
      </c>
      <c r="U200" s="9">
        <f>IF($A200=VLOOKUP(YEAR($A200),'Festive dates'!$A$2:$J$5,4,FALSE),1,0)</f>
        <v>0</v>
      </c>
      <c r="V200" s="9">
        <f>IF(AND($A200&gt;=VLOOKUP(YEAR($A200),'Festive dates'!$A$2:$J$5,9,FALSE),$A200&lt;=VLOOKUP(YEAR($A200),'Festive dates'!$A$2:$J$5,10,FALSE)),1,0)</f>
        <v>0</v>
      </c>
      <c r="W200" s="9">
        <f>IF($A200=VLOOKUP(YEAR($A200),'Festive dates'!$A$2:$J$5,7,FALSE),1,0)</f>
        <v>0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>
      <c r="A201" s="8">
        <v>45216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f>MAX(-20,MIN(10,$A201-VLOOKUP(YEAR($A201),'Festive dates'!$A$2:$J$5,8,FALSE)))</f>
        <v>-20</v>
      </c>
      <c r="R201" s="9">
        <f>IF(AND($A201&gt;VLOOKUP(YEAR($A201),'Festive dates'!$A$2:$J$5,2,FALSE),$A201&lt;VLOOKUP(YEAR($A201),'Festive dates'!$A$2:$J$5,3,FALSE)),1,0)</f>
        <v>1</v>
      </c>
      <c r="S201" s="9">
        <f>IF($A201=VLOOKUP(YEAR($A201),'Festive dates'!$A$2:$J$5,2,FALSE),1,0)</f>
        <v>0</v>
      </c>
      <c r="T201" s="9">
        <f>IF($A201=VLOOKUP(YEAR($A201),'Festive dates'!$A$2:$J$5,3,FALSE),1,0)</f>
        <v>0</v>
      </c>
      <c r="U201" s="9">
        <f>IF($A201=VLOOKUP(YEAR($A201),'Festive dates'!$A$2:$J$5,4,FALSE),1,0)</f>
        <v>0</v>
      </c>
      <c r="V201" s="9">
        <f>IF(AND($A201&gt;=VLOOKUP(YEAR($A201),'Festive dates'!$A$2:$J$5,9,FALSE),$A201&lt;=VLOOKUP(YEAR($A201),'Festive dates'!$A$2:$J$5,10,FALSE)),1,0)</f>
        <v>0</v>
      </c>
      <c r="W201" s="9">
        <f>IF($A201=VLOOKUP(YEAR($A201),'Festive dates'!$A$2:$J$5,7,FALSE),1,0)</f>
        <v>0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>
      <c r="A202" s="8">
        <v>45217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f>MAX(-20,MIN(10,$A202-VLOOKUP(YEAR($A202),'Festive dates'!$A$2:$J$5,8,FALSE)))</f>
        <v>-20</v>
      </c>
      <c r="R202" s="9">
        <f>IF(AND($A202&gt;VLOOKUP(YEAR($A202),'Festive dates'!$A$2:$J$5,2,FALSE),$A202&lt;VLOOKUP(YEAR($A202),'Festive dates'!$A$2:$J$5,3,FALSE)),1,0)</f>
        <v>1</v>
      </c>
      <c r="S202" s="9">
        <f>IF($A202=VLOOKUP(YEAR($A202),'Festive dates'!$A$2:$J$5,2,FALSE),1,0)</f>
        <v>0</v>
      </c>
      <c r="T202" s="9">
        <f>IF($A202=VLOOKUP(YEAR($A202),'Festive dates'!$A$2:$J$5,3,FALSE),1,0)</f>
        <v>0</v>
      </c>
      <c r="U202" s="9">
        <f>IF($A202=VLOOKUP(YEAR($A202),'Festive dates'!$A$2:$J$5,4,FALSE),1,0)</f>
        <v>0</v>
      </c>
      <c r="V202" s="9">
        <f>IF(AND($A202&gt;=VLOOKUP(YEAR($A202),'Festive dates'!$A$2:$J$5,9,FALSE),$A202&lt;=VLOOKUP(YEAR($A202),'Festive dates'!$A$2:$J$5,10,FALSE)),1,0)</f>
        <v>0</v>
      </c>
      <c r="W202" s="9">
        <f>IF($A202=VLOOKUP(YEAR($A202),'Festive dates'!$A$2:$J$5,7,FALSE),1,0)</f>
        <v>0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>
      <c r="A203" s="8">
        <v>45218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f>MAX(-20,MIN(10,$A203-VLOOKUP(YEAR($A203),'Festive dates'!$A$2:$J$5,8,FALSE)))</f>
        <v>-20</v>
      </c>
      <c r="R203" s="9">
        <f>IF(AND($A203&gt;VLOOKUP(YEAR($A203),'Festive dates'!$A$2:$J$5,2,FALSE),$A203&lt;VLOOKUP(YEAR($A203),'Festive dates'!$A$2:$J$5,3,FALSE)),1,0)</f>
        <v>1</v>
      </c>
      <c r="S203" s="9">
        <f>IF($A203=VLOOKUP(YEAR($A203),'Festive dates'!$A$2:$J$5,2,FALSE),1,0)</f>
        <v>0</v>
      </c>
      <c r="T203" s="9">
        <f>IF($A203=VLOOKUP(YEAR($A203),'Festive dates'!$A$2:$J$5,3,FALSE),1,0)</f>
        <v>0</v>
      </c>
      <c r="U203" s="9">
        <f>IF($A203=VLOOKUP(YEAR($A203),'Festive dates'!$A$2:$J$5,4,FALSE),1,0)</f>
        <v>0</v>
      </c>
      <c r="V203" s="9">
        <f>IF(AND($A203&gt;=VLOOKUP(YEAR($A203),'Festive dates'!$A$2:$J$5,9,FALSE),$A203&lt;=VLOOKUP(YEAR($A203),'Festive dates'!$A$2:$J$5,10,FALSE)),1,0)</f>
        <v>0</v>
      </c>
      <c r="W203" s="9">
        <f>IF($A203=VLOOKUP(YEAR($A203),'Festive dates'!$A$2:$J$5,7,FALSE),1,0)</f>
        <v>0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>
      <c r="A204" s="8">
        <v>45219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f>MAX(-20,MIN(10,$A204-VLOOKUP(YEAR($A204),'Festive dates'!$A$2:$J$5,8,FALSE)))</f>
        <v>-20</v>
      </c>
      <c r="R204" s="9">
        <f>IF(AND($A204&gt;VLOOKUP(YEAR($A204),'Festive dates'!$A$2:$J$5,2,FALSE),$A204&lt;VLOOKUP(YEAR($A204),'Festive dates'!$A$2:$J$5,3,FALSE)),1,0)</f>
        <v>1</v>
      </c>
      <c r="S204" s="9">
        <f>IF($A204=VLOOKUP(YEAR($A204),'Festive dates'!$A$2:$J$5,2,FALSE),1,0)</f>
        <v>0</v>
      </c>
      <c r="T204" s="9">
        <f>IF($A204=VLOOKUP(YEAR($A204),'Festive dates'!$A$2:$J$5,3,FALSE),1,0)</f>
        <v>0</v>
      </c>
      <c r="U204" s="9">
        <f>IF($A204=VLOOKUP(YEAR($A204),'Festive dates'!$A$2:$J$5,4,FALSE),1,0)</f>
        <v>0</v>
      </c>
      <c r="V204" s="9">
        <f>IF(AND($A204&gt;=VLOOKUP(YEAR($A204),'Festive dates'!$A$2:$J$5,9,FALSE),$A204&lt;=VLOOKUP(YEAR($A204),'Festive dates'!$A$2:$J$5,10,FALSE)),1,0)</f>
        <v>0</v>
      </c>
      <c r="W204" s="9">
        <f>IF($A204=VLOOKUP(YEAR($A204),'Festive dates'!$A$2:$J$5,7,FALSE),1,0)</f>
        <v>0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>
      <c r="A205" s="8">
        <v>45220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f>MAX(-20,MIN(10,$A205-VLOOKUP(YEAR($A205),'Festive dates'!$A$2:$J$5,8,FALSE)))</f>
        <v>-20</v>
      </c>
      <c r="R205" s="9">
        <f>IF(AND($A205&gt;VLOOKUP(YEAR($A205),'Festive dates'!$A$2:$J$5,2,FALSE),$A205&lt;VLOOKUP(YEAR($A205),'Festive dates'!$A$2:$J$5,3,FALSE)),1,0)</f>
        <v>1</v>
      </c>
      <c r="S205" s="9">
        <f>IF($A205=VLOOKUP(YEAR($A205),'Festive dates'!$A$2:$J$5,2,FALSE),1,0)</f>
        <v>0</v>
      </c>
      <c r="T205" s="9">
        <f>IF($A205=VLOOKUP(YEAR($A205),'Festive dates'!$A$2:$J$5,3,FALSE),1,0)</f>
        <v>0</v>
      </c>
      <c r="U205" s="9">
        <f>IF($A205=VLOOKUP(YEAR($A205),'Festive dates'!$A$2:$J$5,4,FALSE),1,0)</f>
        <v>0</v>
      </c>
      <c r="V205" s="9">
        <f>IF(AND($A205&gt;=VLOOKUP(YEAR($A205),'Festive dates'!$A$2:$J$5,9,FALSE),$A205&lt;=VLOOKUP(YEAR($A205),'Festive dates'!$A$2:$J$5,10,FALSE)),1,0)</f>
        <v>0</v>
      </c>
      <c r="W205" s="9">
        <f>IF($A205=VLOOKUP(YEAR($A205),'Festive dates'!$A$2:$J$5,7,FALSE),1,0)</f>
        <v>0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>
      <c r="A206" s="8">
        <v>45221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f>MAX(-20,MIN(10,$A206-VLOOKUP(YEAR($A206),'Festive dates'!$A$2:$J$5,8,FALSE)))</f>
        <v>-20</v>
      </c>
      <c r="R206" s="9">
        <f>IF(AND($A206&gt;VLOOKUP(YEAR($A206),'Festive dates'!$A$2:$J$5,2,FALSE),$A206&lt;VLOOKUP(YEAR($A206),'Festive dates'!$A$2:$J$5,3,FALSE)),1,0)</f>
        <v>1</v>
      </c>
      <c r="S206" s="9">
        <f>IF($A206=VLOOKUP(YEAR($A206),'Festive dates'!$A$2:$J$5,2,FALSE),1,0)</f>
        <v>0</v>
      </c>
      <c r="T206" s="9">
        <f>IF($A206=VLOOKUP(YEAR($A206),'Festive dates'!$A$2:$J$5,3,FALSE),1,0)</f>
        <v>0</v>
      </c>
      <c r="U206" s="9">
        <f>IF($A206=VLOOKUP(YEAR($A206),'Festive dates'!$A$2:$J$5,4,FALSE),1,0)</f>
        <v>0</v>
      </c>
      <c r="V206" s="9">
        <f>IF(AND($A206&gt;=VLOOKUP(YEAR($A206),'Festive dates'!$A$2:$J$5,9,FALSE),$A206&lt;=VLOOKUP(YEAR($A206),'Festive dates'!$A$2:$J$5,10,FALSE)),1,0)</f>
        <v>0</v>
      </c>
      <c r="W206" s="9">
        <f>IF($A206=VLOOKUP(YEAR($A206),'Festive dates'!$A$2:$J$5,7,FALSE),1,0)</f>
        <v>0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>
      <c r="A207" s="8">
        <v>45222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f>MAX(-20,MIN(10,$A207-VLOOKUP(YEAR($A207),'Festive dates'!$A$2:$J$5,8,FALSE)))</f>
        <v>-20</v>
      </c>
      <c r="R207" s="9">
        <f>IF(AND($A207&gt;VLOOKUP(YEAR($A207),'Festive dates'!$A$2:$J$5,2,FALSE),$A207&lt;VLOOKUP(YEAR($A207),'Festive dates'!$A$2:$J$5,3,FALSE)),1,0)</f>
        <v>0</v>
      </c>
      <c r="S207" s="9">
        <f>IF($A207=VLOOKUP(YEAR($A207),'Festive dates'!$A$2:$J$5,2,FALSE),1,0)</f>
        <v>0</v>
      </c>
      <c r="T207" s="9">
        <f>IF($A207=VLOOKUP(YEAR($A207),'Festive dates'!$A$2:$J$5,3,FALSE),1,0)</f>
        <v>1</v>
      </c>
      <c r="U207" s="9">
        <f>IF($A207=VLOOKUP(YEAR($A207),'Festive dates'!$A$2:$J$5,4,FALSE),1,0)</f>
        <v>0</v>
      </c>
      <c r="V207" s="9">
        <f>IF(AND($A207&gt;=VLOOKUP(YEAR($A207),'Festive dates'!$A$2:$J$5,9,FALSE),$A207&lt;=VLOOKUP(YEAR($A207),'Festive dates'!$A$2:$J$5,10,FALSE)),1,0)</f>
        <v>0</v>
      </c>
      <c r="W207" s="9">
        <f>IF($A207=VLOOKUP(YEAR($A207),'Festive dates'!$A$2:$J$5,7,FALSE),1,0)</f>
        <v>0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>
      <c r="A208" s="8">
        <v>45223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f>MAX(-20,MIN(10,$A208-VLOOKUP(YEAR($A208),'Festive dates'!$A$2:$J$5,8,FALSE)))</f>
        <v>-19</v>
      </c>
      <c r="R208" s="9">
        <f>IF(AND($A208&gt;VLOOKUP(YEAR($A208),'Festive dates'!$A$2:$J$5,2,FALSE),$A208&lt;VLOOKUP(YEAR($A208),'Festive dates'!$A$2:$J$5,3,FALSE)),1,0)</f>
        <v>0</v>
      </c>
      <c r="S208" s="9">
        <f>IF($A208=VLOOKUP(YEAR($A208),'Festive dates'!$A$2:$J$5,2,FALSE),1,0)</f>
        <v>0</v>
      </c>
      <c r="T208" s="9">
        <f>IF($A208=VLOOKUP(YEAR($A208),'Festive dates'!$A$2:$J$5,3,FALSE),1,0)</f>
        <v>0</v>
      </c>
      <c r="U208" s="9">
        <f>IF($A208=VLOOKUP(YEAR($A208),'Festive dates'!$A$2:$J$5,4,FALSE),1,0)</f>
        <v>1</v>
      </c>
      <c r="V208" s="9">
        <f>IF(AND($A208&gt;=VLOOKUP(YEAR($A208),'Festive dates'!$A$2:$J$5,9,FALSE),$A208&lt;=VLOOKUP(YEAR($A208),'Festive dates'!$A$2:$J$5,10,FALSE)),1,0)</f>
        <v>0</v>
      </c>
      <c r="W208" s="9">
        <f>IF($A208=VLOOKUP(YEAR($A208),'Festive dates'!$A$2:$J$5,7,FALSE),1,0)</f>
        <v>0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>
      <c r="A209" s="8">
        <v>45224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f>MAX(-20,MIN(10,$A209-VLOOKUP(YEAR($A209),'Festive dates'!$A$2:$J$5,8,FALSE)))</f>
        <v>-18</v>
      </c>
      <c r="R209" s="9">
        <f>IF(AND($A209&gt;VLOOKUP(YEAR($A209),'Festive dates'!$A$2:$J$5,2,FALSE),$A209&lt;VLOOKUP(YEAR($A209),'Festive dates'!$A$2:$J$5,3,FALSE)),1,0)</f>
        <v>0</v>
      </c>
      <c r="S209" s="9">
        <f>IF($A209=VLOOKUP(YEAR($A209),'Festive dates'!$A$2:$J$5,2,FALSE),1,0)</f>
        <v>0</v>
      </c>
      <c r="T209" s="9">
        <f>IF($A209=VLOOKUP(YEAR($A209),'Festive dates'!$A$2:$J$5,3,FALSE),1,0)</f>
        <v>0</v>
      </c>
      <c r="U209" s="9">
        <f>IF($A209=VLOOKUP(YEAR($A209),'Festive dates'!$A$2:$J$5,4,FALSE),1,0)</f>
        <v>0</v>
      </c>
      <c r="V209" s="9">
        <f>IF(AND($A209&gt;=VLOOKUP(YEAR($A209),'Festive dates'!$A$2:$J$5,9,FALSE),$A209&lt;=VLOOKUP(YEAR($A209),'Festive dates'!$A$2:$J$5,10,FALSE)),1,0)</f>
        <v>0</v>
      </c>
      <c r="W209" s="9">
        <f>IF($A209=VLOOKUP(YEAR($A209),'Festive dates'!$A$2:$J$5,7,FALSE),1,0)</f>
        <v>0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>
      <c r="A210" s="8">
        <v>45225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f>MAX(-20,MIN(10,$A210-VLOOKUP(YEAR($A210),'Festive dates'!$A$2:$J$5,8,FALSE)))</f>
        <v>-17</v>
      </c>
      <c r="R210" s="9">
        <f>IF(AND($A210&gt;VLOOKUP(YEAR($A210),'Festive dates'!$A$2:$J$5,2,FALSE),$A210&lt;VLOOKUP(YEAR($A210),'Festive dates'!$A$2:$J$5,3,FALSE)),1,0)</f>
        <v>0</v>
      </c>
      <c r="S210" s="9">
        <f>IF($A210=VLOOKUP(YEAR($A210),'Festive dates'!$A$2:$J$5,2,FALSE),1,0)</f>
        <v>0</v>
      </c>
      <c r="T210" s="9">
        <f>IF($A210=VLOOKUP(YEAR($A210),'Festive dates'!$A$2:$J$5,3,FALSE),1,0)</f>
        <v>0</v>
      </c>
      <c r="U210" s="9">
        <f>IF($A210=VLOOKUP(YEAR($A210),'Festive dates'!$A$2:$J$5,4,FALSE),1,0)</f>
        <v>0</v>
      </c>
      <c r="V210" s="9">
        <f>IF(AND($A210&gt;=VLOOKUP(YEAR($A210),'Festive dates'!$A$2:$J$5,9,FALSE),$A210&lt;=VLOOKUP(YEAR($A210),'Festive dates'!$A$2:$J$5,10,FALSE)),1,0)</f>
        <v>0</v>
      </c>
      <c r="W210" s="9">
        <f>IF($A210=VLOOKUP(YEAR($A210),'Festive dates'!$A$2:$J$5,7,FALSE),1,0)</f>
        <v>0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>
      <c r="A211" s="8">
        <v>45226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f>MAX(-20,MIN(10,$A211-VLOOKUP(YEAR($A211),'Festive dates'!$A$2:$J$5,8,FALSE)))</f>
        <v>-16</v>
      </c>
      <c r="R211" s="9">
        <f>IF(AND($A211&gt;VLOOKUP(YEAR($A211),'Festive dates'!$A$2:$J$5,2,FALSE),$A211&lt;VLOOKUP(YEAR($A211),'Festive dates'!$A$2:$J$5,3,FALSE)),1,0)</f>
        <v>0</v>
      </c>
      <c r="S211" s="9">
        <f>IF($A211=VLOOKUP(YEAR($A211),'Festive dates'!$A$2:$J$5,2,FALSE),1,0)</f>
        <v>0</v>
      </c>
      <c r="T211" s="9">
        <f>IF($A211=VLOOKUP(YEAR($A211),'Festive dates'!$A$2:$J$5,3,FALSE),1,0)</f>
        <v>0</v>
      </c>
      <c r="U211" s="9">
        <f>IF($A211=VLOOKUP(YEAR($A211),'Festive dates'!$A$2:$J$5,4,FALSE),1,0)</f>
        <v>0</v>
      </c>
      <c r="V211" s="9">
        <f>IF(AND($A211&gt;=VLOOKUP(YEAR($A211),'Festive dates'!$A$2:$J$5,9,FALSE),$A211&lt;=VLOOKUP(YEAR($A211),'Festive dates'!$A$2:$J$5,10,FALSE)),1,0)</f>
        <v>0</v>
      </c>
      <c r="W211" s="9">
        <f>IF($A211=VLOOKUP(YEAR($A211),'Festive dates'!$A$2:$J$5,7,FALSE),1,0)</f>
        <v>0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>
      <c r="A212" s="8">
        <v>45227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f>MAX(-20,MIN(10,$A212-VLOOKUP(YEAR($A212),'Festive dates'!$A$2:$J$5,8,FALSE)))</f>
        <v>-15</v>
      </c>
      <c r="R212" s="9">
        <f>IF(AND($A212&gt;VLOOKUP(YEAR($A212),'Festive dates'!$A$2:$J$5,2,FALSE),$A212&lt;VLOOKUP(YEAR($A212),'Festive dates'!$A$2:$J$5,3,FALSE)),1,0)</f>
        <v>0</v>
      </c>
      <c r="S212" s="9">
        <f>IF($A212=VLOOKUP(YEAR($A212),'Festive dates'!$A$2:$J$5,2,FALSE),1,0)</f>
        <v>0</v>
      </c>
      <c r="T212" s="9">
        <f>IF($A212=VLOOKUP(YEAR($A212),'Festive dates'!$A$2:$J$5,3,FALSE),1,0)</f>
        <v>0</v>
      </c>
      <c r="U212" s="9">
        <f>IF($A212=VLOOKUP(YEAR($A212),'Festive dates'!$A$2:$J$5,4,FALSE),1,0)</f>
        <v>0</v>
      </c>
      <c r="V212" s="9">
        <f>IF(AND($A212&gt;=VLOOKUP(YEAR($A212),'Festive dates'!$A$2:$J$5,9,FALSE),$A212&lt;=VLOOKUP(YEAR($A212),'Festive dates'!$A$2:$J$5,10,FALSE)),1,0)</f>
        <v>0</v>
      </c>
      <c r="W212" s="9">
        <f>IF($A212=VLOOKUP(YEAR($A212),'Festive dates'!$A$2:$J$5,7,FALSE),1,0)</f>
        <v>0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>
      <c r="A213" s="8">
        <v>45228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f>MAX(-20,MIN(10,$A213-VLOOKUP(YEAR($A213),'Festive dates'!$A$2:$J$5,8,FALSE)))</f>
        <v>-14</v>
      </c>
      <c r="R213" s="9">
        <f>IF(AND($A213&gt;VLOOKUP(YEAR($A213),'Festive dates'!$A$2:$J$5,2,FALSE),$A213&lt;VLOOKUP(YEAR($A213),'Festive dates'!$A$2:$J$5,3,FALSE)),1,0)</f>
        <v>0</v>
      </c>
      <c r="S213" s="9">
        <f>IF($A213=VLOOKUP(YEAR($A213),'Festive dates'!$A$2:$J$5,2,FALSE),1,0)</f>
        <v>0</v>
      </c>
      <c r="T213" s="9">
        <f>IF($A213=VLOOKUP(YEAR($A213),'Festive dates'!$A$2:$J$5,3,FALSE),1,0)</f>
        <v>0</v>
      </c>
      <c r="U213" s="9">
        <f>IF($A213=VLOOKUP(YEAR($A213),'Festive dates'!$A$2:$J$5,4,FALSE),1,0)</f>
        <v>0</v>
      </c>
      <c r="V213" s="9">
        <f>IF(AND($A213&gt;=VLOOKUP(YEAR($A213),'Festive dates'!$A$2:$J$5,9,FALSE),$A213&lt;=VLOOKUP(YEAR($A213),'Festive dates'!$A$2:$J$5,10,FALSE)),1,0)</f>
        <v>0</v>
      </c>
      <c r="W213" s="9">
        <f>IF($A213=VLOOKUP(YEAR($A213),'Festive dates'!$A$2:$J$5,7,FALSE),1,0)</f>
        <v>0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>
      <c r="A214" s="8">
        <v>45229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f>MAX(-20,MIN(10,$A214-VLOOKUP(YEAR($A214),'Festive dates'!$A$2:$J$5,8,FALSE)))</f>
        <v>-13</v>
      </c>
      <c r="R214" s="9">
        <f>IF(AND($A214&gt;VLOOKUP(YEAR($A214),'Festive dates'!$A$2:$J$5,2,FALSE),$A214&lt;VLOOKUP(YEAR($A214),'Festive dates'!$A$2:$J$5,3,FALSE)),1,0)</f>
        <v>0</v>
      </c>
      <c r="S214" s="9">
        <f>IF($A214=VLOOKUP(YEAR($A214),'Festive dates'!$A$2:$J$5,2,FALSE),1,0)</f>
        <v>0</v>
      </c>
      <c r="T214" s="9">
        <f>IF($A214=VLOOKUP(YEAR($A214),'Festive dates'!$A$2:$J$5,3,FALSE),1,0)</f>
        <v>0</v>
      </c>
      <c r="U214" s="9">
        <f>IF($A214=VLOOKUP(YEAR($A214),'Festive dates'!$A$2:$J$5,4,FALSE),1,0)</f>
        <v>0</v>
      </c>
      <c r="V214" s="9">
        <f>IF(AND($A214&gt;=VLOOKUP(YEAR($A214),'Festive dates'!$A$2:$J$5,9,FALSE),$A214&lt;=VLOOKUP(YEAR($A214),'Festive dates'!$A$2:$J$5,10,FALSE)),1,0)</f>
        <v>0</v>
      </c>
      <c r="W214" s="9">
        <f>IF($A214=VLOOKUP(YEAR($A214),'Festive dates'!$A$2:$J$5,7,FALSE),1,0)</f>
        <v>0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>
      <c r="A215" s="8">
        <v>45230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f>MAX(-20,MIN(10,$A215-VLOOKUP(YEAR($A215),'Festive dates'!$A$2:$J$5,8,FALSE)))</f>
        <v>-12</v>
      </c>
      <c r="R215" s="9">
        <f>IF(AND($A215&gt;VLOOKUP(YEAR($A215),'Festive dates'!$A$2:$J$5,2,FALSE),$A215&lt;VLOOKUP(YEAR($A215),'Festive dates'!$A$2:$J$5,3,FALSE)),1,0)</f>
        <v>0</v>
      </c>
      <c r="S215" s="9">
        <f>IF($A215=VLOOKUP(YEAR($A215),'Festive dates'!$A$2:$J$5,2,FALSE),1,0)</f>
        <v>0</v>
      </c>
      <c r="T215" s="9">
        <f>IF($A215=VLOOKUP(YEAR($A215),'Festive dates'!$A$2:$J$5,3,FALSE),1,0)</f>
        <v>0</v>
      </c>
      <c r="U215" s="9">
        <f>IF($A215=VLOOKUP(YEAR($A215),'Festive dates'!$A$2:$J$5,4,FALSE),1,0)</f>
        <v>0</v>
      </c>
      <c r="V215" s="9">
        <f>IF(AND($A215&gt;=VLOOKUP(YEAR($A215),'Festive dates'!$A$2:$J$5,9,FALSE),$A215&lt;=VLOOKUP(YEAR($A215),'Festive dates'!$A$2:$J$5,10,FALSE)),1,0)</f>
        <v>0</v>
      </c>
      <c r="W215" s="9">
        <f>IF($A215=VLOOKUP(YEAR($A215),'Festive dates'!$A$2:$J$5,7,FALSE),1,0)</f>
        <v>0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>
      <c r="A216" s="8">
        <v>45231</v>
      </c>
      <c r="B216" s="9">
        <v>0</v>
      </c>
      <c r="C216" s="9">
        <v>0</v>
      </c>
      <c r="D216" s="9">
        <v>0</v>
      </c>
      <c r="E216" s="9">
        <v>0</v>
      </c>
      <c r="F216" s="9">
        <v>1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f>MAX(-20,MIN(10,$A216-VLOOKUP(YEAR($A216),'Festive dates'!$A$2:$J$5,8,FALSE)))</f>
        <v>-11</v>
      </c>
      <c r="R216" s="9">
        <f>IF(AND($A216&gt;VLOOKUP(YEAR($A216),'Festive dates'!$A$2:$J$5,2,FALSE),$A216&lt;VLOOKUP(YEAR($A216),'Festive dates'!$A$2:$J$5,3,FALSE)),1,0)</f>
        <v>0</v>
      </c>
      <c r="S216" s="9">
        <f>IF($A216=VLOOKUP(YEAR($A216),'Festive dates'!$A$2:$J$5,2,FALSE),1,0)</f>
        <v>0</v>
      </c>
      <c r="T216" s="9">
        <f>IF($A216=VLOOKUP(YEAR($A216),'Festive dates'!$A$2:$J$5,3,FALSE),1,0)</f>
        <v>0</v>
      </c>
      <c r="U216" s="9">
        <f>IF($A216=VLOOKUP(YEAR($A216),'Festive dates'!$A$2:$J$5,4,FALSE),1,0)</f>
        <v>0</v>
      </c>
      <c r="V216" s="9">
        <f>IF(AND($A216&gt;=VLOOKUP(YEAR($A216),'Festive dates'!$A$2:$J$5,9,FALSE),$A216&lt;=VLOOKUP(YEAR($A216),'Festive dates'!$A$2:$J$5,10,FALSE)),1,0)</f>
        <v>0</v>
      </c>
      <c r="W216" s="9">
        <f>IF($A216=VLOOKUP(YEAR($A216),'Festive dates'!$A$2:$J$5,7,FALSE),1,0)</f>
        <v>0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>
      <c r="A217" s="8">
        <v>45232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f>MAX(-20,MIN(10,$A217-VLOOKUP(YEAR($A217),'Festive dates'!$A$2:$J$5,8,FALSE)))</f>
        <v>-10</v>
      </c>
      <c r="R217" s="9">
        <f>IF(AND($A217&gt;VLOOKUP(YEAR($A217),'Festive dates'!$A$2:$J$5,2,FALSE),$A217&lt;VLOOKUP(YEAR($A217),'Festive dates'!$A$2:$J$5,3,FALSE)),1,0)</f>
        <v>0</v>
      </c>
      <c r="S217" s="9">
        <f>IF($A217=VLOOKUP(YEAR($A217),'Festive dates'!$A$2:$J$5,2,FALSE),1,0)</f>
        <v>0</v>
      </c>
      <c r="T217" s="9">
        <f>IF($A217=VLOOKUP(YEAR($A217),'Festive dates'!$A$2:$J$5,3,FALSE),1,0)</f>
        <v>0</v>
      </c>
      <c r="U217" s="9">
        <f>IF($A217=VLOOKUP(YEAR($A217),'Festive dates'!$A$2:$J$5,4,FALSE),1,0)</f>
        <v>0</v>
      </c>
      <c r="V217" s="9">
        <f>IF(AND($A217&gt;=VLOOKUP(YEAR($A217),'Festive dates'!$A$2:$J$5,9,FALSE),$A217&lt;=VLOOKUP(YEAR($A217),'Festive dates'!$A$2:$J$5,10,FALSE)),1,0)</f>
        <v>0</v>
      </c>
      <c r="W217" s="9">
        <f>IF($A217=VLOOKUP(YEAR($A217),'Festive dates'!$A$2:$J$5,7,FALSE),1,0)</f>
        <v>0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>
      <c r="A218" s="8">
        <v>45233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f>MAX(-20,MIN(10,$A218-VLOOKUP(YEAR($A218),'Festive dates'!$A$2:$J$5,8,FALSE)))</f>
        <v>-9</v>
      </c>
      <c r="R218" s="9">
        <f>IF(AND($A218&gt;VLOOKUP(YEAR($A218),'Festive dates'!$A$2:$J$5,2,FALSE),$A218&lt;VLOOKUP(YEAR($A218),'Festive dates'!$A$2:$J$5,3,FALSE)),1,0)</f>
        <v>0</v>
      </c>
      <c r="S218" s="9">
        <f>IF($A218=VLOOKUP(YEAR($A218),'Festive dates'!$A$2:$J$5,2,FALSE),1,0)</f>
        <v>0</v>
      </c>
      <c r="T218" s="9">
        <f>IF($A218=VLOOKUP(YEAR($A218),'Festive dates'!$A$2:$J$5,3,FALSE),1,0)</f>
        <v>0</v>
      </c>
      <c r="U218" s="9">
        <f>IF($A218=VLOOKUP(YEAR($A218),'Festive dates'!$A$2:$J$5,4,FALSE),1,0)</f>
        <v>0</v>
      </c>
      <c r="V218" s="9">
        <f>IF(AND($A218&gt;=VLOOKUP(YEAR($A218),'Festive dates'!$A$2:$J$5,9,FALSE),$A218&lt;=VLOOKUP(YEAR($A218),'Festive dates'!$A$2:$J$5,10,FALSE)),1,0)</f>
        <v>0</v>
      </c>
      <c r="W218" s="9">
        <f>IF($A218=VLOOKUP(YEAR($A218),'Festive dates'!$A$2:$J$5,7,FALSE),1,0)</f>
        <v>0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>
      <c r="A219" s="8">
        <v>45234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f>MAX(-20,MIN(10,$A219-VLOOKUP(YEAR($A219),'Festive dates'!$A$2:$J$5,8,FALSE)))</f>
        <v>-8</v>
      </c>
      <c r="R219" s="9">
        <f>IF(AND($A219&gt;VLOOKUP(YEAR($A219),'Festive dates'!$A$2:$J$5,2,FALSE),$A219&lt;VLOOKUP(YEAR($A219),'Festive dates'!$A$2:$J$5,3,FALSE)),1,0)</f>
        <v>0</v>
      </c>
      <c r="S219" s="9">
        <f>IF($A219=VLOOKUP(YEAR($A219),'Festive dates'!$A$2:$J$5,2,FALSE),1,0)</f>
        <v>0</v>
      </c>
      <c r="T219" s="9">
        <f>IF($A219=VLOOKUP(YEAR($A219),'Festive dates'!$A$2:$J$5,3,FALSE),1,0)</f>
        <v>0</v>
      </c>
      <c r="U219" s="9">
        <f>IF($A219=VLOOKUP(YEAR($A219),'Festive dates'!$A$2:$J$5,4,FALSE),1,0)</f>
        <v>0</v>
      </c>
      <c r="V219" s="9">
        <f>IF(AND($A219&gt;=VLOOKUP(YEAR($A219),'Festive dates'!$A$2:$J$5,9,FALSE),$A219&lt;=VLOOKUP(YEAR($A219),'Festive dates'!$A$2:$J$5,10,FALSE)),1,0)</f>
        <v>0</v>
      </c>
      <c r="W219" s="9">
        <f>IF($A219=VLOOKUP(YEAR($A219),'Festive dates'!$A$2:$J$5,7,FALSE),1,0)</f>
        <v>0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>
      <c r="A220" s="8">
        <v>45235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f>MAX(-20,MIN(10,$A220-VLOOKUP(YEAR($A220),'Festive dates'!$A$2:$J$5,8,FALSE)))</f>
        <v>-7</v>
      </c>
      <c r="R220" s="9">
        <f>IF(AND($A220&gt;VLOOKUP(YEAR($A220),'Festive dates'!$A$2:$J$5,2,FALSE),$A220&lt;VLOOKUP(YEAR($A220),'Festive dates'!$A$2:$J$5,3,FALSE)),1,0)</f>
        <v>0</v>
      </c>
      <c r="S220" s="9">
        <f>IF($A220=VLOOKUP(YEAR($A220),'Festive dates'!$A$2:$J$5,2,FALSE),1,0)</f>
        <v>0</v>
      </c>
      <c r="T220" s="9">
        <f>IF($A220=VLOOKUP(YEAR($A220),'Festive dates'!$A$2:$J$5,3,FALSE),1,0)</f>
        <v>0</v>
      </c>
      <c r="U220" s="9">
        <f>IF($A220=VLOOKUP(YEAR($A220),'Festive dates'!$A$2:$J$5,4,FALSE),1,0)</f>
        <v>0</v>
      </c>
      <c r="V220" s="9">
        <f>IF(AND($A220&gt;=VLOOKUP(YEAR($A220),'Festive dates'!$A$2:$J$5,9,FALSE),$A220&lt;=VLOOKUP(YEAR($A220),'Festive dates'!$A$2:$J$5,10,FALSE)),1,0)</f>
        <v>0</v>
      </c>
      <c r="W220" s="9">
        <f>IF($A220=VLOOKUP(YEAR($A220),'Festive dates'!$A$2:$J$5,7,FALSE),1,0)</f>
        <v>0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>
      <c r="A221" s="8">
        <v>45236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f>MAX(-20,MIN(10,$A221-VLOOKUP(YEAR($A221),'Festive dates'!$A$2:$J$5,8,FALSE)))</f>
        <v>-6</v>
      </c>
      <c r="R221" s="9">
        <f>IF(AND($A221&gt;VLOOKUP(YEAR($A221),'Festive dates'!$A$2:$J$5,2,FALSE),$A221&lt;VLOOKUP(YEAR($A221),'Festive dates'!$A$2:$J$5,3,FALSE)),1,0)</f>
        <v>0</v>
      </c>
      <c r="S221" s="9">
        <f>IF($A221=VLOOKUP(YEAR($A221),'Festive dates'!$A$2:$J$5,2,FALSE),1,0)</f>
        <v>0</v>
      </c>
      <c r="T221" s="9">
        <f>IF($A221=VLOOKUP(YEAR($A221),'Festive dates'!$A$2:$J$5,3,FALSE),1,0)</f>
        <v>0</v>
      </c>
      <c r="U221" s="9">
        <f>IF($A221=VLOOKUP(YEAR($A221),'Festive dates'!$A$2:$J$5,4,FALSE),1,0)</f>
        <v>0</v>
      </c>
      <c r="V221" s="9">
        <f>IF(AND($A221&gt;=VLOOKUP(YEAR($A221),'Festive dates'!$A$2:$J$5,9,FALSE),$A221&lt;=VLOOKUP(YEAR($A221),'Festive dates'!$A$2:$J$5,10,FALSE)),1,0)</f>
        <v>0</v>
      </c>
      <c r="W221" s="9">
        <f>IF($A221=VLOOKUP(YEAR($A221),'Festive dates'!$A$2:$J$5,7,FALSE),1,0)</f>
        <v>0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>
      <c r="A222" s="8">
        <v>45237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f>MAX(-20,MIN(10,$A222-VLOOKUP(YEAR($A222),'Festive dates'!$A$2:$J$5,8,FALSE)))</f>
        <v>-5</v>
      </c>
      <c r="R222" s="9">
        <f>IF(AND($A222&gt;VLOOKUP(YEAR($A222),'Festive dates'!$A$2:$J$5,2,FALSE),$A222&lt;VLOOKUP(YEAR($A222),'Festive dates'!$A$2:$J$5,3,FALSE)),1,0)</f>
        <v>0</v>
      </c>
      <c r="S222" s="9">
        <f>IF($A222=VLOOKUP(YEAR($A222),'Festive dates'!$A$2:$J$5,2,FALSE),1,0)</f>
        <v>0</v>
      </c>
      <c r="T222" s="9">
        <f>IF($A222=VLOOKUP(YEAR($A222),'Festive dates'!$A$2:$J$5,3,FALSE),1,0)</f>
        <v>0</v>
      </c>
      <c r="U222" s="9">
        <f>IF($A222=VLOOKUP(YEAR($A222),'Festive dates'!$A$2:$J$5,4,FALSE),1,0)</f>
        <v>0</v>
      </c>
      <c r="V222" s="9">
        <f>IF(AND($A222&gt;=VLOOKUP(YEAR($A222),'Festive dates'!$A$2:$J$5,9,FALSE),$A222&lt;=VLOOKUP(YEAR($A222),'Festive dates'!$A$2:$J$5,10,FALSE)),1,0)</f>
        <v>0</v>
      </c>
      <c r="W222" s="9">
        <f>IF($A222=VLOOKUP(YEAR($A222),'Festive dates'!$A$2:$J$5,7,FALSE),1,0)</f>
        <v>0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>
      <c r="A223" s="8">
        <v>45238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f>MAX(-20,MIN(10,$A223-VLOOKUP(YEAR($A223),'Festive dates'!$A$2:$J$5,8,FALSE)))</f>
        <v>-4</v>
      </c>
      <c r="R223" s="9">
        <f>IF(AND($A223&gt;VLOOKUP(YEAR($A223),'Festive dates'!$A$2:$J$5,2,FALSE),$A223&lt;VLOOKUP(YEAR($A223),'Festive dates'!$A$2:$J$5,3,FALSE)),1,0)</f>
        <v>0</v>
      </c>
      <c r="S223" s="9">
        <f>IF($A223=VLOOKUP(YEAR($A223),'Festive dates'!$A$2:$J$5,2,FALSE),1,0)</f>
        <v>0</v>
      </c>
      <c r="T223" s="9">
        <f>IF($A223=VLOOKUP(YEAR($A223),'Festive dates'!$A$2:$J$5,3,FALSE),1,0)</f>
        <v>0</v>
      </c>
      <c r="U223" s="9">
        <f>IF($A223=VLOOKUP(YEAR($A223),'Festive dates'!$A$2:$J$5,4,FALSE),1,0)</f>
        <v>0</v>
      </c>
      <c r="V223" s="9">
        <f>IF(AND($A223&gt;=VLOOKUP(YEAR($A223),'Festive dates'!$A$2:$J$5,9,FALSE),$A223&lt;=VLOOKUP(YEAR($A223),'Festive dates'!$A$2:$J$5,10,FALSE)),1,0)</f>
        <v>0</v>
      </c>
      <c r="W223" s="9">
        <f>IF($A223=VLOOKUP(YEAR($A223),'Festive dates'!$A$2:$J$5,7,FALSE),1,0)</f>
        <v>0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>
      <c r="A224" s="8">
        <v>45239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f>MAX(-20,MIN(10,$A224-VLOOKUP(YEAR($A224),'Festive dates'!$A$2:$J$5,8,FALSE)))</f>
        <v>-3</v>
      </c>
      <c r="R224" s="9">
        <f>IF(AND($A224&gt;VLOOKUP(YEAR($A224),'Festive dates'!$A$2:$J$5,2,FALSE),$A224&lt;VLOOKUP(YEAR($A224),'Festive dates'!$A$2:$J$5,3,FALSE)),1,0)</f>
        <v>0</v>
      </c>
      <c r="S224" s="9">
        <f>IF($A224=VLOOKUP(YEAR($A224),'Festive dates'!$A$2:$J$5,2,FALSE),1,0)</f>
        <v>0</v>
      </c>
      <c r="T224" s="9">
        <f>IF($A224=VLOOKUP(YEAR($A224),'Festive dates'!$A$2:$J$5,3,FALSE),1,0)</f>
        <v>0</v>
      </c>
      <c r="U224" s="9">
        <f>IF($A224=VLOOKUP(YEAR($A224),'Festive dates'!$A$2:$J$5,4,FALSE),1,0)</f>
        <v>0</v>
      </c>
      <c r="V224" s="9">
        <f>IF(AND($A224&gt;=VLOOKUP(YEAR($A224),'Festive dates'!$A$2:$J$5,9,FALSE),$A224&lt;=VLOOKUP(YEAR($A224),'Festive dates'!$A$2:$J$5,10,FALSE)),1,0)</f>
        <v>0</v>
      </c>
      <c r="W224" s="9">
        <f>IF($A224=VLOOKUP(YEAR($A224),'Festive dates'!$A$2:$J$5,7,FALSE),1,0)</f>
        <v>0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>
      <c r="A225" s="8">
        <v>45240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f>MAX(-20,MIN(10,$A225-VLOOKUP(YEAR($A225),'Festive dates'!$A$2:$J$5,8,FALSE)))</f>
        <v>-2</v>
      </c>
      <c r="R225" s="9">
        <f>IF(AND($A225&gt;VLOOKUP(YEAR($A225),'Festive dates'!$A$2:$J$5,2,FALSE),$A225&lt;VLOOKUP(YEAR($A225),'Festive dates'!$A$2:$J$5,3,FALSE)),1,0)</f>
        <v>0</v>
      </c>
      <c r="S225" s="9">
        <f>IF($A225=VLOOKUP(YEAR($A225),'Festive dates'!$A$2:$J$5,2,FALSE),1,0)</f>
        <v>0</v>
      </c>
      <c r="T225" s="9">
        <f>IF($A225=VLOOKUP(YEAR($A225),'Festive dates'!$A$2:$J$5,3,FALSE),1,0)</f>
        <v>0</v>
      </c>
      <c r="U225" s="9">
        <f>IF($A225=VLOOKUP(YEAR($A225),'Festive dates'!$A$2:$J$5,4,FALSE),1,0)</f>
        <v>0</v>
      </c>
      <c r="V225" s="9">
        <f>IF(AND($A225&gt;=VLOOKUP(YEAR($A225),'Festive dates'!$A$2:$J$5,9,FALSE),$A225&lt;=VLOOKUP(YEAR($A225),'Festive dates'!$A$2:$J$5,10,FALSE)),1,0)</f>
        <v>0</v>
      </c>
      <c r="W225" s="9">
        <f>IF($A225=VLOOKUP(YEAR($A225),'Festive dates'!$A$2:$J$5,7,FALSE),1,0)</f>
        <v>1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>
      <c r="A226" s="8">
        <v>45241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f>MAX(-20,MIN(10,$A226-VLOOKUP(YEAR($A226),'Festive dates'!$A$2:$J$5,8,FALSE)))</f>
        <v>-1</v>
      </c>
      <c r="R226" s="9">
        <f>IF(AND($A226&gt;VLOOKUP(YEAR($A226),'Festive dates'!$A$2:$J$5,2,FALSE),$A226&lt;VLOOKUP(YEAR($A226),'Festive dates'!$A$2:$J$5,3,FALSE)),1,0)</f>
        <v>0</v>
      </c>
      <c r="S226" s="9">
        <f>IF($A226=VLOOKUP(YEAR($A226),'Festive dates'!$A$2:$J$5,2,FALSE),1,0)</f>
        <v>0</v>
      </c>
      <c r="T226" s="9">
        <f>IF($A226=VLOOKUP(YEAR($A226),'Festive dates'!$A$2:$J$5,3,FALSE),1,0)</f>
        <v>0</v>
      </c>
      <c r="U226" s="9">
        <f>IF($A226=VLOOKUP(YEAR($A226),'Festive dates'!$A$2:$J$5,4,FALSE),1,0)</f>
        <v>0</v>
      </c>
      <c r="V226" s="9">
        <f>IF(AND($A226&gt;=VLOOKUP(YEAR($A226),'Festive dates'!$A$2:$J$5,9,FALSE),$A226&lt;=VLOOKUP(YEAR($A226),'Festive dates'!$A$2:$J$5,10,FALSE)),1,0)</f>
        <v>0</v>
      </c>
      <c r="W226" s="9">
        <f>IF($A226=VLOOKUP(YEAR($A226),'Festive dates'!$A$2:$J$5,7,FALSE),1,0)</f>
        <v>0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>
      <c r="A227" s="8">
        <v>45242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f>MAX(-20,MIN(10,$A227-VLOOKUP(YEAR($A227),'Festive dates'!$A$2:$J$5,8,FALSE)))</f>
        <v>0</v>
      </c>
      <c r="R227" s="9">
        <f>IF(AND($A227&gt;VLOOKUP(YEAR($A227),'Festive dates'!$A$2:$J$5,2,FALSE),$A227&lt;VLOOKUP(YEAR($A227),'Festive dates'!$A$2:$J$5,3,FALSE)),1,0)</f>
        <v>0</v>
      </c>
      <c r="S227" s="9">
        <f>IF($A227=VLOOKUP(YEAR($A227),'Festive dates'!$A$2:$J$5,2,FALSE),1,0)</f>
        <v>0</v>
      </c>
      <c r="T227" s="9">
        <f>IF($A227=VLOOKUP(YEAR($A227),'Festive dates'!$A$2:$J$5,3,FALSE),1,0)</f>
        <v>0</v>
      </c>
      <c r="U227" s="9">
        <f>IF($A227=VLOOKUP(YEAR($A227),'Festive dates'!$A$2:$J$5,4,FALSE),1,0)</f>
        <v>0</v>
      </c>
      <c r="V227" s="9">
        <f>IF(AND($A227&gt;=VLOOKUP(YEAR($A227),'Festive dates'!$A$2:$J$5,9,FALSE),$A227&lt;=VLOOKUP(YEAR($A227),'Festive dates'!$A$2:$J$5,10,FALSE)),1,0)</f>
        <v>0</v>
      </c>
      <c r="W227" s="9">
        <f>IF($A227=VLOOKUP(YEAR($A227),'Festive dates'!$A$2:$J$5,7,FALSE),1,0)</f>
        <v>0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>
      <c r="A228" s="8">
        <v>45243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f>MAX(-20,MIN(10,$A228-VLOOKUP(YEAR($A228),'Festive dates'!$A$2:$J$5,8,FALSE)))</f>
        <v>1</v>
      </c>
      <c r="R228" s="9">
        <f>IF(AND($A228&gt;VLOOKUP(YEAR($A228),'Festive dates'!$A$2:$J$5,2,FALSE),$A228&lt;VLOOKUP(YEAR($A228),'Festive dates'!$A$2:$J$5,3,FALSE)),1,0)</f>
        <v>0</v>
      </c>
      <c r="S228" s="9">
        <f>IF($A228=VLOOKUP(YEAR($A228),'Festive dates'!$A$2:$J$5,2,FALSE),1,0)</f>
        <v>0</v>
      </c>
      <c r="T228" s="9">
        <f>IF($A228=VLOOKUP(YEAR($A228),'Festive dates'!$A$2:$J$5,3,FALSE),1,0)</f>
        <v>0</v>
      </c>
      <c r="U228" s="9">
        <f>IF($A228=VLOOKUP(YEAR($A228),'Festive dates'!$A$2:$J$5,4,FALSE),1,0)</f>
        <v>0</v>
      </c>
      <c r="V228" s="9">
        <f>IF(AND($A228&gt;=VLOOKUP(YEAR($A228),'Festive dates'!$A$2:$J$5,9,FALSE),$A228&lt;=VLOOKUP(YEAR($A228),'Festive dates'!$A$2:$J$5,10,FALSE)),1,0)</f>
        <v>0</v>
      </c>
      <c r="W228" s="9">
        <f>IF($A228=VLOOKUP(YEAR($A228),'Festive dates'!$A$2:$J$5,7,FALSE),1,0)</f>
        <v>0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>
      <c r="A229" s="8">
        <v>45244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f>MAX(-20,MIN(10,$A229-VLOOKUP(YEAR($A229),'Festive dates'!$A$2:$J$5,8,FALSE)))</f>
        <v>2</v>
      </c>
      <c r="R229" s="9">
        <f>IF(AND($A229&gt;VLOOKUP(YEAR($A229),'Festive dates'!$A$2:$J$5,2,FALSE),$A229&lt;VLOOKUP(YEAR($A229),'Festive dates'!$A$2:$J$5,3,FALSE)),1,0)</f>
        <v>0</v>
      </c>
      <c r="S229" s="9">
        <f>IF($A229=VLOOKUP(YEAR($A229),'Festive dates'!$A$2:$J$5,2,FALSE),1,0)</f>
        <v>0</v>
      </c>
      <c r="T229" s="9">
        <f>IF($A229=VLOOKUP(YEAR($A229),'Festive dates'!$A$2:$J$5,3,FALSE),1,0)</f>
        <v>0</v>
      </c>
      <c r="U229" s="9">
        <f>IF($A229=VLOOKUP(YEAR($A229),'Festive dates'!$A$2:$J$5,4,FALSE),1,0)</f>
        <v>0</v>
      </c>
      <c r="V229" s="9">
        <f>IF(AND($A229&gt;=VLOOKUP(YEAR($A229),'Festive dates'!$A$2:$J$5,9,FALSE),$A229&lt;=VLOOKUP(YEAR($A229),'Festive dates'!$A$2:$J$5,10,FALSE)),1,0)</f>
        <v>0</v>
      </c>
      <c r="W229" s="9">
        <f>IF($A229=VLOOKUP(YEAR($A229),'Festive dates'!$A$2:$J$5,7,FALSE),1,0)</f>
        <v>0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>
      <c r="A230" s="8">
        <v>45245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f>MAX(-20,MIN(10,$A230-VLOOKUP(YEAR($A230),'Festive dates'!$A$2:$J$5,8,FALSE)))</f>
        <v>3</v>
      </c>
      <c r="R230" s="9">
        <f>IF(AND($A230&gt;VLOOKUP(YEAR($A230),'Festive dates'!$A$2:$J$5,2,FALSE),$A230&lt;VLOOKUP(YEAR($A230),'Festive dates'!$A$2:$J$5,3,FALSE)),1,0)</f>
        <v>0</v>
      </c>
      <c r="S230" s="9">
        <f>IF($A230=VLOOKUP(YEAR($A230),'Festive dates'!$A$2:$J$5,2,FALSE),1,0)</f>
        <v>0</v>
      </c>
      <c r="T230" s="9">
        <f>IF($A230=VLOOKUP(YEAR($A230),'Festive dates'!$A$2:$J$5,3,FALSE),1,0)</f>
        <v>0</v>
      </c>
      <c r="U230" s="9">
        <f>IF($A230=VLOOKUP(YEAR($A230),'Festive dates'!$A$2:$J$5,4,FALSE),1,0)</f>
        <v>0</v>
      </c>
      <c r="V230" s="9">
        <f>IF(AND($A230&gt;=VLOOKUP(YEAR($A230),'Festive dates'!$A$2:$J$5,9,FALSE),$A230&lt;=VLOOKUP(YEAR($A230),'Festive dates'!$A$2:$J$5,10,FALSE)),1,0)</f>
        <v>0</v>
      </c>
      <c r="W230" s="9">
        <f>IF($A230=VLOOKUP(YEAR($A230),'Festive dates'!$A$2:$J$5,7,FALSE),1,0)</f>
        <v>0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>
      <c r="A231" s="8">
        <v>45246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1</v>
      </c>
      <c r="Q231" s="9">
        <f>MAX(-20,MIN(10,$A231-VLOOKUP(YEAR($A231),'Festive dates'!$A$2:$J$5,8,FALSE)))</f>
        <v>4</v>
      </c>
      <c r="R231" s="9">
        <f>IF(AND($A231&gt;VLOOKUP(YEAR($A231),'Festive dates'!$A$2:$J$5,2,FALSE),$A231&lt;VLOOKUP(YEAR($A231),'Festive dates'!$A$2:$J$5,3,FALSE)),1,0)</f>
        <v>0</v>
      </c>
      <c r="S231" s="9">
        <f>IF($A231=VLOOKUP(YEAR($A231),'Festive dates'!$A$2:$J$5,2,FALSE),1,0)</f>
        <v>0</v>
      </c>
      <c r="T231" s="9">
        <f>IF($A231=VLOOKUP(YEAR($A231),'Festive dates'!$A$2:$J$5,3,FALSE),1,0)</f>
        <v>0</v>
      </c>
      <c r="U231" s="9">
        <f>IF($A231=VLOOKUP(YEAR($A231),'Festive dates'!$A$2:$J$5,4,FALSE),1,0)</f>
        <v>0</v>
      </c>
      <c r="V231" s="9">
        <f>IF(AND($A231&gt;=VLOOKUP(YEAR($A231),'Festive dates'!$A$2:$J$5,9,FALSE),$A231&lt;=VLOOKUP(YEAR($A231),'Festive dates'!$A$2:$J$5,10,FALSE)),1,0)</f>
        <v>0</v>
      </c>
      <c r="W231" s="9">
        <f>IF($A231=VLOOKUP(YEAR($A231),'Festive dates'!$A$2:$J$5,7,FALSE),1,0)</f>
        <v>0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>
      <c r="A232" s="8">
        <v>45247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1</v>
      </c>
      <c r="Q232" s="9">
        <f>MAX(-20,MIN(10,$A232-VLOOKUP(YEAR($A232),'Festive dates'!$A$2:$J$5,8,FALSE)))</f>
        <v>5</v>
      </c>
      <c r="R232" s="9">
        <f>IF(AND($A232&gt;VLOOKUP(YEAR($A232),'Festive dates'!$A$2:$J$5,2,FALSE),$A232&lt;VLOOKUP(YEAR($A232),'Festive dates'!$A$2:$J$5,3,FALSE)),1,0)</f>
        <v>0</v>
      </c>
      <c r="S232" s="9">
        <f>IF($A232=VLOOKUP(YEAR($A232),'Festive dates'!$A$2:$J$5,2,FALSE),1,0)</f>
        <v>0</v>
      </c>
      <c r="T232" s="9">
        <f>IF($A232=VLOOKUP(YEAR($A232),'Festive dates'!$A$2:$J$5,3,FALSE),1,0)</f>
        <v>0</v>
      </c>
      <c r="U232" s="9">
        <f>IF($A232=VLOOKUP(YEAR($A232),'Festive dates'!$A$2:$J$5,4,FALSE),1,0)</f>
        <v>0</v>
      </c>
      <c r="V232" s="9">
        <f>IF(AND($A232&gt;=VLOOKUP(YEAR($A232),'Festive dates'!$A$2:$J$5,9,FALSE),$A232&lt;=VLOOKUP(YEAR($A232),'Festive dates'!$A$2:$J$5,10,FALSE)),1,0)</f>
        <v>0</v>
      </c>
      <c r="W232" s="9">
        <f>IF($A232=VLOOKUP(YEAR($A232),'Festive dates'!$A$2:$J$5,7,FALSE),1,0)</f>
        <v>0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>
      <c r="A233" s="8">
        <v>45248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f>MAX(-20,MIN(10,$A233-VLOOKUP(YEAR($A233),'Festive dates'!$A$2:$J$5,8,FALSE)))</f>
        <v>6</v>
      </c>
      <c r="R233" s="9">
        <f>IF(AND($A233&gt;VLOOKUP(YEAR($A233),'Festive dates'!$A$2:$J$5,2,FALSE),$A233&lt;VLOOKUP(YEAR($A233),'Festive dates'!$A$2:$J$5,3,FALSE)),1,0)</f>
        <v>0</v>
      </c>
      <c r="S233" s="9">
        <f>IF($A233=VLOOKUP(YEAR($A233),'Festive dates'!$A$2:$J$5,2,FALSE),1,0)</f>
        <v>0</v>
      </c>
      <c r="T233" s="9">
        <f>IF($A233=VLOOKUP(YEAR($A233),'Festive dates'!$A$2:$J$5,3,FALSE),1,0)</f>
        <v>0</v>
      </c>
      <c r="U233" s="9">
        <f>IF($A233=VLOOKUP(YEAR($A233),'Festive dates'!$A$2:$J$5,4,FALSE),1,0)</f>
        <v>0</v>
      </c>
      <c r="V233" s="9">
        <f>IF(AND($A233&gt;=VLOOKUP(YEAR($A233),'Festive dates'!$A$2:$J$5,9,FALSE),$A233&lt;=VLOOKUP(YEAR($A233),'Festive dates'!$A$2:$J$5,10,FALSE)),1,0)</f>
        <v>0</v>
      </c>
      <c r="W233" s="9">
        <f>IF($A233=VLOOKUP(YEAR($A233),'Festive dates'!$A$2:$J$5,7,FALSE),1,0)</f>
        <v>0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>
      <c r="A234" s="8">
        <v>45249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f>MAX(-20,MIN(10,$A234-VLOOKUP(YEAR($A234),'Festive dates'!$A$2:$J$5,8,FALSE)))</f>
        <v>7</v>
      </c>
      <c r="R234" s="9">
        <f>IF(AND($A234&gt;VLOOKUP(YEAR($A234),'Festive dates'!$A$2:$J$5,2,FALSE),$A234&lt;VLOOKUP(YEAR($A234),'Festive dates'!$A$2:$J$5,3,FALSE)),1,0)</f>
        <v>0</v>
      </c>
      <c r="S234" s="9">
        <f>IF($A234=VLOOKUP(YEAR($A234),'Festive dates'!$A$2:$J$5,2,FALSE),1,0)</f>
        <v>0</v>
      </c>
      <c r="T234" s="9">
        <f>IF($A234=VLOOKUP(YEAR($A234),'Festive dates'!$A$2:$J$5,3,FALSE),1,0)</f>
        <v>0</v>
      </c>
      <c r="U234" s="9">
        <f>IF($A234=VLOOKUP(YEAR($A234),'Festive dates'!$A$2:$J$5,4,FALSE),1,0)</f>
        <v>0</v>
      </c>
      <c r="V234" s="9">
        <f>IF(AND($A234&gt;=VLOOKUP(YEAR($A234),'Festive dates'!$A$2:$J$5,9,FALSE),$A234&lt;=VLOOKUP(YEAR($A234),'Festive dates'!$A$2:$J$5,10,FALSE)),1,0)</f>
        <v>0</v>
      </c>
      <c r="W234" s="9">
        <f>IF($A234=VLOOKUP(YEAR($A234),'Festive dates'!$A$2:$J$5,7,FALSE),1,0)</f>
        <v>0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>
      <c r="A235" s="8">
        <v>45250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1</v>
      </c>
      <c r="Q235" s="9">
        <f>MAX(-20,MIN(10,$A235-VLOOKUP(YEAR($A235),'Festive dates'!$A$2:$J$5,8,FALSE)))</f>
        <v>8</v>
      </c>
      <c r="R235" s="9">
        <f>IF(AND($A235&gt;VLOOKUP(YEAR($A235),'Festive dates'!$A$2:$J$5,2,FALSE),$A235&lt;VLOOKUP(YEAR($A235),'Festive dates'!$A$2:$J$5,3,FALSE)),1,0)</f>
        <v>0</v>
      </c>
      <c r="S235" s="9">
        <f>IF($A235=VLOOKUP(YEAR($A235),'Festive dates'!$A$2:$J$5,2,FALSE),1,0)</f>
        <v>0</v>
      </c>
      <c r="T235" s="9">
        <f>IF($A235=VLOOKUP(YEAR($A235),'Festive dates'!$A$2:$J$5,3,FALSE),1,0)</f>
        <v>0</v>
      </c>
      <c r="U235" s="9">
        <f>IF($A235=VLOOKUP(YEAR($A235),'Festive dates'!$A$2:$J$5,4,FALSE),1,0)</f>
        <v>0</v>
      </c>
      <c r="V235" s="9">
        <f>IF(AND($A235&gt;=VLOOKUP(YEAR($A235),'Festive dates'!$A$2:$J$5,9,FALSE),$A235&lt;=VLOOKUP(YEAR($A235),'Festive dates'!$A$2:$J$5,10,FALSE)),1,0)</f>
        <v>0</v>
      </c>
      <c r="W235" s="9">
        <f>IF($A235=VLOOKUP(YEAR($A235),'Festive dates'!$A$2:$J$5,7,FALSE),1,0)</f>
        <v>0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>
      <c r="A236" s="8">
        <v>45251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1</v>
      </c>
      <c r="Q236" s="9">
        <f>MAX(-20,MIN(10,$A236-VLOOKUP(YEAR($A236),'Festive dates'!$A$2:$J$5,8,FALSE)))</f>
        <v>9</v>
      </c>
      <c r="R236" s="9">
        <f>IF(AND($A236&gt;VLOOKUP(YEAR($A236),'Festive dates'!$A$2:$J$5,2,FALSE),$A236&lt;VLOOKUP(YEAR($A236),'Festive dates'!$A$2:$J$5,3,FALSE)),1,0)</f>
        <v>0</v>
      </c>
      <c r="S236" s="9">
        <f>IF($A236=VLOOKUP(YEAR($A236),'Festive dates'!$A$2:$J$5,2,FALSE),1,0)</f>
        <v>0</v>
      </c>
      <c r="T236" s="9">
        <f>IF($A236=VLOOKUP(YEAR($A236),'Festive dates'!$A$2:$J$5,3,FALSE),1,0)</f>
        <v>0</v>
      </c>
      <c r="U236" s="9">
        <f>IF($A236=VLOOKUP(YEAR($A236),'Festive dates'!$A$2:$J$5,4,FALSE),1,0)</f>
        <v>0</v>
      </c>
      <c r="V236" s="9">
        <f>IF(AND($A236&gt;=VLOOKUP(YEAR($A236),'Festive dates'!$A$2:$J$5,9,FALSE),$A236&lt;=VLOOKUP(YEAR($A236),'Festive dates'!$A$2:$J$5,10,FALSE)),1,0)</f>
        <v>0</v>
      </c>
      <c r="W236" s="9">
        <f>IF($A236=VLOOKUP(YEAR($A236),'Festive dates'!$A$2:$J$5,7,FALSE),1,0)</f>
        <v>0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>
      <c r="A237" s="8">
        <v>45252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1</v>
      </c>
      <c r="Q237" s="9">
        <f>MAX(-20,MIN(10,$A237-VLOOKUP(YEAR($A237),'Festive dates'!$A$2:$J$5,8,FALSE)))</f>
        <v>10</v>
      </c>
      <c r="R237" s="9">
        <f>IF(AND($A237&gt;VLOOKUP(YEAR($A237),'Festive dates'!$A$2:$J$5,2,FALSE),$A237&lt;VLOOKUP(YEAR($A237),'Festive dates'!$A$2:$J$5,3,FALSE)),1,0)</f>
        <v>0</v>
      </c>
      <c r="S237" s="9">
        <f>IF($A237=VLOOKUP(YEAR($A237),'Festive dates'!$A$2:$J$5,2,FALSE),1,0)</f>
        <v>0</v>
      </c>
      <c r="T237" s="9">
        <f>IF($A237=VLOOKUP(YEAR($A237),'Festive dates'!$A$2:$J$5,3,FALSE),1,0)</f>
        <v>0</v>
      </c>
      <c r="U237" s="9">
        <f>IF($A237=VLOOKUP(YEAR($A237),'Festive dates'!$A$2:$J$5,4,FALSE),1,0)</f>
        <v>0</v>
      </c>
      <c r="V237" s="9">
        <f>IF(AND($A237&gt;=VLOOKUP(YEAR($A237),'Festive dates'!$A$2:$J$5,9,FALSE),$A237&lt;=VLOOKUP(YEAR($A237),'Festive dates'!$A$2:$J$5,10,FALSE)),1,0)</f>
        <v>0</v>
      </c>
      <c r="W237" s="9">
        <f>IF($A237=VLOOKUP(YEAR($A237),'Festive dates'!$A$2:$J$5,7,FALSE),1,0)</f>
        <v>0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>
      <c r="A238" s="8">
        <v>45253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f>MAX(-20,MIN(10,$A238-VLOOKUP(YEAR($A238),'Festive dates'!$A$2:$J$5,8,FALSE)))</f>
        <v>10</v>
      </c>
      <c r="R238" s="9">
        <f>IF(AND($A238&gt;VLOOKUP(YEAR($A238),'Festive dates'!$A$2:$J$5,2,FALSE),$A238&lt;VLOOKUP(YEAR($A238),'Festive dates'!$A$2:$J$5,3,FALSE)),1,0)</f>
        <v>0</v>
      </c>
      <c r="S238" s="9">
        <f>IF($A238=VLOOKUP(YEAR($A238),'Festive dates'!$A$2:$J$5,2,FALSE),1,0)</f>
        <v>0</v>
      </c>
      <c r="T238" s="9">
        <f>IF($A238=VLOOKUP(YEAR($A238),'Festive dates'!$A$2:$J$5,3,FALSE),1,0)</f>
        <v>0</v>
      </c>
      <c r="U238" s="9">
        <f>IF($A238=VLOOKUP(YEAR($A238),'Festive dates'!$A$2:$J$5,4,FALSE),1,0)</f>
        <v>0</v>
      </c>
      <c r="V238" s="9">
        <f>IF(AND($A238&gt;=VLOOKUP(YEAR($A238),'Festive dates'!$A$2:$J$5,9,FALSE),$A238&lt;=VLOOKUP(YEAR($A238),'Festive dates'!$A$2:$J$5,10,FALSE)),1,0)</f>
        <v>0</v>
      </c>
      <c r="W238" s="9">
        <f>IF($A238=VLOOKUP(YEAR($A238),'Festive dates'!$A$2:$J$5,7,FALSE),1,0)</f>
        <v>0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>
      <c r="A239" s="8">
        <v>45254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f>MAX(-20,MIN(10,$A239-VLOOKUP(YEAR($A239),'Festive dates'!$A$2:$J$5,8,FALSE)))</f>
        <v>10</v>
      </c>
      <c r="R239" s="9">
        <f>IF(AND($A239&gt;VLOOKUP(YEAR($A239),'Festive dates'!$A$2:$J$5,2,FALSE),$A239&lt;VLOOKUP(YEAR($A239),'Festive dates'!$A$2:$J$5,3,FALSE)),1,0)</f>
        <v>0</v>
      </c>
      <c r="S239" s="9">
        <f>IF($A239=VLOOKUP(YEAR($A239),'Festive dates'!$A$2:$J$5,2,FALSE),1,0)</f>
        <v>0</v>
      </c>
      <c r="T239" s="9">
        <f>IF($A239=VLOOKUP(YEAR($A239),'Festive dates'!$A$2:$J$5,3,FALSE),1,0)</f>
        <v>0</v>
      </c>
      <c r="U239" s="9">
        <f>IF($A239=VLOOKUP(YEAR($A239),'Festive dates'!$A$2:$J$5,4,FALSE),1,0)</f>
        <v>0</v>
      </c>
      <c r="V239" s="9">
        <f>IF(AND($A239&gt;=VLOOKUP(YEAR($A239),'Festive dates'!$A$2:$J$5,9,FALSE),$A239&lt;=VLOOKUP(YEAR($A239),'Festive dates'!$A$2:$J$5,10,FALSE)),1,0)</f>
        <v>0</v>
      </c>
      <c r="W239" s="9">
        <f>IF($A239=VLOOKUP(YEAR($A239),'Festive dates'!$A$2:$J$5,7,FALSE),1,0)</f>
        <v>0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>
      <c r="A240" s="8">
        <v>45255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f>MAX(-20,MIN(10,$A240-VLOOKUP(YEAR($A240),'Festive dates'!$A$2:$J$5,8,FALSE)))</f>
        <v>10</v>
      </c>
      <c r="R240" s="9">
        <f>IF(AND($A240&gt;VLOOKUP(YEAR($A240),'Festive dates'!$A$2:$J$5,2,FALSE),$A240&lt;VLOOKUP(YEAR($A240),'Festive dates'!$A$2:$J$5,3,FALSE)),1,0)</f>
        <v>0</v>
      </c>
      <c r="S240" s="9">
        <f>IF($A240=VLOOKUP(YEAR($A240),'Festive dates'!$A$2:$J$5,2,FALSE),1,0)</f>
        <v>0</v>
      </c>
      <c r="T240" s="9">
        <f>IF($A240=VLOOKUP(YEAR($A240),'Festive dates'!$A$2:$J$5,3,FALSE),1,0)</f>
        <v>0</v>
      </c>
      <c r="U240" s="9">
        <f>IF($A240=VLOOKUP(YEAR($A240),'Festive dates'!$A$2:$J$5,4,FALSE),1,0)</f>
        <v>0</v>
      </c>
      <c r="V240" s="9">
        <f>IF(AND($A240&gt;=VLOOKUP(YEAR($A240),'Festive dates'!$A$2:$J$5,9,FALSE),$A240&lt;=VLOOKUP(YEAR($A240),'Festive dates'!$A$2:$J$5,10,FALSE)),1,0)</f>
        <v>0</v>
      </c>
      <c r="W240" s="9">
        <f>IF($A240=VLOOKUP(YEAR($A240),'Festive dates'!$A$2:$J$5,7,FALSE),1,0)</f>
        <v>0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>
      <c r="A241" s="8">
        <v>45256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f>MAX(-20,MIN(10,$A241-VLOOKUP(YEAR($A241),'Festive dates'!$A$2:$J$5,8,FALSE)))</f>
        <v>10</v>
      </c>
      <c r="R241" s="9">
        <f>IF(AND($A241&gt;VLOOKUP(YEAR($A241),'Festive dates'!$A$2:$J$5,2,FALSE),$A241&lt;VLOOKUP(YEAR($A241),'Festive dates'!$A$2:$J$5,3,FALSE)),1,0)</f>
        <v>0</v>
      </c>
      <c r="S241" s="9">
        <f>IF($A241=VLOOKUP(YEAR($A241),'Festive dates'!$A$2:$J$5,2,FALSE),1,0)</f>
        <v>0</v>
      </c>
      <c r="T241" s="9">
        <f>IF($A241=VLOOKUP(YEAR($A241),'Festive dates'!$A$2:$J$5,3,FALSE),1,0)</f>
        <v>0</v>
      </c>
      <c r="U241" s="9">
        <f>IF($A241=VLOOKUP(YEAR($A241),'Festive dates'!$A$2:$J$5,4,FALSE),1,0)</f>
        <v>0</v>
      </c>
      <c r="V241" s="9">
        <f>IF(AND($A241&gt;=VLOOKUP(YEAR($A241),'Festive dates'!$A$2:$J$5,9,FALSE),$A241&lt;=VLOOKUP(YEAR($A241),'Festive dates'!$A$2:$J$5,10,FALSE)),1,0)</f>
        <v>0</v>
      </c>
      <c r="W241" s="9">
        <f>IF($A241=VLOOKUP(YEAR($A241),'Festive dates'!$A$2:$J$5,7,FALSE),1,0)</f>
        <v>0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>
      <c r="A242" s="8">
        <v>45257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f>MAX(-20,MIN(10,$A242-VLOOKUP(YEAR($A242),'Festive dates'!$A$2:$J$5,8,FALSE)))</f>
        <v>10</v>
      </c>
      <c r="R242" s="9">
        <f>IF(AND($A242&gt;VLOOKUP(YEAR($A242),'Festive dates'!$A$2:$J$5,2,FALSE),$A242&lt;VLOOKUP(YEAR($A242),'Festive dates'!$A$2:$J$5,3,FALSE)),1,0)</f>
        <v>0</v>
      </c>
      <c r="S242" s="9">
        <f>IF($A242=VLOOKUP(YEAR($A242),'Festive dates'!$A$2:$J$5,2,FALSE),1,0)</f>
        <v>0</v>
      </c>
      <c r="T242" s="9">
        <f>IF($A242=VLOOKUP(YEAR($A242),'Festive dates'!$A$2:$J$5,3,FALSE),1,0)</f>
        <v>0</v>
      </c>
      <c r="U242" s="9">
        <f>IF($A242=VLOOKUP(YEAR($A242),'Festive dates'!$A$2:$J$5,4,FALSE),1,0)</f>
        <v>0</v>
      </c>
      <c r="V242" s="9">
        <f>IF(AND($A242&gt;=VLOOKUP(YEAR($A242),'Festive dates'!$A$2:$J$5,9,FALSE),$A242&lt;=VLOOKUP(YEAR($A242),'Festive dates'!$A$2:$J$5,10,FALSE)),1,0)</f>
        <v>0</v>
      </c>
      <c r="W242" s="9">
        <f>IF($A242=VLOOKUP(YEAR($A242),'Festive dates'!$A$2:$J$5,7,FALSE),1,0)</f>
        <v>0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>
      <c r="A243" s="8">
        <v>45258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1</v>
      </c>
      <c r="Q243" s="9">
        <f>MAX(-20,MIN(10,$A243-VLOOKUP(YEAR($A243),'Festive dates'!$A$2:$J$5,8,FALSE)))</f>
        <v>10</v>
      </c>
      <c r="R243" s="9">
        <f>IF(AND($A243&gt;VLOOKUP(YEAR($A243),'Festive dates'!$A$2:$J$5,2,FALSE),$A243&lt;VLOOKUP(YEAR($A243),'Festive dates'!$A$2:$J$5,3,FALSE)),1,0)</f>
        <v>0</v>
      </c>
      <c r="S243" s="9">
        <f>IF($A243=VLOOKUP(YEAR($A243),'Festive dates'!$A$2:$J$5,2,FALSE),1,0)</f>
        <v>0</v>
      </c>
      <c r="T243" s="9">
        <f>IF($A243=VLOOKUP(YEAR($A243),'Festive dates'!$A$2:$J$5,3,FALSE),1,0)</f>
        <v>0</v>
      </c>
      <c r="U243" s="9">
        <f>IF($A243=VLOOKUP(YEAR($A243),'Festive dates'!$A$2:$J$5,4,FALSE),1,0)</f>
        <v>0</v>
      </c>
      <c r="V243" s="9">
        <f>IF(AND($A243&gt;=VLOOKUP(YEAR($A243),'Festive dates'!$A$2:$J$5,9,FALSE),$A243&lt;=VLOOKUP(YEAR($A243),'Festive dates'!$A$2:$J$5,10,FALSE)),1,0)</f>
        <v>0</v>
      </c>
      <c r="W243" s="9">
        <f>IF($A243=VLOOKUP(YEAR($A243),'Festive dates'!$A$2:$J$5,7,FALSE),1,0)</f>
        <v>0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>
      <c r="A244" s="8">
        <v>45259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1</v>
      </c>
      <c r="Q244" s="9">
        <f>MAX(-20,MIN(10,$A244-VLOOKUP(YEAR($A244),'Festive dates'!$A$2:$J$5,8,FALSE)))</f>
        <v>10</v>
      </c>
      <c r="R244" s="9">
        <f>IF(AND($A244&gt;VLOOKUP(YEAR($A244),'Festive dates'!$A$2:$J$5,2,FALSE),$A244&lt;VLOOKUP(YEAR($A244),'Festive dates'!$A$2:$J$5,3,FALSE)),1,0)</f>
        <v>0</v>
      </c>
      <c r="S244" s="9">
        <f>IF($A244=VLOOKUP(YEAR($A244),'Festive dates'!$A$2:$J$5,2,FALSE),1,0)</f>
        <v>0</v>
      </c>
      <c r="T244" s="9">
        <f>IF($A244=VLOOKUP(YEAR($A244),'Festive dates'!$A$2:$J$5,3,FALSE),1,0)</f>
        <v>0</v>
      </c>
      <c r="U244" s="9">
        <f>IF($A244=VLOOKUP(YEAR($A244),'Festive dates'!$A$2:$J$5,4,FALSE),1,0)</f>
        <v>0</v>
      </c>
      <c r="V244" s="9">
        <f>IF(AND($A244&gt;=VLOOKUP(YEAR($A244),'Festive dates'!$A$2:$J$5,9,FALSE),$A244&lt;=VLOOKUP(YEAR($A244),'Festive dates'!$A$2:$J$5,10,FALSE)),1,0)</f>
        <v>0</v>
      </c>
      <c r="W244" s="9">
        <f>IF($A244=VLOOKUP(YEAR($A244),'Festive dates'!$A$2:$J$5,7,FALSE),1,0)</f>
        <v>0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>
      <c r="A245" s="8">
        <v>45260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1</v>
      </c>
      <c r="Q245" s="9">
        <f>MAX(-20,MIN(10,$A245-VLOOKUP(YEAR($A245),'Festive dates'!$A$2:$J$5,8,FALSE)))</f>
        <v>10</v>
      </c>
      <c r="R245" s="9">
        <f>IF(AND($A245&gt;VLOOKUP(YEAR($A245),'Festive dates'!$A$2:$J$5,2,FALSE),$A245&lt;VLOOKUP(YEAR($A245),'Festive dates'!$A$2:$J$5,3,FALSE)),1,0)</f>
        <v>0</v>
      </c>
      <c r="S245" s="9">
        <f>IF($A245=VLOOKUP(YEAR($A245),'Festive dates'!$A$2:$J$5,2,FALSE),1,0)</f>
        <v>0</v>
      </c>
      <c r="T245" s="9">
        <f>IF($A245=VLOOKUP(YEAR($A245),'Festive dates'!$A$2:$J$5,3,FALSE),1,0)</f>
        <v>0</v>
      </c>
      <c r="U245" s="9">
        <f>IF($A245=VLOOKUP(YEAR($A245),'Festive dates'!$A$2:$J$5,4,FALSE),1,0)</f>
        <v>0</v>
      </c>
      <c r="V245" s="9">
        <f>IF(AND($A245&gt;=VLOOKUP(YEAR($A245),'Festive dates'!$A$2:$J$5,9,FALSE),$A245&lt;=VLOOKUP(YEAR($A245),'Festive dates'!$A$2:$J$5,10,FALSE)),1,0)</f>
        <v>0</v>
      </c>
      <c r="W245" s="9">
        <f>IF($A245=VLOOKUP(YEAR($A245),'Festive dates'!$A$2:$J$5,7,FALSE),1,0)</f>
        <v>0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>
      <c r="A246" s="8">
        <v>45261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1</v>
      </c>
      <c r="Q246" s="9">
        <f>MAX(-20,MIN(10,$A246-VLOOKUP(YEAR($A246),'Festive dates'!$A$2:$J$5,8,FALSE)))</f>
        <v>10</v>
      </c>
      <c r="R246" s="9">
        <f>IF(AND($A246&gt;VLOOKUP(YEAR($A246),'Festive dates'!$A$2:$J$5,2,FALSE),$A246&lt;VLOOKUP(YEAR($A246),'Festive dates'!$A$2:$J$5,3,FALSE)),1,0)</f>
        <v>0</v>
      </c>
      <c r="S246" s="9">
        <f>IF($A246=VLOOKUP(YEAR($A246),'Festive dates'!$A$2:$J$5,2,FALSE),1,0)</f>
        <v>0</v>
      </c>
      <c r="T246" s="9">
        <f>IF($A246=VLOOKUP(YEAR($A246),'Festive dates'!$A$2:$J$5,3,FALSE),1,0)</f>
        <v>0</v>
      </c>
      <c r="U246" s="9">
        <f>IF($A246=VLOOKUP(YEAR($A246),'Festive dates'!$A$2:$J$5,4,FALSE),1,0)</f>
        <v>0</v>
      </c>
      <c r="V246" s="9">
        <f>IF(AND($A246&gt;=VLOOKUP(YEAR($A246),'Festive dates'!$A$2:$J$5,9,FALSE),$A246&lt;=VLOOKUP(YEAR($A246),'Festive dates'!$A$2:$J$5,10,FALSE)),1,0)</f>
        <v>0</v>
      </c>
      <c r="W246" s="9">
        <f>IF($A246=VLOOKUP(YEAR($A246),'Festive dates'!$A$2:$J$5,7,FALSE),1,0)</f>
        <v>0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>
      <c r="A247" s="8">
        <v>45262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1</v>
      </c>
      <c r="Q247" s="9">
        <f>MAX(-20,MIN(10,$A247-VLOOKUP(YEAR($A247),'Festive dates'!$A$2:$J$5,8,FALSE)))</f>
        <v>10</v>
      </c>
      <c r="R247" s="9">
        <f>IF(AND($A247&gt;VLOOKUP(YEAR($A247),'Festive dates'!$A$2:$J$5,2,FALSE),$A247&lt;VLOOKUP(YEAR($A247),'Festive dates'!$A$2:$J$5,3,FALSE)),1,0)</f>
        <v>0</v>
      </c>
      <c r="S247" s="9">
        <f>IF($A247=VLOOKUP(YEAR($A247),'Festive dates'!$A$2:$J$5,2,FALSE),1,0)</f>
        <v>0</v>
      </c>
      <c r="T247" s="9">
        <f>IF($A247=VLOOKUP(YEAR($A247),'Festive dates'!$A$2:$J$5,3,FALSE),1,0)</f>
        <v>0</v>
      </c>
      <c r="U247" s="9">
        <f>IF($A247=VLOOKUP(YEAR($A247),'Festive dates'!$A$2:$J$5,4,FALSE),1,0)</f>
        <v>0</v>
      </c>
      <c r="V247" s="9">
        <f>IF(AND($A247&gt;=VLOOKUP(YEAR($A247),'Festive dates'!$A$2:$J$5,9,FALSE),$A247&lt;=VLOOKUP(YEAR($A247),'Festive dates'!$A$2:$J$5,10,FALSE)),1,0)</f>
        <v>0</v>
      </c>
      <c r="W247" s="9">
        <f>IF($A247=VLOOKUP(YEAR($A247),'Festive dates'!$A$2:$J$5,7,FALSE),1,0)</f>
        <v>0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>
      <c r="A248" s="8">
        <v>45263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f>MAX(-20,MIN(10,$A248-VLOOKUP(YEAR($A248),'Festive dates'!$A$2:$J$5,8,FALSE)))</f>
        <v>10</v>
      </c>
      <c r="R248" s="9">
        <f>IF(AND($A248&gt;VLOOKUP(YEAR($A248),'Festive dates'!$A$2:$J$5,2,FALSE),$A248&lt;VLOOKUP(YEAR($A248),'Festive dates'!$A$2:$J$5,3,FALSE)),1,0)</f>
        <v>0</v>
      </c>
      <c r="S248" s="9">
        <f>IF($A248=VLOOKUP(YEAR($A248),'Festive dates'!$A$2:$J$5,2,FALSE),1,0)</f>
        <v>0</v>
      </c>
      <c r="T248" s="9">
        <f>IF($A248=VLOOKUP(YEAR($A248),'Festive dates'!$A$2:$J$5,3,FALSE),1,0)</f>
        <v>0</v>
      </c>
      <c r="U248" s="9">
        <f>IF($A248=VLOOKUP(YEAR($A248),'Festive dates'!$A$2:$J$5,4,FALSE),1,0)</f>
        <v>0</v>
      </c>
      <c r="V248" s="9">
        <f>IF(AND($A248&gt;=VLOOKUP(YEAR($A248),'Festive dates'!$A$2:$J$5,9,FALSE),$A248&lt;=VLOOKUP(YEAR($A248),'Festive dates'!$A$2:$J$5,10,FALSE)),1,0)</f>
        <v>0</v>
      </c>
      <c r="W248" s="9">
        <f>IF($A248=VLOOKUP(YEAR($A248),'Festive dates'!$A$2:$J$5,7,FALSE),1,0)</f>
        <v>0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>
      <c r="A249" s="8">
        <v>45264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1</v>
      </c>
      <c r="Q249" s="9">
        <f>MAX(-20,MIN(10,$A249-VLOOKUP(YEAR($A249),'Festive dates'!$A$2:$J$5,8,FALSE)))</f>
        <v>10</v>
      </c>
      <c r="R249" s="9">
        <f>IF(AND($A249&gt;VLOOKUP(YEAR($A249),'Festive dates'!$A$2:$J$5,2,FALSE),$A249&lt;VLOOKUP(YEAR($A249),'Festive dates'!$A$2:$J$5,3,FALSE)),1,0)</f>
        <v>0</v>
      </c>
      <c r="S249" s="9">
        <f>IF($A249=VLOOKUP(YEAR($A249),'Festive dates'!$A$2:$J$5,2,FALSE),1,0)</f>
        <v>0</v>
      </c>
      <c r="T249" s="9">
        <f>IF($A249=VLOOKUP(YEAR($A249),'Festive dates'!$A$2:$J$5,3,FALSE),1,0)</f>
        <v>0</v>
      </c>
      <c r="U249" s="9">
        <f>IF($A249=VLOOKUP(YEAR($A249),'Festive dates'!$A$2:$J$5,4,FALSE),1,0)</f>
        <v>0</v>
      </c>
      <c r="V249" s="9">
        <f>IF(AND($A249&gt;=VLOOKUP(YEAR($A249),'Festive dates'!$A$2:$J$5,9,FALSE),$A249&lt;=VLOOKUP(YEAR($A249),'Festive dates'!$A$2:$J$5,10,FALSE)),1,0)</f>
        <v>0</v>
      </c>
      <c r="W249" s="9">
        <f>IF($A249=VLOOKUP(YEAR($A249),'Festive dates'!$A$2:$J$5,7,FALSE),1,0)</f>
        <v>0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>
      <c r="A250" s="8">
        <v>45265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f>MAX(-20,MIN(10,$A250-VLOOKUP(YEAR($A250),'Festive dates'!$A$2:$J$5,8,FALSE)))</f>
        <v>10</v>
      </c>
      <c r="R250" s="9">
        <f>IF(AND($A250&gt;VLOOKUP(YEAR($A250),'Festive dates'!$A$2:$J$5,2,FALSE),$A250&lt;VLOOKUP(YEAR($A250),'Festive dates'!$A$2:$J$5,3,FALSE)),1,0)</f>
        <v>0</v>
      </c>
      <c r="S250" s="9">
        <f>IF($A250=VLOOKUP(YEAR($A250),'Festive dates'!$A$2:$J$5,2,FALSE),1,0)</f>
        <v>0</v>
      </c>
      <c r="T250" s="9">
        <f>IF($A250=VLOOKUP(YEAR($A250),'Festive dates'!$A$2:$J$5,3,FALSE),1,0)</f>
        <v>0</v>
      </c>
      <c r="U250" s="9">
        <f>IF($A250=VLOOKUP(YEAR($A250),'Festive dates'!$A$2:$J$5,4,FALSE),1,0)</f>
        <v>0</v>
      </c>
      <c r="V250" s="9">
        <f>IF(AND($A250&gt;=VLOOKUP(YEAR($A250),'Festive dates'!$A$2:$J$5,9,FALSE),$A250&lt;=VLOOKUP(YEAR($A250),'Festive dates'!$A$2:$J$5,10,FALSE)),1,0)</f>
        <v>0</v>
      </c>
      <c r="W250" s="9">
        <f>IF($A250=VLOOKUP(YEAR($A250),'Festive dates'!$A$2:$J$5,7,FALSE),1,0)</f>
        <v>0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>
      <c r="A251" s="8">
        <v>45266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f>MAX(-20,MIN(10,$A251-VLOOKUP(YEAR($A251),'Festive dates'!$A$2:$J$5,8,FALSE)))</f>
        <v>10</v>
      </c>
      <c r="R251" s="9">
        <f>IF(AND($A251&gt;VLOOKUP(YEAR($A251),'Festive dates'!$A$2:$J$5,2,FALSE),$A251&lt;VLOOKUP(YEAR($A251),'Festive dates'!$A$2:$J$5,3,FALSE)),1,0)</f>
        <v>0</v>
      </c>
      <c r="S251" s="9">
        <f>IF($A251=VLOOKUP(YEAR($A251),'Festive dates'!$A$2:$J$5,2,FALSE),1,0)</f>
        <v>0</v>
      </c>
      <c r="T251" s="9">
        <f>IF($A251=VLOOKUP(YEAR($A251),'Festive dates'!$A$2:$J$5,3,FALSE),1,0)</f>
        <v>0</v>
      </c>
      <c r="U251" s="9">
        <f>IF($A251=VLOOKUP(YEAR($A251),'Festive dates'!$A$2:$J$5,4,FALSE),1,0)</f>
        <v>0</v>
      </c>
      <c r="V251" s="9">
        <f>IF(AND($A251&gt;=VLOOKUP(YEAR($A251),'Festive dates'!$A$2:$J$5,9,FALSE),$A251&lt;=VLOOKUP(YEAR($A251),'Festive dates'!$A$2:$J$5,10,FALSE)),1,0)</f>
        <v>0</v>
      </c>
      <c r="W251" s="9">
        <f>IF($A251=VLOOKUP(YEAR($A251),'Festive dates'!$A$2:$J$5,7,FALSE),1,0)</f>
        <v>0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>
      <c r="A252" s="8">
        <v>45267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f>MAX(-20,MIN(10,$A252-VLOOKUP(YEAR($A252),'Festive dates'!$A$2:$J$5,8,FALSE)))</f>
        <v>10</v>
      </c>
      <c r="R252" s="9">
        <f>IF(AND($A252&gt;VLOOKUP(YEAR($A252),'Festive dates'!$A$2:$J$5,2,FALSE),$A252&lt;VLOOKUP(YEAR($A252),'Festive dates'!$A$2:$J$5,3,FALSE)),1,0)</f>
        <v>0</v>
      </c>
      <c r="S252" s="9">
        <f>IF($A252=VLOOKUP(YEAR($A252),'Festive dates'!$A$2:$J$5,2,FALSE),1,0)</f>
        <v>0</v>
      </c>
      <c r="T252" s="9">
        <f>IF($A252=VLOOKUP(YEAR($A252),'Festive dates'!$A$2:$J$5,3,FALSE),1,0)</f>
        <v>0</v>
      </c>
      <c r="U252" s="9">
        <f>IF($A252=VLOOKUP(YEAR($A252),'Festive dates'!$A$2:$J$5,4,FALSE),1,0)</f>
        <v>0</v>
      </c>
      <c r="V252" s="9">
        <f>IF(AND($A252&gt;=VLOOKUP(YEAR($A252),'Festive dates'!$A$2:$J$5,9,FALSE),$A252&lt;=VLOOKUP(YEAR($A252),'Festive dates'!$A$2:$J$5,10,FALSE)),1,0)</f>
        <v>0</v>
      </c>
      <c r="W252" s="9">
        <f>IF($A252=VLOOKUP(YEAR($A252),'Festive dates'!$A$2:$J$5,7,FALSE),1,0)</f>
        <v>0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>
      <c r="A253" s="8">
        <v>45268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1</v>
      </c>
      <c r="Q253" s="9">
        <f>MAX(-20,MIN(10,$A253-VLOOKUP(YEAR($A253),'Festive dates'!$A$2:$J$5,8,FALSE)))</f>
        <v>10</v>
      </c>
      <c r="R253" s="9">
        <f>IF(AND($A253&gt;VLOOKUP(YEAR($A253),'Festive dates'!$A$2:$J$5,2,FALSE),$A253&lt;VLOOKUP(YEAR($A253),'Festive dates'!$A$2:$J$5,3,FALSE)),1,0)</f>
        <v>0</v>
      </c>
      <c r="S253" s="9">
        <f>IF($A253=VLOOKUP(YEAR($A253),'Festive dates'!$A$2:$J$5,2,FALSE),1,0)</f>
        <v>0</v>
      </c>
      <c r="T253" s="9">
        <f>IF($A253=VLOOKUP(YEAR($A253),'Festive dates'!$A$2:$J$5,3,FALSE),1,0)</f>
        <v>0</v>
      </c>
      <c r="U253" s="9">
        <f>IF($A253=VLOOKUP(YEAR($A253),'Festive dates'!$A$2:$J$5,4,FALSE),1,0)</f>
        <v>0</v>
      </c>
      <c r="V253" s="9">
        <f>IF(AND($A253&gt;=VLOOKUP(YEAR($A253),'Festive dates'!$A$2:$J$5,9,FALSE),$A253&lt;=VLOOKUP(YEAR($A253),'Festive dates'!$A$2:$J$5,10,FALSE)),1,0)</f>
        <v>0</v>
      </c>
      <c r="W253" s="9">
        <f>IF($A253=VLOOKUP(YEAR($A253),'Festive dates'!$A$2:$J$5,7,FALSE),1,0)</f>
        <v>0</v>
      </c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>
      <c r="A254" s="8">
        <v>45269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f>MAX(-20,MIN(10,$A254-VLOOKUP(YEAR($A254),'Festive dates'!$A$2:$J$5,8,FALSE)))</f>
        <v>10</v>
      </c>
      <c r="R254" s="9">
        <f>IF(AND($A254&gt;VLOOKUP(YEAR($A254),'Festive dates'!$A$2:$J$5,2,FALSE),$A254&lt;VLOOKUP(YEAR($A254),'Festive dates'!$A$2:$J$5,3,FALSE)),1,0)</f>
        <v>0</v>
      </c>
      <c r="S254" s="9">
        <f>IF($A254=VLOOKUP(YEAR($A254),'Festive dates'!$A$2:$J$5,2,FALSE),1,0)</f>
        <v>0</v>
      </c>
      <c r="T254" s="9">
        <f>IF($A254=VLOOKUP(YEAR($A254),'Festive dates'!$A$2:$J$5,3,FALSE),1,0)</f>
        <v>0</v>
      </c>
      <c r="U254" s="9">
        <f>IF($A254=VLOOKUP(YEAR($A254),'Festive dates'!$A$2:$J$5,4,FALSE),1,0)</f>
        <v>0</v>
      </c>
      <c r="V254" s="9">
        <f>IF(AND($A254&gt;=VLOOKUP(YEAR($A254),'Festive dates'!$A$2:$J$5,9,FALSE),$A254&lt;=VLOOKUP(YEAR($A254),'Festive dates'!$A$2:$J$5,10,FALSE)),1,0)</f>
        <v>0</v>
      </c>
      <c r="W254" s="9">
        <f>IF($A254=VLOOKUP(YEAR($A254),'Festive dates'!$A$2:$J$5,7,FALSE),1,0)</f>
        <v>0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>
      <c r="A255" s="8">
        <v>45270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f>MAX(-20,MIN(10,$A255-VLOOKUP(YEAR($A255),'Festive dates'!$A$2:$J$5,8,FALSE)))</f>
        <v>10</v>
      </c>
      <c r="R255" s="9">
        <f>IF(AND($A255&gt;VLOOKUP(YEAR($A255),'Festive dates'!$A$2:$J$5,2,FALSE),$A255&lt;VLOOKUP(YEAR($A255),'Festive dates'!$A$2:$J$5,3,FALSE)),1,0)</f>
        <v>0</v>
      </c>
      <c r="S255" s="9">
        <f>IF($A255=VLOOKUP(YEAR($A255),'Festive dates'!$A$2:$J$5,2,FALSE),1,0)</f>
        <v>0</v>
      </c>
      <c r="T255" s="9">
        <f>IF($A255=VLOOKUP(YEAR($A255),'Festive dates'!$A$2:$J$5,3,FALSE),1,0)</f>
        <v>0</v>
      </c>
      <c r="U255" s="9">
        <f>IF($A255=VLOOKUP(YEAR($A255),'Festive dates'!$A$2:$J$5,4,FALSE),1,0)</f>
        <v>0</v>
      </c>
      <c r="V255" s="9">
        <f>IF(AND($A255&gt;=VLOOKUP(YEAR($A255),'Festive dates'!$A$2:$J$5,9,FALSE),$A255&lt;=VLOOKUP(YEAR($A255),'Festive dates'!$A$2:$J$5,10,FALSE)),1,0)</f>
        <v>0</v>
      </c>
      <c r="W255" s="9">
        <f>IF($A255=VLOOKUP(YEAR($A255),'Festive dates'!$A$2:$J$5,7,FALSE),1,0)</f>
        <v>0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>
      <c r="A256" s="8">
        <v>45271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f>MAX(-20,MIN(10,$A256-VLOOKUP(YEAR($A256),'Festive dates'!$A$2:$J$5,8,FALSE)))</f>
        <v>10</v>
      </c>
      <c r="R256" s="9">
        <f>IF(AND($A256&gt;VLOOKUP(YEAR($A256),'Festive dates'!$A$2:$J$5,2,FALSE),$A256&lt;VLOOKUP(YEAR($A256),'Festive dates'!$A$2:$J$5,3,FALSE)),1,0)</f>
        <v>0</v>
      </c>
      <c r="S256" s="9">
        <f>IF($A256=VLOOKUP(YEAR($A256),'Festive dates'!$A$2:$J$5,2,FALSE),1,0)</f>
        <v>0</v>
      </c>
      <c r="T256" s="9">
        <f>IF($A256=VLOOKUP(YEAR($A256),'Festive dates'!$A$2:$J$5,3,FALSE),1,0)</f>
        <v>0</v>
      </c>
      <c r="U256" s="9">
        <f>IF($A256=VLOOKUP(YEAR($A256),'Festive dates'!$A$2:$J$5,4,FALSE),1,0)</f>
        <v>0</v>
      </c>
      <c r="V256" s="9">
        <f>IF(AND($A256&gt;=VLOOKUP(YEAR($A256),'Festive dates'!$A$2:$J$5,9,FALSE),$A256&lt;=VLOOKUP(YEAR($A256),'Festive dates'!$A$2:$J$5,10,FALSE)),1,0)</f>
        <v>0</v>
      </c>
      <c r="W256" s="9">
        <f>IF($A256=VLOOKUP(YEAR($A256),'Festive dates'!$A$2:$J$5,7,FALSE),1,0)</f>
        <v>0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>
      <c r="A257" s="8">
        <v>45272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f>MAX(-20,MIN(10,$A257-VLOOKUP(YEAR($A257),'Festive dates'!$A$2:$J$5,8,FALSE)))</f>
        <v>10</v>
      </c>
      <c r="R257" s="9">
        <f>IF(AND($A257&gt;VLOOKUP(YEAR($A257),'Festive dates'!$A$2:$J$5,2,FALSE),$A257&lt;VLOOKUP(YEAR($A257),'Festive dates'!$A$2:$J$5,3,FALSE)),1,0)</f>
        <v>0</v>
      </c>
      <c r="S257" s="9">
        <f>IF($A257=VLOOKUP(YEAR($A257),'Festive dates'!$A$2:$J$5,2,FALSE),1,0)</f>
        <v>0</v>
      </c>
      <c r="T257" s="9">
        <f>IF($A257=VLOOKUP(YEAR($A257),'Festive dates'!$A$2:$J$5,3,FALSE),1,0)</f>
        <v>0</v>
      </c>
      <c r="U257" s="9">
        <f>IF($A257=VLOOKUP(YEAR($A257),'Festive dates'!$A$2:$J$5,4,FALSE),1,0)</f>
        <v>0</v>
      </c>
      <c r="V257" s="9">
        <f>IF(AND($A257&gt;=VLOOKUP(YEAR($A257),'Festive dates'!$A$2:$J$5,9,FALSE),$A257&lt;=VLOOKUP(YEAR($A257),'Festive dates'!$A$2:$J$5,10,FALSE)),1,0)</f>
        <v>0</v>
      </c>
      <c r="W257" s="9">
        <f>IF($A257=VLOOKUP(YEAR($A257),'Festive dates'!$A$2:$J$5,7,FALSE),1,0)</f>
        <v>0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>
      <c r="A258" s="8">
        <v>45273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f>MAX(-20,MIN(10,$A258-VLOOKUP(YEAR($A258),'Festive dates'!$A$2:$J$5,8,FALSE)))</f>
        <v>10</v>
      </c>
      <c r="R258" s="9">
        <f>IF(AND($A258&gt;VLOOKUP(YEAR($A258),'Festive dates'!$A$2:$J$5,2,FALSE),$A258&lt;VLOOKUP(YEAR($A258),'Festive dates'!$A$2:$J$5,3,FALSE)),1,0)</f>
        <v>0</v>
      </c>
      <c r="S258" s="9">
        <f>IF($A258=VLOOKUP(YEAR($A258),'Festive dates'!$A$2:$J$5,2,FALSE),1,0)</f>
        <v>0</v>
      </c>
      <c r="T258" s="9">
        <f>IF($A258=VLOOKUP(YEAR($A258),'Festive dates'!$A$2:$J$5,3,FALSE),1,0)</f>
        <v>0</v>
      </c>
      <c r="U258" s="9">
        <f>IF($A258=VLOOKUP(YEAR($A258),'Festive dates'!$A$2:$J$5,4,FALSE),1,0)</f>
        <v>0</v>
      </c>
      <c r="V258" s="9">
        <f>IF(AND($A258&gt;=VLOOKUP(YEAR($A258),'Festive dates'!$A$2:$J$5,9,FALSE),$A258&lt;=VLOOKUP(YEAR($A258),'Festive dates'!$A$2:$J$5,10,FALSE)),1,0)</f>
        <v>0</v>
      </c>
      <c r="W258" s="9">
        <f>IF($A258=VLOOKUP(YEAR($A258),'Festive dates'!$A$2:$J$5,7,FALSE),1,0)</f>
        <v>0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>
      <c r="A259" s="8">
        <v>45274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f>MAX(-20,MIN(10,$A259-VLOOKUP(YEAR($A259),'Festive dates'!$A$2:$J$5,8,FALSE)))</f>
        <v>10</v>
      </c>
      <c r="R259" s="9">
        <f>IF(AND($A259&gt;VLOOKUP(YEAR($A259),'Festive dates'!$A$2:$J$5,2,FALSE),$A259&lt;VLOOKUP(YEAR($A259),'Festive dates'!$A$2:$J$5,3,FALSE)),1,0)</f>
        <v>0</v>
      </c>
      <c r="S259" s="9">
        <f>IF($A259=VLOOKUP(YEAR($A259),'Festive dates'!$A$2:$J$5,2,FALSE),1,0)</f>
        <v>0</v>
      </c>
      <c r="T259" s="9">
        <f>IF($A259=VLOOKUP(YEAR($A259),'Festive dates'!$A$2:$J$5,3,FALSE),1,0)</f>
        <v>0</v>
      </c>
      <c r="U259" s="9">
        <f>IF($A259=VLOOKUP(YEAR($A259),'Festive dates'!$A$2:$J$5,4,FALSE),1,0)</f>
        <v>0</v>
      </c>
      <c r="V259" s="9">
        <f>IF(AND($A259&gt;=VLOOKUP(YEAR($A259),'Festive dates'!$A$2:$J$5,9,FALSE),$A259&lt;=VLOOKUP(YEAR($A259),'Festive dates'!$A$2:$J$5,10,FALSE)),1,0)</f>
        <v>0</v>
      </c>
      <c r="W259" s="9">
        <f>IF($A259=VLOOKUP(YEAR($A259),'Festive dates'!$A$2:$J$5,7,FALSE),1,0)</f>
        <v>0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>
      <c r="A260" s="8">
        <v>45275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f>MAX(-20,MIN(10,$A260-VLOOKUP(YEAR($A260),'Festive dates'!$A$2:$J$5,8,FALSE)))</f>
        <v>10</v>
      </c>
      <c r="R260" s="9">
        <f>IF(AND($A260&gt;VLOOKUP(YEAR($A260),'Festive dates'!$A$2:$J$5,2,FALSE),$A260&lt;VLOOKUP(YEAR($A260),'Festive dates'!$A$2:$J$5,3,FALSE)),1,0)</f>
        <v>0</v>
      </c>
      <c r="S260" s="9">
        <f>IF($A260=VLOOKUP(YEAR($A260),'Festive dates'!$A$2:$J$5,2,FALSE),1,0)</f>
        <v>0</v>
      </c>
      <c r="T260" s="9">
        <f>IF($A260=VLOOKUP(YEAR($A260),'Festive dates'!$A$2:$J$5,3,FALSE),1,0)</f>
        <v>0</v>
      </c>
      <c r="U260" s="9">
        <f>IF($A260=VLOOKUP(YEAR($A260),'Festive dates'!$A$2:$J$5,4,FALSE),1,0)</f>
        <v>0</v>
      </c>
      <c r="V260" s="9">
        <f>IF(AND($A260&gt;=VLOOKUP(YEAR($A260),'Festive dates'!$A$2:$J$5,9,FALSE),$A260&lt;=VLOOKUP(YEAR($A260),'Festive dates'!$A$2:$J$5,10,FALSE)),1,0)</f>
        <v>0</v>
      </c>
      <c r="W260" s="9">
        <f>IF($A260=VLOOKUP(YEAR($A260),'Festive dates'!$A$2:$J$5,7,FALSE),1,0)</f>
        <v>0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>
      <c r="A261" s="8">
        <v>45276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f>MAX(-20,MIN(10,$A261-VLOOKUP(YEAR($A261),'Festive dates'!$A$2:$J$5,8,FALSE)))</f>
        <v>10</v>
      </c>
      <c r="R261" s="9">
        <f>IF(AND($A261&gt;VLOOKUP(YEAR($A261),'Festive dates'!$A$2:$J$5,2,FALSE),$A261&lt;VLOOKUP(YEAR($A261),'Festive dates'!$A$2:$J$5,3,FALSE)),1,0)</f>
        <v>0</v>
      </c>
      <c r="S261" s="9">
        <f>IF($A261=VLOOKUP(YEAR($A261),'Festive dates'!$A$2:$J$5,2,FALSE),1,0)</f>
        <v>0</v>
      </c>
      <c r="T261" s="9">
        <f>IF($A261=VLOOKUP(YEAR($A261),'Festive dates'!$A$2:$J$5,3,FALSE),1,0)</f>
        <v>0</v>
      </c>
      <c r="U261" s="9">
        <f>IF($A261=VLOOKUP(YEAR($A261),'Festive dates'!$A$2:$J$5,4,FALSE),1,0)</f>
        <v>0</v>
      </c>
      <c r="V261" s="9">
        <f>IF(AND($A261&gt;=VLOOKUP(YEAR($A261),'Festive dates'!$A$2:$J$5,9,FALSE),$A261&lt;=VLOOKUP(YEAR($A261),'Festive dates'!$A$2:$J$5,10,FALSE)),1,0)</f>
        <v>0</v>
      </c>
      <c r="W261" s="9">
        <f>IF($A261=VLOOKUP(YEAR($A261),'Festive dates'!$A$2:$J$5,7,FALSE),1,0)</f>
        <v>0</v>
      </c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>
      <c r="A262" s="8">
        <v>45277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f>MAX(-20,MIN(10,$A262-VLOOKUP(YEAR($A262),'Festive dates'!$A$2:$J$5,8,FALSE)))</f>
        <v>10</v>
      </c>
      <c r="R262" s="9">
        <f>IF(AND($A262&gt;VLOOKUP(YEAR($A262),'Festive dates'!$A$2:$J$5,2,FALSE),$A262&lt;VLOOKUP(YEAR($A262),'Festive dates'!$A$2:$J$5,3,FALSE)),1,0)</f>
        <v>0</v>
      </c>
      <c r="S262" s="9">
        <f>IF($A262=VLOOKUP(YEAR($A262),'Festive dates'!$A$2:$J$5,2,FALSE),1,0)</f>
        <v>0</v>
      </c>
      <c r="T262" s="9">
        <f>IF($A262=VLOOKUP(YEAR($A262),'Festive dates'!$A$2:$J$5,3,FALSE),1,0)</f>
        <v>0</v>
      </c>
      <c r="U262" s="9">
        <f>IF($A262=VLOOKUP(YEAR($A262),'Festive dates'!$A$2:$J$5,4,FALSE),1,0)</f>
        <v>0</v>
      </c>
      <c r="V262" s="9">
        <f>IF(AND($A262&gt;=VLOOKUP(YEAR($A262),'Festive dates'!$A$2:$J$5,9,FALSE),$A262&lt;=VLOOKUP(YEAR($A262),'Festive dates'!$A$2:$J$5,10,FALSE)),1,0)</f>
        <v>0</v>
      </c>
      <c r="W262" s="9">
        <f>IF($A262=VLOOKUP(YEAR($A262),'Festive dates'!$A$2:$J$5,7,FALSE),1,0)</f>
        <v>0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>
      <c r="A263" s="8">
        <v>45278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f>MAX(-20,MIN(10,$A263-VLOOKUP(YEAR($A263),'Festive dates'!$A$2:$J$5,8,FALSE)))</f>
        <v>10</v>
      </c>
      <c r="R263" s="9">
        <f>IF(AND($A263&gt;VLOOKUP(YEAR($A263),'Festive dates'!$A$2:$J$5,2,FALSE),$A263&lt;VLOOKUP(YEAR($A263),'Festive dates'!$A$2:$J$5,3,FALSE)),1,0)</f>
        <v>0</v>
      </c>
      <c r="S263" s="9">
        <f>IF($A263=VLOOKUP(YEAR($A263),'Festive dates'!$A$2:$J$5,2,FALSE),1,0)</f>
        <v>0</v>
      </c>
      <c r="T263" s="9">
        <f>IF($A263=VLOOKUP(YEAR($A263),'Festive dates'!$A$2:$J$5,3,FALSE),1,0)</f>
        <v>0</v>
      </c>
      <c r="U263" s="9">
        <f>IF($A263=VLOOKUP(YEAR($A263),'Festive dates'!$A$2:$J$5,4,FALSE),1,0)</f>
        <v>0</v>
      </c>
      <c r="V263" s="9">
        <f>IF(AND($A263&gt;=VLOOKUP(YEAR($A263),'Festive dates'!$A$2:$J$5,9,FALSE),$A263&lt;=VLOOKUP(YEAR($A263),'Festive dates'!$A$2:$J$5,10,FALSE)),1,0)</f>
        <v>0</v>
      </c>
      <c r="W263" s="9">
        <f>IF($A263=VLOOKUP(YEAR($A263),'Festive dates'!$A$2:$J$5,7,FALSE),1,0)</f>
        <v>0</v>
      </c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>
      <c r="A264" s="8">
        <v>45279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f>MAX(-20,MIN(10,$A264-VLOOKUP(YEAR($A264),'Festive dates'!$A$2:$J$5,8,FALSE)))</f>
        <v>10</v>
      </c>
      <c r="R264" s="9">
        <f>IF(AND($A264&gt;VLOOKUP(YEAR($A264),'Festive dates'!$A$2:$J$5,2,FALSE),$A264&lt;VLOOKUP(YEAR($A264),'Festive dates'!$A$2:$J$5,3,FALSE)),1,0)</f>
        <v>0</v>
      </c>
      <c r="S264" s="9">
        <f>IF($A264=VLOOKUP(YEAR($A264),'Festive dates'!$A$2:$J$5,2,FALSE),1,0)</f>
        <v>0</v>
      </c>
      <c r="T264" s="9">
        <f>IF($A264=VLOOKUP(YEAR($A264),'Festive dates'!$A$2:$J$5,3,FALSE),1,0)</f>
        <v>0</v>
      </c>
      <c r="U264" s="9">
        <f>IF($A264=VLOOKUP(YEAR($A264),'Festive dates'!$A$2:$J$5,4,FALSE),1,0)</f>
        <v>0</v>
      </c>
      <c r="V264" s="9">
        <f>IF(AND($A264&gt;=VLOOKUP(YEAR($A264),'Festive dates'!$A$2:$J$5,9,FALSE),$A264&lt;=VLOOKUP(YEAR($A264),'Festive dates'!$A$2:$J$5,10,FALSE)),1,0)</f>
        <v>0</v>
      </c>
      <c r="W264" s="9">
        <f>IF($A264=VLOOKUP(YEAR($A264),'Festive dates'!$A$2:$J$5,7,FALSE),1,0)</f>
        <v>0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>
      <c r="A265" s="8">
        <v>45280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f>MAX(-20,MIN(10,$A265-VLOOKUP(YEAR($A265),'Festive dates'!$A$2:$J$5,8,FALSE)))</f>
        <v>10</v>
      </c>
      <c r="R265" s="9">
        <f>IF(AND($A265&gt;VLOOKUP(YEAR($A265),'Festive dates'!$A$2:$J$5,2,FALSE),$A265&lt;VLOOKUP(YEAR($A265),'Festive dates'!$A$2:$J$5,3,FALSE)),1,0)</f>
        <v>0</v>
      </c>
      <c r="S265" s="9">
        <f>IF($A265=VLOOKUP(YEAR($A265),'Festive dates'!$A$2:$J$5,2,FALSE),1,0)</f>
        <v>0</v>
      </c>
      <c r="T265" s="9">
        <f>IF($A265=VLOOKUP(YEAR($A265),'Festive dates'!$A$2:$J$5,3,FALSE),1,0)</f>
        <v>0</v>
      </c>
      <c r="U265" s="9">
        <f>IF($A265=VLOOKUP(YEAR($A265),'Festive dates'!$A$2:$J$5,4,FALSE),1,0)</f>
        <v>0</v>
      </c>
      <c r="V265" s="9">
        <f>IF(AND($A265&gt;=VLOOKUP(YEAR($A265),'Festive dates'!$A$2:$J$5,9,FALSE),$A265&lt;=VLOOKUP(YEAR($A265),'Festive dates'!$A$2:$J$5,10,FALSE)),1,0)</f>
        <v>0</v>
      </c>
      <c r="W265" s="9">
        <f>IF($A265=VLOOKUP(YEAR($A265),'Festive dates'!$A$2:$J$5,7,FALSE),1,0)</f>
        <v>0</v>
      </c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>
      <c r="A266" s="8">
        <v>45281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f>MAX(-20,MIN(10,$A266-VLOOKUP(YEAR($A266),'Festive dates'!$A$2:$J$5,8,FALSE)))</f>
        <v>10</v>
      </c>
      <c r="R266" s="9">
        <f>IF(AND($A266&gt;VLOOKUP(YEAR($A266),'Festive dates'!$A$2:$J$5,2,FALSE),$A266&lt;VLOOKUP(YEAR($A266),'Festive dates'!$A$2:$J$5,3,FALSE)),1,0)</f>
        <v>0</v>
      </c>
      <c r="S266" s="9">
        <f>IF($A266=VLOOKUP(YEAR($A266),'Festive dates'!$A$2:$J$5,2,FALSE),1,0)</f>
        <v>0</v>
      </c>
      <c r="T266" s="9">
        <f>IF($A266=VLOOKUP(YEAR($A266),'Festive dates'!$A$2:$J$5,3,FALSE),1,0)</f>
        <v>0</v>
      </c>
      <c r="U266" s="9">
        <f>IF($A266=VLOOKUP(YEAR($A266),'Festive dates'!$A$2:$J$5,4,FALSE),1,0)</f>
        <v>0</v>
      </c>
      <c r="V266" s="9">
        <f>IF(AND($A266&gt;=VLOOKUP(YEAR($A266),'Festive dates'!$A$2:$J$5,9,FALSE),$A266&lt;=VLOOKUP(YEAR($A266),'Festive dates'!$A$2:$J$5,10,FALSE)),1,0)</f>
        <v>0</v>
      </c>
      <c r="W266" s="9">
        <f>IF($A266=VLOOKUP(YEAR($A266),'Festive dates'!$A$2:$J$5,7,FALSE),1,0)</f>
        <v>0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>
      <c r="A267" s="8">
        <v>45282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f>MAX(-20,MIN(10,$A267-VLOOKUP(YEAR($A267),'Festive dates'!$A$2:$J$5,8,FALSE)))</f>
        <v>10</v>
      </c>
      <c r="R267" s="9">
        <f>IF(AND($A267&gt;VLOOKUP(YEAR($A267),'Festive dates'!$A$2:$J$5,2,FALSE),$A267&lt;VLOOKUP(YEAR($A267),'Festive dates'!$A$2:$J$5,3,FALSE)),1,0)</f>
        <v>0</v>
      </c>
      <c r="S267" s="9">
        <f>IF($A267=VLOOKUP(YEAR($A267),'Festive dates'!$A$2:$J$5,2,FALSE),1,0)</f>
        <v>0</v>
      </c>
      <c r="T267" s="9">
        <f>IF($A267=VLOOKUP(YEAR($A267),'Festive dates'!$A$2:$J$5,3,FALSE),1,0)</f>
        <v>0</v>
      </c>
      <c r="U267" s="9">
        <f>IF($A267=VLOOKUP(YEAR($A267),'Festive dates'!$A$2:$J$5,4,FALSE),1,0)</f>
        <v>0</v>
      </c>
      <c r="V267" s="9">
        <f>IF(AND($A267&gt;=VLOOKUP(YEAR($A267),'Festive dates'!$A$2:$J$5,9,FALSE),$A267&lt;=VLOOKUP(YEAR($A267),'Festive dates'!$A$2:$J$5,10,FALSE)),1,0)</f>
        <v>0</v>
      </c>
      <c r="W267" s="9">
        <f>IF($A267=VLOOKUP(YEAR($A267),'Festive dates'!$A$2:$J$5,7,FALSE),1,0)</f>
        <v>0</v>
      </c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>
      <c r="A268" s="8">
        <v>45283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f>MAX(-20,MIN(10,$A268-VLOOKUP(YEAR($A268),'Festive dates'!$A$2:$J$5,8,FALSE)))</f>
        <v>10</v>
      </c>
      <c r="R268" s="9">
        <f>IF(AND($A268&gt;VLOOKUP(YEAR($A268),'Festive dates'!$A$2:$J$5,2,FALSE),$A268&lt;VLOOKUP(YEAR($A268),'Festive dates'!$A$2:$J$5,3,FALSE)),1,0)</f>
        <v>0</v>
      </c>
      <c r="S268" s="9">
        <f>IF($A268=VLOOKUP(YEAR($A268),'Festive dates'!$A$2:$J$5,2,FALSE),1,0)</f>
        <v>0</v>
      </c>
      <c r="T268" s="9">
        <f>IF($A268=VLOOKUP(YEAR($A268),'Festive dates'!$A$2:$J$5,3,FALSE),1,0)</f>
        <v>0</v>
      </c>
      <c r="U268" s="9">
        <f>IF($A268=VLOOKUP(YEAR($A268),'Festive dates'!$A$2:$J$5,4,FALSE),1,0)</f>
        <v>0</v>
      </c>
      <c r="V268" s="9">
        <f>IF(AND($A268&gt;=VLOOKUP(YEAR($A268),'Festive dates'!$A$2:$J$5,9,FALSE),$A268&lt;=VLOOKUP(YEAR($A268),'Festive dates'!$A$2:$J$5,10,FALSE)),1,0)</f>
        <v>0</v>
      </c>
      <c r="W268" s="9">
        <f>IF($A268=VLOOKUP(YEAR($A268),'Festive dates'!$A$2:$J$5,7,FALSE),1,0)</f>
        <v>0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>
      <c r="A269" s="8">
        <v>45284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f>MAX(-20,MIN(10,$A269-VLOOKUP(YEAR($A269),'Festive dates'!$A$2:$J$5,8,FALSE)))</f>
        <v>10</v>
      </c>
      <c r="R269" s="9">
        <f>IF(AND($A269&gt;VLOOKUP(YEAR($A269),'Festive dates'!$A$2:$J$5,2,FALSE),$A269&lt;VLOOKUP(YEAR($A269),'Festive dates'!$A$2:$J$5,3,FALSE)),1,0)</f>
        <v>0</v>
      </c>
      <c r="S269" s="9">
        <f>IF($A269=VLOOKUP(YEAR($A269),'Festive dates'!$A$2:$J$5,2,FALSE),1,0)</f>
        <v>0</v>
      </c>
      <c r="T269" s="9">
        <f>IF($A269=VLOOKUP(YEAR($A269),'Festive dates'!$A$2:$J$5,3,FALSE),1,0)</f>
        <v>0</v>
      </c>
      <c r="U269" s="9">
        <f>IF($A269=VLOOKUP(YEAR($A269),'Festive dates'!$A$2:$J$5,4,FALSE),1,0)</f>
        <v>0</v>
      </c>
      <c r="V269" s="9">
        <f>IF(AND($A269&gt;=VLOOKUP(YEAR($A269),'Festive dates'!$A$2:$J$5,9,FALSE),$A269&lt;=VLOOKUP(YEAR($A269),'Festive dates'!$A$2:$J$5,10,FALSE)),1,0)</f>
        <v>0</v>
      </c>
      <c r="W269" s="9">
        <f>IF($A269=VLOOKUP(YEAR($A269),'Festive dates'!$A$2:$J$5,7,FALSE),1,0)</f>
        <v>0</v>
      </c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>
      <c r="A270" s="8">
        <v>45285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f>MAX(-20,MIN(10,$A270-VLOOKUP(YEAR($A270),'Festive dates'!$A$2:$J$5,8,FALSE)))</f>
        <v>10</v>
      </c>
      <c r="R270" s="9">
        <f>IF(AND($A270&gt;VLOOKUP(YEAR($A270),'Festive dates'!$A$2:$J$5,2,FALSE),$A270&lt;VLOOKUP(YEAR($A270),'Festive dates'!$A$2:$J$5,3,FALSE)),1,0)</f>
        <v>0</v>
      </c>
      <c r="S270" s="9">
        <f>IF($A270=VLOOKUP(YEAR($A270),'Festive dates'!$A$2:$J$5,2,FALSE),1,0)</f>
        <v>0</v>
      </c>
      <c r="T270" s="9">
        <f>IF($A270=VLOOKUP(YEAR($A270),'Festive dates'!$A$2:$J$5,3,FALSE),1,0)</f>
        <v>0</v>
      </c>
      <c r="U270" s="9">
        <f>IF($A270=VLOOKUP(YEAR($A270),'Festive dates'!$A$2:$J$5,4,FALSE),1,0)</f>
        <v>0</v>
      </c>
      <c r="V270" s="9">
        <f>IF(AND($A270&gt;=VLOOKUP(YEAR($A270),'Festive dates'!$A$2:$J$5,9,FALSE),$A270&lt;=VLOOKUP(YEAR($A270),'Festive dates'!$A$2:$J$5,10,FALSE)),1,0)</f>
        <v>0</v>
      </c>
      <c r="W270" s="9">
        <f>IF($A270=VLOOKUP(YEAR($A270),'Festive dates'!$A$2:$J$5,7,FALSE),1,0)</f>
        <v>0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>
      <c r="A271" s="8">
        <v>45286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f>MAX(-20,MIN(10,$A271-VLOOKUP(YEAR($A271),'Festive dates'!$A$2:$J$5,8,FALSE)))</f>
        <v>10</v>
      </c>
      <c r="R271" s="9">
        <f>IF(AND($A271&gt;VLOOKUP(YEAR($A271),'Festive dates'!$A$2:$J$5,2,FALSE),$A271&lt;VLOOKUP(YEAR($A271),'Festive dates'!$A$2:$J$5,3,FALSE)),1,0)</f>
        <v>0</v>
      </c>
      <c r="S271" s="9">
        <f>IF($A271=VLOOKUP(YEAR($A271),'Festive dates'!$A$2:$J$5,2,FALSE),1,0)</f>
        <v>0</v>
      </c>
      <c r="T271" s="9">
        <f>IF($A271=VLOOKUP(YEAR($A271),'Festive dates'!$A$2:$J$5,3,FALSE),1,0)</f>
        <v>0</v>
      </c>
      <c r="U271" s="9">
        <f>IF($A271=VLOOKUP(YEAR($A271),'Festive dates'!$A$2:$J$5,4,FALSE),1,0)</f>
        <v>0</v>
      </c>
      <c r="V271" s="9">
        <f>IF(AND($A271&gt;=VLOOKUP(YEAR($A271),'Festive dates'!$A$2:$J$5,9,FALSE),$A271&lt;=VLOOKUP(YEAR($A271),'Festive dates'!$A$2:$J$5,10,FALSE)),1,0)</f>
        <v>0</v>
      </c>
      <c r="W271" s="9">
        <f>IF($A271=VLOOKUP(YEAR($A271),'Festive dates'!$A$2:$J$5,7,FALSE),1,0)</f>
        <v>0</v>
      </c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>
      <c r="A272" s="8">
        <v>45287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f>MAX(-20,MIN(10,$A272-VLOOKUP(YEAR($A272),'Festive dates'!$A$2:$J$5,8,FALSE)))</f>
        <v>10</v>
      </c>
      <c r="R272" s="9">
        <f>IF(AND($A272&gt;VLOOKUP(YEAR($A272),'Festive dates'!$A$2:$J$5,2,FALSE),$A272&lt;VLOOKUP(YEAR($A272),'Festive dates'!$A$2:$J$5,3,FALSE)),1,0)</f>
        <v>0</v>
      </c>
      <c r="S272" s="9">
        <f>IF($A272=VLOOKUP(YEAR($A272),'Festive dates'!$A$2:$J$5,2,FALSE),1,0)</f>
        <v>0</v>
      </c>
      <c r="T272" s="9">
        <f>IF($A272=VLOOKUP(YEAR($A272),'Festive dates'!$A$2:$J$5,3,FALSE),1,0)</f>
        <v>0</v>
      </c>
      <c r="U272" s="9">
        <f>IF($A272=VLOOKUP(YEAR($A272),'Festive dates'!$A$2:$J$5,4,FALSE),1,0)</f>
        <v>0</v>
      </c>
      <c r="V272" s="9">
        <f>IF(AND($A272&gt;=VLOOKUP(YEAR($A272),'Festive dates'!$A$2:$J$5,9,FALSE),$A272&lt;=VLOOKUP(YEAR($A272),'Festive dates'!$A$2:$J$5,10,FALSE)),1,0)</f>
        <v>0</v>
      </c>
      <c r="W272" s="9">
        <f>IF($A272=VLOOKUP(YEAR($A272),'Festive dates'!$A$2:$J$5,7,FALSE),1,0)</f>
        <v>0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>
      <c r="A273" s="8">
        <v>45288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f>MAX(-20,MIN(10,$A273-VLOOKUP(YEAR($A273),'Festive dates'!$A$2:$J$5,8,FALSE)))</f>
        <v>10</v>
      </c>
      <c r="R273" s="9">
        <f>IF(AND($A273&gt;VLOOKUP(YEAR($A273),'Festive dates'!$A$2:$J$5,2,FALSE),$A273&lt;VLOOKUP(YEAR($A273),'Festive dates'!$A$2:$J$5,3,FALSE)),1,0)</f>
        <v>0</v>
      </c>
      <c r="S273" s="9">
        <f>IF($A273=VLOOKUP(YEAR($A273),'Festive dates'!$A$2:$J$5,2,FALSE),1,0)</f>
        <v>0</v>
      </c>
      <c r="T273" s="9">
        <f>IF($A273=VLOOKUP(YEAR($A273),'Festive dates'!$A$2:$J$5,3,FALSE),1,0)</f>
        <v>0</v>
      </c>
      <c r="U273" s="9">
        <f>IF($A273=VLOOKUP(YEAR($A273),'Festive dates'!$A$2:$J$5,4,FALSE),1,0)</f>
        <v>0</v>
      </c>
      <c r="V273" s="9">
        <f>IF(AND($A273&gt;=VLOOKUP(YEAR($A273),'Festive dates'!$A$2:$J$5,9,FALSE),$A273&lt;=VLOOKUP(YEAR($A273),'Festive dates'!$A$2:$J$5,10,FALSE)),1,0)</f>
        <v>0</v>
      </c>
      <c r="W273" s="9">
        <f>IF($A273=VLOOKUP(YEAR($A273),'Festive dates'!$A$2:$J$5,7,FALSE),1,0)</f>
        <v>0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>
      <c r="A274" s="8">
        <v>45289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f>MAX(-20,MIN(10,$A274-VLOOKUP(YEAR($A274),'Festive dates'!$A$2:$J$5,8,FALSE)))</f>
        <v>10</v>
      </c>
      <c r="R274" s="9">
        <f>IF(AND($A274&gt;VLOOKUP(YEAR($A274),'Festive dates'!$A$2:$J$5,2,FALSE),$A274&lt;VLOOKUP(YEAR($A274),'Festive dates'!$A$2:$J$5,3,FALSE)),1,0)</f>
        <v>0</v>
      </c>
      <c r="S274" s="9">
        <f>IF($A274=VLOOKUP(YEAR($A274),'Festive dates'!$A$2:$J$5,2,FALSE),1,0)</f>
        <v>0</v>
      </c>
      <c r="T274" s="9">
        <f>IF($A274=VLOOKUP(YEAR($A274),'Festive dates'!$A$2:$J$5,3,FALSE),1,0)</f>
        <v>0</v>
      </c>
      <c r="U274" s="9">
        <f>IF($A274=VLOOKUP(YEAR($A274),'Festive dates'!$A$2:$J$5,4,FALSE),1,0)</f>
        <v>0</v>
      </c>
      <c r="V274" s="9">
        <f>IF(AND($A274&gt;=VLOOKUP(YEAR($A274),'Festive dates'!$A$2:$J$5,9,FALSE),$A274&lt;=VLOOKUP(YEAR($A274),'Festive dates'!$A$2:$J$5,10,FALSE)),1,0)</f>
        <v>0</v>
      </c>
      <c r="W274" s="9">
        <f>IF($A274=VLOOKUP(YEAR($A274),'Festive dates'!$A$2:$J$5,7,FALSE),1,0)</f>
        <v>0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>
      <c r="A275" s="8">
        <v>45290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f>MAX(-20,MIN(10,$A275-VLOOKUP(YEAR($A275),'Festive dates'!$A$2:$J$5,8,FALSE)))</f>
        <v>10</v>
      </c>
      <c r="R275" s="9">
        <f>IF(AND($A275&gt;VLOOKUP(YEAR($A275),'Festive dates'!$A$2:$J$5,2,FALSE),$A275&lt;VLOOKUP(YEAR($A275),'Festive dates'!$A$2:$J$5,3,FALSE)),1,0)</f>
        <v>0</v>
      </c>
      <c r="S275" s="9">
        <f>IF($A275=VLOOKUP(YEAR($A275),'Festive dates'!$A$2:$J$5,2,FALSE),1,0)</f>
        <v>0</v>
      </c>
      <c r="T275" s="9">
        <f>IF($A275=VLOOKUP(YEAR($A275),'Festive dates'!$A$2:$J$5,3,FALSE),1,0)</f>
        <v>0</v>
      </c>
      <c r="U275" s="9">
        <f>IF($A275=VLOOKUP(YEAR($A275),'Festive dates'!$A$2:$J$5,4,FALSE),1,0)</f>
        <v>0</v>
      </c>
      <c r="V275" s="9">
        <f>IF(AND($A275&gt;=VLOOKUP(YEAR($A275),'Festive dates'!$A$2:$J$5,9,FALSE),$A275&lt;=VLOOKUP(YEAR($A275),'Festive dates'!$A$2:$J$5,10,FALSE)),1,0)</f>
        <v>0</v>
      </c>
      <c r="W275" s="9">
        <f>IF($A275=VLOOKUP(YEAR($A275),'Festive dates'!$A$2:$J$5,7,FALSE),1,0)</f>
        <v>0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>
      <c r="A276" s="8">
        <v>45291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f>MAX(-20,MIN(10,$A276-VLOOKUP(YEAR($A276),'Festive dates'!$A$2:$J$5,8,FALSE)))</f>
        <v>10</v>
      </c>
      <c r="R276" s="9">
        <f>IF(AND($A276&gt;VLOOKUP(YEAR($A276),'Festive dates'!$A$2:$J$5,2,FALSE),$A276&lt;VLOOKUP(YEAR($A276),'Festive dates'!$A$2:$J$5,3,FALSE)),1,0)</f>
        <v>0</v>
      </c>
      <c r="S276" s="9">
        <f>IF($A276=VLOOKUP(YEAR($A276),'Festive dates'!$A$2:$J$5,2,FALSE),1,0)</f>
        <v>0</v>
      </c>
      <c r="T276" s="9">
        <f>IF($A276=VLOOKUP(YEAR($A276),'Festive dates'!$A$2:$J$5,3,FALSE),1,0)</f>
        <v>0</v>
      </c>
      <c r="U276" s="9">
        <f>IF($A276=VLOOKUP(YEAR($A276),'Festive dates'!$A$2:$J$5,4,FALSE),1,0)</f>
        <v>0</v>
      </c>
      <c r="V276" s="9">
        <f>IF(AND($A276&gt;=VLOOKUP(YEAR($A276),'Festive dates'!$A$2:$J$5,9,FALSE),$A276&lt;=VLOOKUP(YEAR($A276),'Festive dates'!$A$2:$J$5,10,FALSE)),1,0)</f>
        <v>0</v>
      </c>
      <c r="W276" s="9">
        <f>IF($A276=VLOOKUP(YEAR($A276),'Festive dates'!$A$2:$J$5,7,FALSE),1,0)</f>
        <v>0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>
      <c r="A277" s="8">
        <v>45292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f>MAX(-20,MIN(10,$A277-VLOOKUP(YEAR($A277),'Festive dates'!$A$2:$J$5,8,FALSE)))</f>
        <v>-20</v>
      </c>
      <c r="R277" s="9">
        <f>IF(AND($A277&gt;VLOOKUP(YEAR($A277),'Festive dates'!$A$2:$J$5,2,FALSE),$A277&lt;VLOOKUP(YEAR($A277),'Festive dates'!$A$2:$J$5,3,FALSE)),1,0)</f>
        <v>0</v>
      </c>
      <c r="S277" s="9">
        <f>IF($A277=VLOOKUP(YEAR($A277),'Festive dates'!$A$2:$J$5,2,FALSE),1,0)</f>
        <v>0</v>
      </c>
      <c r="T277" s="9">
        <f>IF($A277=VLOOKUP(YEAR($A277),'Festive dates'!$A$2:$J$5,3,FALSE),1,0)</f>
        <v>0</v>
      </c>
      <c r="U277" s="9">
        <f>IF($A277=VLOOKUP(YEAR($A277),'Festive dates'!$A$2:$J$5,4,FALSE),1,0)</f>
        <v>0</v>
      </c>
      <c r="V277" s="9">
        <f>IF(AND($A277&gt;=VLOOKUP(YEAR($A277),'Festive dates'!$A$2:$J$5,9,FALSE),$A277&lt;=VLOOKUP(YEAR($A277),'Festive dates'!$A$2:$J$5,10,FALSE)),1,0)</f>
        <v>0</v>
      </c>
      <c r="W277" s="9">
        <f>IF($A277=VLOOKUP(YEAR($A277),'Festive dates'!$A$2:$J$5,7,FALSE),1,0)</f>
        <v>0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>
      <c r="A278" s="8">
        <v>45293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f>MAX(-20,MIN(10,$A278-VLOOKUP(YEAR($A278),'Festive dates'!$A$2:$J$5,8,FALSE)))</f>
        <v>-20</v>
      </c>
      <c r="R278" s="9">
        <f>IF(AND($A278&gt;VLOOKUP(YEAR($A278),'Festive dates'!$A$2:$J$5,2,FALSE),$A278&lt;VLOOKUP(YEAR($A278),'Festive dates'!$A$2:$J$5,3,FALSE)),1,0)</f>
        <v>0</v>
      </c>
      <c r="S278" s="9">
        <f>IF($A278=VLOOKUP(YEAR($A278),'Festive dates'!$A$2:$J$5,2,FALSE),1,0)</f>
        <v>0</v>
      </c>
      <c r="T278" s="9">
        <f>IF($A278=VLOOKUP(YEAR($A278),'Festive dates'!$A$2:$J$5,3,FALSE),1,0)</f>
        <v>0</v>
      </c>
      <c r="U278" s="9">
        <f>IF($A278=VLOOKUP(YEAR($A278),'Festive dates'!$A$2:$J$5,4,FALSE),1,0)</f>
        <v>0</v>
      </c>
      <c r="V278" s="9">
        <f>IF(AND($A278&gt;=VLOOKUP(YEAR($A278),'Festive dates'!$A$2:$J$5,9,FALSE),$A278&lt;=VLOOKUP(YEAR($A278),'Festive dates'!$A$2:$J$5,10,FALSE)),1,0)</f>
        <v>0</v>
      </c>
      <c r="W278" s="9">
        <f>IF($A278=VLOOKUP(YEAR($A278),'Festive dates'!$A$2:$J$5,7,FALSE),1,0)</f>
        <v>0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>
      <c r="A279" s="8">
        <v>45294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f>MAX(-20,MIN(10,$A279-VLOOKUP(YEAR($A279),'Festive dates'!$A$2:$J$5,8,FALSE)))</f>
        <v>-20</v>
      </c>
      <c r="R279" s="9">
        <f>IF(AND($A279&gt;VLOOKUP(YEAR($A279),'Festive dates'!$A$2:$J$5,2,FALSE),$A279&lt;VLOOKUP(YEAR($A279),'Festive dates'!$A$2:$J$5,3,FALSE)),1,0)</f>
        <v>0</v>
      </c>
      <c r="S279" s="9">
        <f>IF($A279=VLOOKUP(YEAR($A279),'Festive dates'!$A$2:$J$5,2,FALSE),1,0)</f>
        <v>0</v>
      </c>
      <c r="T279" s="9">
        <f>IF($A279=VLOOKUP(YEAR($A279),'Festive dates'!$A$2:$J$5,3,FALSE),1,0)</f>
        <v>0</v>
      </c>
      <c r="U279" s="9">
        <f>IF($A279=VLOOKUP(YEAR($A279),'Festive dates'!$A$2:$J$5,4,FALSE),1,0)</f>
        <v>0</v>
      </c>
      <c r="V279" s="9">
        <f>IF(AND($A279&gt;=VLOOKUP(YEAR($A279),'Festive dates'!$A$2:$J$5,9,FALSE),$A279&lt;=VLOOKUP(YEAR($A279),'Festive dates'!$A$2:$J$5,10,FALSE)),1,0)</f>
        <v>0</v>
      </c>
      <c r="W279" s="9">
        <f>IF($A279=VLOOKUP(YEAR($A279),'Festive dates'!$A$2:$J$5,7,FALSE),1,0)</f>
        <v>0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>
      <c r="A280" s="8">
        <v>45295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f>MAX(-20,MIN(10,$A280-VLOOKUP(YEAR($A280),'Festive dates'!$A$2:$J$5,8,FALSE)))</f>
        <v>-20</v>
      </c>
      <c r="R280" s="9">
        <f>IF(AND($A280&gt;VLOOKUP(YEAR($A280),'Festive dates'!$A$2:$J$5,2,FALSE),$A280&lt;VLOOKUP(YEAR($A280),'Festive dates'!$A$2:$J$5,3,FALSE)),1,0)</f>
        <v>0</v>
      </c>
      <c r="S280" s="9">
        <f>IF($A280=VLOOKUP(YEAR($A280),'Festive dates'!$A$2:$J$5,2,FALSE),1,0)</f>
        <v>0</v>
      </c>
      <c r="T280" s="9">
        <f>IF($A280=VLOOKUP(YEAR($A280),'Festive dates'!$A$2:$J$5,3,FALSE),1,0)</f>
        <v>0</v>
      </c>
      <c r="U280" s="9">
        <f>IF($A280=VLOOKUP(YEAR($A280),'Festive dates'!$A$2:$J$5,4,FALSE),1,0)</f>
        <v>0</v>
      </c>
      <c r="V280" s="9">
        <f>IF(AND($A280&gt;=VLOOKUP(YEAR($A280),'Festive dates'!$A$2:$J$5,9,FALSE),$A280&lt;=VLOOKUP(YEAR($A280),'Festive dates'!$A$2:$J$5,10,FALSE)),1,0)</f>
        <v>0</v>
      </c>
      <c r="W280" s="9">
        <f>IF($A280=VLOOKUP(YEAR($A280),'Festive dates'!$A$2:$J$5,7,FALSE),1,0)</f>
        <v>0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>
      <c r="A281" s="8">
        <v>45296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f>MAX(-20,MIN(10,$A281-VLOOKUP(YEAR($A281),'Festive dates'!$A$2:$J$5,8,FALSE)))</f>
        <v>-20</v>
      </c>
      <c r="R281" s="9">
        <f>IF(AND($A281&gt;VLOOKUP(YEAR($A281),'Festive dates'!$A$2:$J$5,2,FALSE),$A281&lt;VLOOKUP(YEAR($A281),'Festive dates'!$A$2:$J$5,3,FALSE)),1,0)</f>
        <v>0</v>
      </c>
      <c r="S281" s="9">
        <f>IF($A281=VLOOKUP(YEAR($A281),'Festive dates'!$A$2:$J$5,2,FALSE),1,0)</f>
        <v>0</v>
      </c>
      <c r="T281" s="9">
        <f>IF($A281=VLOOKUP(YEAR($A281),'Festive dates'!$A$2:$J$5,3,FALSE),1,0)</f>
        <v>0</v>
      </c>
      <c r="U281" s="9">
        <f>IF($A281=VLOOKUP(YEAR($A281),'Festive dates'!$A$2:$J$5,4,FALSE),1,0)</f>
        <v>0</v>
      </c>
      <c r="V281" s="9">
        <f>IF(AND($A281&gt;=VLOOKUP(YEAR($A281),'Festive dates'!$A$2:$J$5,9,FALSE),$A281&lt;=VLOOKUP(YEAR($A281),'Festive dates'!$A$2:$J$5,10,FALSE)),1,0)</f>
        <v>0</v>
      </c>
      <c r="W281" s="9">
        <f>IF($A281=VLOOKUP(YEAR($A281),'Festive dates'!$A$2:$J$5,7,FALSE),1,0)</f>
        <v>0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>
      <c r="A282" s="8">
        <v>45297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f>MAX(-20,MIN(10,$A282-VLOOKUP(YEAR($A282),'Festive dates'!$A$2:$J$5,8,FALSE)))</f>
        <v>-20</v>
      </c>
      <c r="R282" s="9">
        <f>IF(AND($A282&gt;VLOOKUP(YEAR($A282),'Festive dates'!$A$2:$J$5,2,FALSE),$A282&lt;VLOOKUP(YEAR($A282),'Festive dates'!$A$2:$J$5,3,FALSE)),1,0)</f>
        <v>0</v>
      </c>
      <c r="S282" s="9">
        <f>IF($A282=VLOOKUP(YEAR($A282),'Festive dates'!$A$2:$J$5,2,FALSE),1,0)</f>
        <v>0</v>
      </c>
      <c r="T282" s="9">
        <f>IF($A282=VLOOKUP(YEAR($A282),'Festive dates'!$A$2:$J$5,3,FALSE),1,0)</f>
        <v>0</v>
      </c>
      <c r="U282" s="9">
        <f>IF($A282=VLOOKUP(YEAR($A282),'Festive dates'!$A$2:$J$5,4,FALSE),1,0)</f>
        <v>0</v>
      </c>
      <c r="V282" s="9">
        <f>IF(AND($A282&gt;=VLOOKUP(YEAR($A282),'Festive dates'!$A$2:$J$5,9,FALSE),$A282&lt;=VLOOKUP(YEAR($A282),'Festive dates'!$A$2:$J$5,10,FALSE)),1,0)</f>
        <v>0</v>
      </c>
      <c r="W282" s="9">
        <f>IF($A282=VLOOKUP(YEAR($A282),'Festive dates'!$A$2:$J$5,7,FALSE),1,0)</f>
        <v>0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>
      <c r="A283" s="8">
        <v>45298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f>MAX(-20,MIN(10,$A283-VLOOKUP(YEAR($A283),'Festive dates'!$A$2:$J$5,8,FALSE)))</f>
        <v>-20</v>
      </c>
      <c r="R283" s="9">
        <f>IF(AND($A283&gt;VLOOKUP(YEAR($A283),'Festive dates'!$A$2:$J$5,2,FALSE),$A283&lt;VLOOKUP(YEAR($A283),'Festive dates'!$A$2:$J$5,3,FALSE)),1,0)</f>
        <v>0</v>
      </c>
      <c r="S283" s="9">
        <f>IF($A283=VLOOKUP(YEAR($A283),'Festive dates'!$A$2:$J$5,2,FALSE),1,0)</f>
        <v>0</v>
      </c>
      <c r="T283" s="9">
        <f>IF($A283=VLOOKUP(YEAR($A283),'Festive dates'!$A$2:$J$5,3,FALSE),1,0)</f>
        <v>0</v>
      </c>
      <c r="U283" s="9">
        <f>IF($A283=VLOOKUP(YEAR($A283),'Festive dates'!$A$2:$J$5,4,FALSE),1,0)</f>
        <v>0</v>
      </c>
      <c r="V283" s="9">
        <f>IF(AND($A283&gt;=VLOOKUP(YEAR($A283),'Festive dates'!$A$2:$J$5,9,FALSE),$A283&lt;=VLOOKUP(YEAR($A283),'Festive dates'!$A$2:$J$5,10,FALSE)),1,0)</f>
        <v>0</v>
      </c>
      <c r="W283" s="9">
        <f>IF($A283=VLOOKUP(YEAR($A283),'Festive dates'!$A$2:$J$5,7,FALSE),1,0)</f>
        <v>0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>
      <c r="A284" s="8">
        <v>45299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f>MAX(-20,MIN(10,$A284-VLOOKUP(YEAR($A284),'Festive dates'!$A$2:$J$5,8,FALSE)))</f>
        <v>-20</v>
      </c>
      <c r="R284" s="9">
        <f>IF(AND($A284&gt;VLOOKUP(YEAR($A284),'Festive dates'!$A$2:$J$5,2,FALSE),$A284&lt;VLOOKUP(YEAR($A284),'Festive dates'!$A$2:$J$5,3,FALSE)),1,0)</f>
        <v>0</v>
      </c>
      <c r="S284" s="9">
        <f>IF($A284=VLOOKUP(YEAR($A284),'Festive dates'!$A$2:$J$5,2,FALSE),1,0)</f>
        <v>0</v>
      </c>
      <c r="T284" s="9">
        <f>IF($A284=VLOOKUP(YEAR($A284),'Festive dates'!$A$2:$J$5,3,FALSE),1,0)</f>
        <v>0</v>
      </c>
      <c r="U284" s="9">
        <f>IF($A284=VLOOKUP(YEAR($A284),'Festive dates'!$A$2:$J$5,4,FALSE),1,0)</f>
        <v>0</v>
      </c>
      <c r="V284" s="9">
        <f>IF(AND($A284&gt;=VLOOKUP(YEAR($A284),'Festive dates'!$A$2:$J$5,9,FALSE),$A284&lt;=VLOOKUP(YEAR($A284),'Festive dates'!$A$2:$J$5,10,FALSE)),1,0)</f>
        <v>0</v>
      </c>
      <c r="W284" s="9">
        <f>IF($A284=VLOOKUP(YEAR($A284),'Festive dates'!$A$2:$J$5,7,FALSE),1,0)</f>
        <v>0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>
      <c r="A285" s="8">
        <v>45300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1</v>
      </c>
      <c r="Q285" s="9">
        <f>MAX(-20,MIN(10,$A285-VLOOKUP(YEAR($A285),'Festive dates'!$A$2:$J$5,8,FALSE)))</f>
        <v>-20</v>
      </c>
      <c r="R285" s="9">
        <f>IF(AND($A285&gt;VLOOKUP(YEAR($A285),'Festive dates'!$A$2:$J$5,2,FALSE),$A285&lt;VLOOKUP(YEAR($A285),'Festive dates'!$A$2:$J$5,3,FALSE)),1,0)</f>
        <v>0</v>
      </c>
      <c r="S285" s="9">
        <f>IF($A285=VLOOKUP(YEAR($A285),'Festive dates'!$A$2:$J$5,2,FALSE),1,0)</f>
        <v>0</v>
      </c>
      <c r="T285" s="9">
        <f>IF($A285=VLOOKUP(YEAR($A285),'Festive dates'!$A$2:$J$5,3,FALSE),1,0)</f>
        <v>0</v>
      </c>
      <c r="U285" s="9">
        <f>IF($A285=VLOOKUP(YEAR($A285),'Festive dates'!$A$2:$J$5,4,FALSE),1,0)</f>
        <v>0</v>
      </c>
      <c r="V285" s="9">
        <f>IF(AND($A285&gt;=VLOOKUP(YEAR($A285),'Festive dates'!$A$2:$J$5,9,FALSE),$A285&lt;=VLOOKUP(YEAR($A285),'Festive dates'!$A$2:$J$5,10,FALSE)),1,0)</f>
        <v>0</v>
      </c>
      <c r="W285" s="9">
        <f>IF($A285=VLOOKUP(YEAR($A285),'Festive dates'!$A$2:$J$5,7,FALSE),1,0)</f>
        <v>0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>
      <c r="A286" s="8">
        <v>45301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1</v>
      </c>
      <c r="Q286" s="9">
        <f>MAX(-20,MIN(10,$A286-VLOOKUP(YEAR($A286),'Festive dates'!$A$2:$J$5,8,FALSE)))</f>
        <v>-20</v>
      </c>
      <c r="R286" s="9">
        <f>IF(AND($A286&gt;VLOOKUP(YEAR($A286),'Festive dates'!$A$2:$J$5,2,FALSE),$A286&lt;VLOOKUP(YEAR($A286),'Festive dates'!$A$2:$J$5,3,FALSE)),1,0)</f>
        <v>0</v>
      </c>
      <c r="S286" s="9">
        <f>IF($A286=VLOOKUP(YEAR($A286),'Festive dates'!$A$2:$J$5,2,FALSE),1,0)</f>
        <v>0</v>
      </c>
      <c r="T286" s="9">
        <f>IF($A286=VLOOKUP(YEAR($A286),'Festive dates'!$A$2:$J$5,3,FALSE),1,0)</f>
        <v>0</v>
      </c>
      <c r="U286" s="9">
        <f>IF($A286=VLOOKUP(YEAR($A286),'Festive dates'!$A$2:$J$5,4,FALSE),1,0)</f>
        <v>0</v>
      </c>
      <c r="V286" s="9">
        <f>IF(AND($A286&gt;=VLOOKUP(YEAR($A286),'Festive dates'!$A$2:$J$5,9,FALSE),$A286&lt;=VLOOKUP(YEAR($A286),'Festive dates'!$A$2:$J$5,10,FALSE)),1,0)</f>
        <v>0</v>
      </c>
      <c r="W286" s="9">
        <f>IF($A286=VLOOKUP(YEAR($A286),'Festive dates'!$A$2:$J$5,7,FALSE),1,0)</f>
        <v>0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>
      <c r="A287" s="8">
        <v>45302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f>MAX(-20,MIN(10,$A287-VLOOKUP(YEAR($A287),'Festive dates'!$A$2:$J$5,8,FALSE)))</f>
        <v>-20</v>
      </c>
      <c r="R287" s="9">
        <f>IF(AND($A287&gt;VLOOKUP(YEAR($A287),'Festive dates'!$A$2:$J$5,2,FALSE),$A287&lt;VLOOKUP(YEAR($A287),'Festive dates'!$A$2:$J$5,3,FALSE)),1,0)</f>
        <v>0</v>
      </c>
      <c r="S287" s="9">
        <f>IF($A287=VLOOKUP(YEAR($A287),'Festive dates'!$A$2:$J$5,2,FALSE),1,0)</f>
        <v>0</v>
      </c>
      <c r="T287" s="9">
        <f>IF($A287=VLOOKUP(YEAR($A287),'Festive dates'!$A$2:$J$5,3,FALSE),1,0)</f>
        <v>0</v>
      </c>
      <c r="U287" s="9">
        <f>IF($A287=VLOOKUP(YEAR($A287),'Festive dates'!$A$2:$J$5,4,FALSE),1,0)</f>
        <v>0</v>
      </c>
      <c r="V287" s="9">
        <f>IF(AND($A287&gt;=VLOOKUP(YEAR($A287),'Festive dates'!$A$2:$J$5,9,FALSE),$A287&lt;=VLOOKUP(YEAR($A287),'Festive dates'!$A$2:$J$5,10,FALSE)),1,0)</f>
        <v>0</v>
      </c>
      <c r="W287" s="9">
        <f>IF($A287=VLOOKUP(YEAR($A287),'Festive dates'!$A$2:$J$5,7,FALSE),1,0)</f>
        <v>0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>
      <c r="A288" s="8">
        <v>45303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f>MAX(-20,MIN(10,$A288-VLOOKUP(YEAR($A288),'Festive dates'!$A$2:$J$5,8,FALSE)))</f>
        <v>-20</v>
      </c>
      <c r="R288" s="9">
        <f>IF(AND($A288&gt;VLOOKUP(YEAR($A288),'Festive dates'!$A$2:$J$5,2,FALSE),$A288&lt;VLOOKUP(YEAR($A288),'Festive dates'!$A$2:$J$5,3,FALSE)),1,0)</f>
        <v>0</v>
      </c>
      <c r="S288" s="9">
        <f>IF($A288=VLOOKUP(YEAR($A288),'Festive dates'!$A$2:$J$5,2,FALSE),1,0)</f>
        <v>0</v>
      </c>
      <c r="T288" s="9">
        <f>IF($A288=VLOOKUP(YEAR($A288),'Festive dates'!$A$2:$J$5,3,FALSE),1,0)</f>
        <v>0</v>
      </c>
      <c r="U288" s="9">
        <f>IF($A288=VLOOKUP(YEAR($A288),'Festive dates'!$A$2:$J$5,4,FALSE),1,0)</f>
        <v>0</v>
      </c>
      <c r="V288" s="9">
        <f>IF(AND($A288&gt;=VLOOKUP(YEAR($A288),'Festive dates'!$A$2:$J$5,9,FALSE),$A288&lt;=VLOOKUP(YEAR($A288),'Festive dates'!$A$2:$J$5,10,FALSE)),1,0)</f>
        <v>0</v>
      </c>
      <c r="W288" s="9">
        <f>IF($A288=VLOOKUP(YEAR($A288),'Festive dates'!$A$2:$J$5,7,FALSE),1,0)</f>
        <v>0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>
      <c r="A289" s="8">
        <v>45304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1</v>
      </c>
      <c r="Q289" s="9">
        <f>MAX(-20,MIN(10,$A289-VLOOKUP(YEAR($A289),'Festive dates'!$A$2:$J$5,8,FALSE)))</f>
        <v>-20</v>
      </c>
      <c r="R289" s="9">
        <f>IF(AND($A289&gt;VLOOKUP(YEAR($A289),'Festive dates'!$A$2:$J$5,2,FALSE),$A289&lt;VLOOKUP(YEAR($A289),'Festive dates'!$A$2:$J$5,3,FALSE)),1,0)</f>
        <v>0</v>
      </c>
      <c r="S289" s="9">
        <f>IF($A289=VLOOKUP(YEAR($A289),'Festive dates'!$A$2:$J$5,2,FALSE),1,0)</f>
        <v>0</v>
      </c>
      <c r="T289" s="9">
        <f>IF($A289=VLOOKUP(YEAR($A289),'Festive dates'!$A$2:$J$5,3,FALSE),1,0)</f>
        <v>0</v>
      </c>
      <c r="U289" s="9">
        <f>IF($A289=VLOOKUP(YEAR($A289),'Festive dates'!$A$2:$J$5,4,FALSE),1,0)</f>
        <v>0</v>
      </c>
      <c r="V289" s="9">
        <f>IF(AND($A289&gt;=VLOOKUP(YEAR($A289),'Festive dates'!$A$2:$J$5,9,FALSE),$A289&lt;=VLOOKUP(YEAR($A289),'Festive dates'!$A$2:$J$5,10,FALSE)),1,0)</f>
        <v>0</v>
      </c>
      <c r="W289" s="9">
        <f>IF($A289=VLOOKUP(YEAR($A289),'Festive dates'!$A$2:$J$5,7,FALSE),1,0)</f>
        <v>0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>
      <c r="A290" s="8">
        <v>45305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1</v>
      </c>
      <c r="Q290" s="9">
        <f>MAX(-20,MIN(10,$A290-VLOOKUP(YEAR($A290),'Festive dates'!$A$2:$J$5,8,FALSE)))</f>
        <v>-20</v>
      </c>
      <c r="R290" s="9">
        <f>IF(AND($A290&gt;VLOOKUP(YEAR($A290),'Festive dates'!$A$2:$J$5,2,FALSE),$A290&lt;VLOOKUP(YEAR($A290),'Festive dates'!$A$2:$J$5,3,FALSE)),1,0)</f>
        <v>0</v>
      </c>
      <c r="S290" s="9">
        <f>IF($A290=VLOOKUP(YEAR($A290),'Festive dates'!$A$2:$J$5,2,FALSE),1,0)</f>
        <v>0</v>
      </c>
      <c r="T290" s="9">
        <f>IF($A290=VLOOKUP(YEAR($A290),'Festive dates'!$A$2:$J$5,3,FALSE),1,0)</f>
        <v>0</v>
      </c>
      <c r="U290" s="9">
        <f>IF($A290=VLOOKUP(YEAR($A290),'Festive dates'!$A$2:$J$5,4,FALSE),1,0)</f>
        <v>0</v>
      </c>
      <c r="V290" s="9">
        <f>IF(AND($A290&gt;=VLOOKUP(YEAR($A290),'Festive dates'!$A$2:$J$5,9,FALSE),$A290&lt;=VLOOKUP(YEAR($A290),'Festive dates'!$A$2:$J$5,10,FALSE)),1,0)</f>
        <v>0</v>
      </c>
      <c r="W290" s="9">
        <f>IF($A290=VLOOKUP(YEAR($A290),'Festive dates'!$A$2:$J$5,7,FALSE),1,0)</f>
        <v>0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>
      <c r="A291" s="8">
        <v>45306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1</v>
      </c>
      <c r="Q291" s="9">
        <f>MAX(-20,MIN(10,$A291-VLOOKUP(YEAR($A291),'Festive dates'!$A$2:$J$5,8,FALSE)))</f>
        <v>-20</v>
      </c>
      <c r="R291" s="9">
        <f>IF(AND($A291&gt;VLOOKUP(YEAR($A291),'Festive dates'!$A$2:$J$5,2,FALSE),$A291&lt;VLOOKUP(YEAR($A291),'Festive dates'!$A$2:$J$5,3,FALSE)),1,0)</f>
        <v>0</v>
      </c>
      <c r="S291" s="9">
        <f>IF($A291=VLOOKUP(YEAR($A291),'Festive dates'!$A$2:$J$5,2,FALSE),1,0)</f>
        <v>0</v>
      </c>
      <c r="T291" s="9">
        <f>IF($A291=VLOOKUP(YEAR($A291),'Festive dates'!$A$2:$J$5,3,FALSE),1,0)</f>
        <v>0</v>
      </c>
      <c r="U291" s="9">
        <f>IF($A291=VLOOKUP(YEAR($A291),'Festive dates'!$A$2:$J$5,4,FALSE),1,0)</f>
        <v>0</v>
      </c>
      <c r="V291" s="9">
        <f>IF(AND($A291&gt;=VLOOKUP(YEAR($A291),'Festive dates'!$A$2:$J$5,9,FALSE),$A291&lt;=VLOOKUP(YEAR($A291),'Festive dates'!$A$2:$J$5,10,FALSE)),1,0)</f>
        <v>0</v>
      </c>
      <c r="W291" s="9">
        <f>IF($A291=VLOOKUP(YEAR($A291),'Festive dates'!$A$2:$J$5,7,FALSE),1,0)</f>
        <v>0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>
      <c r="A292" s="8">
        <v>45307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f>MAX(-20,MIN(10,$A292-VLOOKUP(YEAR($A292),'Festive dates'!$A$2:$J$5,8,FALSE)))</f>
        <v>-20</v>
      </c>
      <c r="R292" s="9">
        <f>IF(AND($A292&gt;VLOOKUP(YEAR($A292),'Festive dates'!$A$2:$J$5,2,FALSE),$A292&lt;VLOOKUP(YEAR($A292),'Festive dates'!$A$2:$J$5,3,FALSE)),1,0)</f>
        <v>0</v>
      </c>
      <c r="S292" s="9">
        <f>IF($A292=VLOOKUP(YEAR($A292),'Festive dates'!$A$2:$J$5,2,FALSE),1,0)</f>
        <v>0</v>
      </c>
      <c r="T292" s="9">
        <f>IF($A292=VLOOKUP(YEAR($A292),'Festive dates'!$A$2:$J$5,3,FALSE),1,0)</f>
        <v>0</v>
      </c>
      <c r="U292" s="9">
        <f>IF($A292=VLOOKUP(YEAR($A292),'Festive dates'!$A$2:$J$5,4,FALSE),1,0)</f>
        <v>0</v>
      </c>
      <c r="V292" s="9">
        <f>IF(AND($A292&gt;=VLOOKUP(YEAR($A292),'Festive dates'!$A$2:$J$5,9,FALSE),$A292&lt;=VLOOKUP(YEAR($A292),'Festive dates'!$A$2:$J$5,10,FALSE)),1,0)</f>
        <v>0</v>
      </c>
      <c r="W292" s="9">
        <f>IF($A292=VLOOKUP(YEAR($A292),'Festive dates'!$A$2:$J$5,7,FALSE),1,0)</f>
        <v>0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>
      <c r="A293" s="8">
        <v>45308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f>MAX(-20,MIN(10,$A293-VLOOKUP(YEAR($A293),'Festive dates'!$A$2:$J$5,8,FALSE)))</f>
        <v>-20</v>
      </c>
      <c r="R293" s="9">
        <f>IF(AND($A293&gt;VLOOKUP(YEAR($A293),'Festive dates'!$A$2:$J$5,2,FALSE),$A293&lt;VLOOKUP(YEAR($A293),'Festive dates'!$A$2:$J$5,3,FALSE)),1,0)</f>
        <v>0</v>
      </c>
      <c r="S293" s="9">
        <f>IF($A293=VLOOKUP(YEAR($A293),'Festive dates'!$A$2:$J$5,2,FALSE),1,0)</f>
        <v>0</v>
      </c>
      <c r="T293" s="9">
        <f>IF($A293=VLOOKUP(YEAR($A293),'Festive dates'!$A$2:$J$5,3,FALSE),1,0)</f>
        <v>0</v>
      </c>
      <c r="U293" s="9">
        <f>IF($A293=VLOOKUP(YEAR($A293),'Festive dates'!$A$2:$J$5,4,FALSE),1,0)</f>
        <v>0</v>
      </c>
      <c r="V293" s="9">
        <f>IF(AND($A293&gt;=VLOOKUP(YEAR($A293),'Festive dates'!$A$2:$J$5,9,FALSE),$A293&lt;=VLOOKUP(YEAR($A293),'Festive dates'!$A$2:$J$5,10,FALSE)),1,0)</f>
        <v>0</v>
      </c>
      <c r="W293" s="9">
        <f>IF($A293=VLOOKUP(YEAR($A293),'Festive dates'!$A$2:$J$5,7,FALSE),1,0)</f>
        <v>0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>
      <c r="A294" s="8">
        <v>45309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f>MAX(-20,MIN(10,$A294-VLOOKUP(YEAR($A294),'Festive dates'!$A$2:$J$5,8,FALSE)))</f>
        <v>-20</v>
      </c>
      <c r="R294" s="9">
        <f>IF(AND($A294&gt;VLOOKUP(YEAR($A294),'Festive dates'!$A$2:$J$5,2,FALSE),$A294&lt;VLOOKUP(YEAR($A294),'Festive dates'!$A$2:$J$5,3,FALSE)),1,0)</f>
        <v>0</v>
      </c>
      <c r="S294" s="9">
        <f>IF($A294=VLOOKUP(YEAR($A294),'Festive dates'!$A$2:$J$5,2,FALSE),1,0)</f>
        <v>0</v>
      </c>
      <c r="T294" s="9">
        <f>IF($A294=VLOOKUP(YEAR($A294),'Festive dates'!$A$2:$J$5,3,FALSE),1,0)</f>
        <v>0</v>
      </c>
      <c r="U294" s="9">
        <f>IF($A294=VLOOKUP(YEAR($A294),'Festive dates'!$A$2:$J$5,4,FALSE),1,0)</f>
        <v>0</v>
      </c>
      <c r="V294" s="9">
        <f>IF(AND($A294&gt;=VLOOKUP(YEAR($A294),'Festive dates'!$A$2:$J$5,9,FALSE),$A294&lt;=VLOOKUP(YEAR($A294),'Festive dates'!$A$2:$J$5,10,FALSE)),1,0)</f>
        <v>0</v>
      </c>
      <c r="W294" s="9">
        <f>IF($A294=VLOOKUP(YEAR($A294),'Festive dates'!$A$2:$J$5,7,FALSE),1,0)</f>
        <v>0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>
      <c r="A295" s="8">
        <v>45310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f>MAX(-20,MIN(10,$A295-VLOOKUP(YEAR($A295),'Festive dates'!$A$2:$J$5,8,FALSE)))</f>
        <v>-20</v>
      </c>
      <c r="R295" s="9">
        <f>IF(AND($A295&gt;VLOOKUP(YEAR($A295),'Festive dates'!$A$2:$J$5,2,FALSE),$A295&lt;VLOOKUP(YEAR($A295),'Festive dates'!$A$2:$J$5,3,FALSE)),1,0)</f>
        <v>0</v>
      </c>
      <c r="S295" s="9">
        <f>IF($A295=VLOOKUP(YEAR($A295),'Festive dates'!$A$2:$J$5,2,FALSE),1,0)</f>
        <v>0</v>
      </c>
      <c r="T295" s="9">
        <f>IF($A295=VLOOKUP(YEAR($A295),'Festive dates'!$A$2:$J$5,3,FALSE),1,0)</f>
        <v>0</v>
      </c>
      <c r="U295" s="9">
        <f>IF($A295=VLOOKUP(YEAR($A295),'Festive dates'!$A$2:$J$5,4,FALSE),1,0)</f>
        <v>0</v>
      </c>
      <c r="V295" s="9">
        <f>IF(AND($A295&gt;=VLOOKUP(YEAR($A295),'Festive dates'!$A$2:$J$5,9,FALSE),$A295&lt;=VLOOKUP(YEAR($A295),'Festive dates'!$A$2:$J$5,10,FALSE)),1,0)</f>
        <v>0</v>
      </c>
      <c r="W295" s="9">
        <f>IF($A295=VLOOKUP(YEAR($A295),'Festive dates'!$A$2:$J$5,7,FALSE),1,0)</f>
        <v>0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>
      <c r="A296" s="8">
        <v>45311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1</v>
      </c>
      <c r="Q296" s="9">
        <f>MAX(-20,MIN(10,$A296-VLOOKUP(YEAR($A296),'Festive dates'!$A$2:$J$5,8,FALSE)))</f>
        <v>-20</v>
      </c>
      <c r="R296" s="9">
        <f>IF(AND($A296&gt;VLOOKUP(YEAR($A296),'Festive dates'!$A$2:$J$5,2,FALSE),$A296&lt;VLOOKUP(YEAR($A296),'Festive dates'!$A$2:$J$5,3,FALSE)),1,0)</f>
        <v>0</v>
      </c>
      <c r="S296" s="9">
        <f>IF($A296=VLOOKUP(YEAR($A296),'Festive dates'!$A$2:$J$5,2,FALSE),1,0)</f>
        <v>0</v>
      </c>
      <c r="T296" s="9">
        <f>IF($A296=VLOOKUP(YEAR($A296),'Festive dates'!$A$2:$J$5,3,FALSE),1,0)</f>
        <v>0</v>
      </c>
      <c r="U296" s="9">
        <f>IF($A296=VLOOKUP(YEAR($A296),'Festive dates'!$A$2:$J$5,4,FALSE),1,0)</f>
        <v>0</v>
      </c>
      <c r="V296" s="9">
        <f>IF(AND($A296&gt;=VLOOKUP(YEAR($A296),'Festive dates'!$A$2:$J$5,9,FALSE),$A296&lt;=VLOOKUP(YEAR($A296),'Festive dates'!$A$2:$J$5,10,FALSE)),1,0)</f>
        <v>0</v>
      </c>
      <c r="W296" s="9">
        <f>IF($A296=VLOOKUP(YEAR($A296),'Festive dates'!$A$2:$J$5,7,FALSE),1,0)</f>
        <v>0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>
      <c r="A297" s="8">
        <v>45312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1</v>
      </c>
      <c r="Q297" s="9">
        <f>MAX(-20,MIN(10,$A297-VLOOKUP(YEAR($A297),'Festive dates'!$A$2:$J$5,8,FALSE)))</f>
        <v>-20</v>
      </c>
      <c r="R297" s="9">
        <f>IF(AND($A297&gt;VLOOKUP(YEAR($A297),'Festive dates'!$A$2:$J$5,2,FALSE),$A297&lt;VLOOKUP(YEAR($A297),'Festive dates'!$A$2:$J$5,3,FALSE)),1,0)</f>
        <v>0</v>
      </c>
      <c r="S297" s="9">
        <f>IF($A297=VLOOKUP(YEAR($A297),'Festive dates'!$A$2:$J$5,2,FALSE),1,0)</f>
        <v>0</v>
      </c>
      <c r="T297" s="9">
        <f>IF($A297=VLOOKUP(YEAR($A297),'Festive dates'!$A$2:$J$5,3,FALSE),1,0)</f>
        <v>0</v>
      </c>
      <c r="U297" s="9">
        <f>IF($A297=VLOOKUP(YEAR($A297),'Festive dates'!$A$2:$J$5,4,FALSE),1,0)</f>
        <v>0</v>
      </c>
      <c r="V297" s="9">
        <f>IF(AND($A297&gt;=VLOOKUP(YEAR($A297),'Festive dates'!$A$2:$J$5,9,FALSE),$A297&lt;=VLOOKUP(YEAR($A297),'Festive dates'!$A$2:$J$5,10,FALSE)),1,0)</f>
        <v>0</v>
      </c>
      <c r="W297" s="9">
        <f>IF($A297=VLOOKUP(YEAR($A297),'Festive dates'!$A$2:$J$5,7,FALSE),1,0)</f>
        <v>0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>
      <c r="A298" s="8">
        <v>45313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f>MAX(-20,MIN(10,$A298-VLOOKUP(YEAR($A298),'Festive dates'!$A$2:$J$5,8,FALSE)))</f>
        <v>-20</v>
      </c>
      <c r="R298" s="9">
        <f>IF(AND($A298&gt;VLOOKUP(YEAR($A298),'Festive dates'!$A$2:$J$5,2,FALSE),$A298&lt;VLOOKUP(YEAR($A298),'Festive dates'!$A$2:$J$5,3,FALSE)),1,0)</f>
        <v>0</v>
      </c>
      <c r="S298" s="9">
        <f>IF($A298=VLOOKUP(YEAR($A298),'Festive dates'!$A$2:$J$5,2,FALSE),1,0)</f>
        <v>0</v>
      </c>
      <c r="T298" s="9">
        <f>IF($A298=VLOOKUP(YEAR($A298),'Festive dates'!$A$2:$J$5,3,FALSE),1,0)</f>
        <v>0</v>
      </c>
      <c r="U298" s="9">
        <f>IF($A298=VLOOKUP(YEAR($A298),'Festive dates'!$A$2:$J$5,4,FALSE),1,0)</f>
        <v>0</v>
      </c>
      <c r="V298" s="9">
        <f>IF(AND($A298&gt;=VLOOKUP(YEAR($A298),'Festive dates'!$A$2:$J$5,9,FALSE),$A298&lt;=VLOOKUP(YEAR($A298),'Festive dates'!$A$2:$J$5,10,FALSE)),1,0)</f>
        <v>0</v>
      </c>
      <c r="W298" s="9">
        <f>IF($A298=VLOOKUP(YEAR($A298),'Festive dates'!$A$2:$J$5,7,FALSE),1,0)</f>
        <v>0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>
      <c r="A299" s="8">
        <v>45314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1</v>
      </c>
      <c r="Q299" s="9">
        <f>MAX(-20,MIN(10,$A299-VLOOKUP(YEAR($A299),'Festive dates'!$A$2:$J$5,8,FALSE)))</f>
        <v>-20</v>
      </c>
      <c r="R299" s="9">
        <f>IF(AND($A299&gt;VLOOKUP(YEAR($A299),'Festive dates'!$A$2:$J$5,2,FALSE),$A299&lt;VLOOKUP(YEAR($A299),'Festive dates'!$A$2:$J$5,3,FALSE)),1,0)</f>
        <v>0</v>
      </c>
      <c r="S299" s="9">
        <f>IF($A299=VLOOKUP(YEAR($A299),'Festive dates'!$A$2:$J$5,2,FALSE),1,0)</f>
        <v>0</v>
      </c>
      <c r="T299" s="9">
        <f>IF($A299=VLOOKUP(YEAR($A299),'Festive dates'!$A$2:$J$5,3,FALSE),1,0)</f>
        <v>0</v>
      </c>
      <c r="U299" s="9">
        <f>IF($A299=VLOOKUP(YEAR($A299),'Festive dates'!$A$2:$J$5,4,FALSE),1,0)</f>
        <v>0</v>
      </c>
      <c r="V299" s="9">
        <f>IF(AND($A299&gt;=VLOOKUP(YEAR($A299),'Festive dates'!$A$2:$J$5,9,FALSE),$A299&lt;=VLOOKUP(YEAR($A299),'Festive dates'!$A$2:$J$5,10,FALSE)),1,0)</f>
        <v>0</v>
      </c>
      <c r="W299" s="9">
        <f>IF($A299=VLOOKUP(YEAR($A299),'Festive dates'!$A$2:$J$5,7,FALSE),1,0)</f>
        <v>0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>
      <c r="A300" s="8">
        <v>45315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1</v>
      </c>
      <c r="Q300" s="9">
        <f>MAX(-20,MIN(10,$A300-VLOOKUP(YEAR($A300),'Festive dates'!$A$2:$J$5,8,FALSE)))</f>
        <v>-20</v>
      </c>
      <c r="R300" s="9">
        <f>IF(AND($A300&gt;VLOOKUP(YEAR($A300),'Festive dates'!$A$2:$J$5,2,FALSE),$A300&lt;VLOOKUP(YEAR($A300),'Festive dates'!$A$2:$J$5,3,FALSE)),1,0)</f>
        <v>0</v>
      </c>
      <c r="S300" s="9">
        <f>IF($A300=VLOOKUP(YEAR($A300),'Festive dates'!$A$2:$J$5,2,FALSE),1,0)</f>
        <v>0</v>
      </c>
      <c r="T300" s="9">
        <f>IF($A300=VLOOKUP(YEAR($A300),'Festive dates'!$A$2:$J$5,3,FALSE),1,0)</f>
        <v>0</v>
      </c>
      <c r="U300" s="9">
        <f>IF($A300=VLOOKUP(YEAR($A300),'Festive dates'!$A$2:$J$5,4,FALSE),1,0)</f>
        <v>0</v>
      </c>
      <c r="V300" s="9">
        <f>IF(AND($A300&gt;=VLOOKUP(YEAR($A300),'Festive dates'!$A$2:$J$5,9,FALSE),$A300&lt;=VLOOKUP(YEAR($A300),'Festive dates'!$A$2:$J$5,10,FALSE)),1,0)</f>
        <v>0</v>
      </c>
      <c r="W300" s="9">
        <f>IF($A300=VLOOKUP(YEAR($A300),'Festive dates'!$A$2:$J$5,7,FALSE),1,0)</f>
        <v>0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>
      <c r="A301" s="8">
        <v>45316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f>MAX(-20,MIN(10,$A301-VLOOKUP(YEAR($A301),'Festive dates'!$A$2:$J$5,8,FALSE)))</f>
        <v>-20</v>
      </c>
      <c r="R301" s="9">
        <f>IF(AND($A301&gt;VLOOKUP(YEAR($A301),'Festive dates'!$A$2:$J$5,2,FALSE),$A301&lt;VLOOKUP(YEAR($A301),'Festive dates'!$A$2:$J$5,3,FALSE)),1,0)</f>
        <v>0</v>
      </c>
      <c r="S301" s="9">
        <f>IF($A301=VLOOKUP(YEAR($A301),'Festive dates'!$A$2:$J$5,2,FALSE),1,0)</f>
        <v>0</v>
      </c>
      <c r="T301" s="9">
        <f>IF($A301=VLOOKUP(YEAR($A301),'Festive dates'!$A$2:$J$5,3,FALSE),1,0)</f>
        <v>0</v>
      </c>
      <c r="U301" s="9">
        <f>IF($A301=VLOOKUP(YEAR($A301),'Festive dates'!$A$2:$J$5,4,FALSE),1,0)</f>
        <v>0</v>
      </c>
      <c r="V301" s="9">
        <f>IF(AND($A301&gt;=VLOOKUP(YEAR($A301),'Festive dates'!$A$2:$J$5,9,FALSE),$A301&lt;=VLOOKUP(YEAR($A301),'Festive dates'!$A$2:$J$5,10,FALSE)),1,0)</f>
        <v>0</v>
      </c>
      <c r="W301" s="9">
        <f>IF($A301=VLOOKUP(YEAR($A301),'Festive dates'!$A$2:$J$5,7,FALSE),1,0)</f>
        <v>0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>
      <c r="A302" s="8">
        <v>45317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f>MAX(-20,MIN(10,$A302-VLOOKUP(YEAR($A302),'Festive dates'!$A$2:$J$5,8,FALSE)))</f>
        <v>-20</v>
      </c>
      <c r="R302" s="9">
        <f>IF(AND($A302&gt;VLOOKUP(YEAR($A302),'Festive dates'!$A$2:$J$5,2,FALSE),$A302&lt;VLOOKUP(YEAR($A302),'Festive dates'!$A$2:$J$5,3,FALSE)),1,0)</f>
        <v>0</v>
      </c>
      <c r="S302" s="9">
        <f>IF($A302=VLOOKUP(YEAR($A302),'Festive dates'!$A$2:$J$5,2,FALSE),1,0)</f>
        <v>0</v>
      </c>
      <c r="T302" s="9">
        <f>IF($A302=VLOOKUP(YEAR($A302),'Festive dates'!$A$2:$J$5,3,FALSE),1,0)</f>
        <v>0</v>
      </c>
      <c r="U302" s="9">
        <f>IF($A302=VLOOKUP(YEAR($A302),'Festive dates'!$A$2:$J$5,4,FALSE),1,0)</f>
        <v>0</v>
      </c>
      <c r="V302" s="9">
        <f>IF(AND($A302&gt;=VLOOKUP(YEAR($A302),'Festive dates'!$A$2:$J$5,9,FALSE),$A302&lt;=VLOOKUP(YEAR($A302),'Festive dates'!$A$2:$J$5,10,FALSE)),1,0)</f>
        <v>0</v>
      </c>
      <c r="W302" s="9">
        <f>IF($A302=VLOOKUP(YEAR($A302),'Festive dates'!$A$2:$J$5,7,FALSE),1,0)</f>
        <v>0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>
      <c r="A303" s="8">
        <v>45318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f>MAX(-20,MIN(10,$A303-VLOOKUP(YEAR($A303),'Festive dates'!$A$2:$J$5,8,FALSE)))</f>
        <v>-20</v>
      </c>
      <c r="R303" s="9">
        <f>IF(AND($A303&gt;VLOOKUP(YEAR($A303),'Festive dates'!$A$2:$J$5,2,FALSE),$A303&lt;VLOOKUP(YEAR($A303),'Festive dates'!$A$2:$J$5,3,FALSE)),1,0)</f>
        <v>0</v>
      </c>
      <c r="S303" s="9">
        <f>IF($A303=VLOOKUP(YEAR($A303),'Festive dates'!$A$2:$J$5,2,FALSE),1,0)</f>
        <v>0</v>
      </c>
      <c r="T303" s="9">
        <f>IF($A303=VLOOKUP(YEAR($A303),'Festive dates'!$A$2:$J$5,3,FALSE),1,0)</f>
        <v>0</v>
      </c>
      <c r="U303" s="9">
        <f>IF($A303=VLOOKUP(YEAR($A303),'Festive dates'!$A$2:$J$5,4,FALSE),1,0)</f>
        <v>0</v>
      </c>
      <c r="V303" s="9">
        <f>IF(AND($A303&gt;=VLOOKUP(YEAR($A303),'Festive dates'!$A$2:$J$5,9,FALSE),$A303&lt;=VLOOKUP(YEAR($A303),'Festive dates'!$A$2:$J$5,10,FALSE)),1,0)</f>
        <v>0</v>
      </c>
      <c r="W303" s="9">
        <f>IF($A303=VLOOKUP(YEAR($A303),'Festive dates'!$A$2:$J$5,7,FALSE),1,0)</f>
        <v>0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>
      <c r="A304" s="8">
        <v>45319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1</v>
      </c>
      <c r="Q304" s="9">
        <f>MAX(-20,MIN(10,$A304-VLOOKUP(YEAR($A304),'Festive dates'!$A$2:$J$5,8,FALSE)))</f>
        <v>-20</v>
      </c>
      <c r="R304" s="9">
        <f>IF(AND($A304&gt;VLOOKUP(YEAR($A304),'Festive dates'!$A$2:$J$5,2,FALSE),$A304&lt;VLOOKUP(YEAR($A304),'Festive dates'!$A$2:$J$5,3,FALSE)),1,0)</f>
        <v>0</v>
      </c>
      <c r="S304" s="9">
        <f>IF($A304=VLOOKUP(YEAR($A304),'Festive dates'!$A$2:$J$5,2,FALSE),1,0)</f>
        <v>0</v>
      </c>
      <c r="T304" s="9">
        <f>IF($A304=VLOOKUP(YEAR($A304),'Festive dates'!$A$2:$J$5,3,FALSE),1,0)</f>
        <v>0</v>
      </c>
      <c r="U304" s="9">
        <f>IF($A304=VLOOKUP(YEAR($A304),'Festive dates'!$A$2:$J$5,4,FALSE),1,0)</f>
        <v>0</v>
      </c>
      <c r="V304" s="9">
        <f>IF(AND($A304&gt;=VLOOKUP(YEAR($A304),'Festive dates'!$A$2:$J$5,9,FALSE),$A304&lt;=VLOOKUP(YEAR($A304),'Festive dates'!$A$2:$J$5,10,FALSE)),1,0)</f>
        <v>0</v>
      </c>
      <c r="W304" s="9">
        <f>IF($A304=VLOOKUP(YEAR($A304),'Festive dates'!$A$2:$J$5,7,FALSE),1,0)</f>
        <v>0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>
      <c r="A305" s="8">
        <v>45320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f>MAX(-20,MIN(10,$A305-VLOOKUP(YEAR($A305),'Festive dates'!$A$2:$J$5,8,FALSE)))</f>
        <v>-20</v>
      </c>
      <c r="R305" s="9">
        <f>IF(AND($A305&gt;VLOOKUP(YEAR($A305),'Festive dates'!$A$2:$J$5,2,FALSE),$A305&lt;VLOOKUP(YEAR($A305),'Festive dates'!$A$2:$J$5,3,FALSE)),1,0)</f>
        <v>0</v>
      </c>
      <c r="S305" s="9">
        <f>IF($A305=VLOOKUP(YEAR($A305),'Festive dates'!$A$2:$J$5,2,FALSE),1,0)</f>
        <v>0</v>
      </c>
      <c r="T305" s="9">
        <f>IF($A305=VLOOKUP(YEAR($A305),'Festive dates'!$A$2:$J$5,3,FALSE),1,0)</f>
        <v>0</v>
      </c>
      <c r="U305" s="9">
        <f>IF($A305=VLOOKUP(YEAR($A305),'Festive dates'!$A$2:$J$5,4,FALSE),1,0)</f>
        <v>0</v>
      </c>
      <c r="V305" s="9">
        <f>IF(AND($A305&gt;=VLOOKUP(YEAR($A305),'Festive dates'!$A$2:$J$5,9,FALSE),$A305&lt;=VLOOKUP(YEAR($A305),'Festive dates'!$A$2:$J$5,10,FALSE)),1,0)</f>
        <v>0</v>
      </c>
      <c r="W305" s="9">
        <f>IF($A305=VLOOKUP(YEAR($A305),'Festive dates'!$A$2:$J$5,7,FALSE),1,0)</f>
        <v>0</v>
      </c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>
      <c r="A306" s="8">
        <v>45321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1</v>
      </c>
      <c r="Q306" s="9">
        <f>MAX(-20,MIN(10,$A306-VLOOKUP(YEAR($A306),'Festive dates'!$A$2:$J$5,8,FALSE)))</f>
        <v>-20</v>
      </c>
      <c r="R306" s="9">
        <f>IF(AND($A306&gt;VLOOKUP(YEAR($A306),'Festive dates'!$A$2:$J$5,2,FALSE),$A306&lt;VLOOKUP(YEAR($A306),'Festive dates'!$A$2:$J$5,3,FALSE)),1,0)</f>
        <v>0</v>
      </c>
      <c r="S306" s="9">
        <f>IF($A306=VLOOKUP(YEAR($A306),'Festive dates'!$A$2:$J$5,2,FALSE),1,0)</f>
        <v>0</v>
      </c>
      <c r="T306" s="9">
        <f>IF($A306=VLOOKUP(YEAR($A306),'Festive dates'!$A$2:$J$5,3,FALSE),1,0)</f>
        <v>0</v>
      </c>
      <c r="U306" s="9">
        <f>IF($A306=VLOOKUP(YEAR($A306),'Festive dates'!$A$2:$J$5,4,FALSE),1,0)</f>
        <v>0</v>
      </c>
      <c r="V306" s="9">
        <f>IF(AND($A306&gt;=VLOOKUP(YEAR($A306),'Festive dates'!$A$2:$J$5,9,FALSE),$A306&lt;=VLOOKUP(YEAR($A306),'Festive dates'!$A$2:$J$5,10,FALSE)),1,0)</f>
        <v>0</v>
      </c>
      <c r="W306" s="9">
        <f>IF($A306=VLOOKUP(YEAR($A306),'Festive dates'!$A$2:$J$5,7,FALSE),1,0)</f>
        <v>0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>
      <c r="A307" s="8">
        <v>45322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1</v>
      </c>
      <c r="Q307" s="9">
        <f>MAX(-20,MIN(10,$A307-VLOOKUP(YEAR($A307),'Festive dates'!$A$2:$J$5,8,FALSE)))</f>
        <v>-20</v>
      </c>
      <c r="R307" s="9">
        <f>IF(AND($A307&gt;VLOOKUP(YEAR($A307),'Festive dates'!$A$2:$J$5,2,FALSE),$A307&lt;VLOOKUP(YEAR($A307),'Festive dates'!$A$2:$J$5,3,FALSE)),1,0)</f>
        <v>0</v>
      </c>
      <c r="S307" s="9">
        <f>IF($A307=VLOOKUP(YEAR($A307),'Festive dates'!$A$2:$J$5,2,FALSE),1,0)</f>
        <v>0</v>
      </c>
      <c r="T307" s="9">
        <f>IF($A307=VLOOKUP(YEAR($A307),'Festive dates'!$A$2:$J$5,3,FALSE),1,0)</f>
        <v>0</v>
      </c>
      <c r="U307" s="9">
        <f>IF($A307=VLOOKUP(YEAR($A307),'Festive dates'!$A$2:$J$5,4,FALSE),1,0)</f>
        <v>0</v>
      </c>
      <c r="V307" s="9">
        <f>IF(AND($A307&gt;=VLOOKUP(YEAR($A307),'Festive dates'!$A$2:$J$5,9,FALSE),$A307&lt;=VLOOKUP(YEAR($A307),'Festive dates'!$A$2:$J$5,10,FALSE)),1,0)</f>
        <v>0</v>
      </c>
      <c r="W307" s="9">
        <f>IF($A307=VLOOKUP(YEAR($A307),'Festive dates'!$A$2:$J$5,7,FALSE),1,0)</f>
        <v>0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>
      <c r="A308" s="8">
        <v>45323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1</v>
      </c>
      <c r="Q308" s="9">
        <f>MAX(-20,MIN(10,$A308-VLOOKUP(YEAR($A308),'Festive dates'!$A$2:$J$5,8,FALSE)))</f>
        <v>-20</v>
      </c>
      <c r="R308" s="9">
        <f>IF(AND($A308&gt;VLOOKUP(YEAR($A308),'Festive dates'!$A$2:$J$5,2,FALSE),$A308&lt;VLOOKUP(YEAR($A308),'Festive dates'!$A$2:$J$5,3,FALSE)),1,0)</f>
        <v>0</v>
      </c>
      <c r="S308" s="9">
        <f>IF($A308=VLOOKUP(YEAR($A308),'Festive dates'!$A$2:$J$5,2,FALSE),1,0)</f>
        <v>0</v>
      </c>
      <c r="T308" s="9">
        <f>IF($A308=VLOOKUP(YEAR($A308),'Festive dates'!$A$2:$J$5,3,FALSE),1,0)</f>
        <v>0</v>
      </c>
      <c r="U308" s="9">
        <f>IF($A308=VLOOKUP(YEAR($A308),'Festive dates'!$A$2:$J$5,4,FALSE),1,0)</f>
        <v>0</v>
      </c>
      <c r="V308" s="9">
        <f>IF(AND($A308&gt;=VLOOKUP(YEAR($A308),'Festive dates'!$A$2:$J$5,9,FALSE),$A308&lt;=VLOOKUP(YEAR($A308),'Festive dates'!$A$2:$J$5,10,FALSE)),1,0)</f>
        <v>0</v>
      </c>
      <c r="W308" s="9">
        <f>IF($A308=VLOOKUP(YEAR($A308),'Festive dates'!$A$2:$J$5,7,FALSE),1,0)</f>
        <v>0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>
      <c r="A309" s="8">
        <v>45324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f>MAX(-20,MIN(10,$A309-VLOOKUP(YEAR($A309),'Festive dates'!$A$2:$J$5,8,FALSE)))</f>
        <v>-20</v>
      </c>
      <c r="R309" s="9">
        <f>IF(AND($A309&gt;VLOOKUP(YEAR($A309),'Festive dates'!$A$2:$J$5,2,FALSE),$A309&lt;VLOOKUP(YEAR($A309),'Festive dates'!$A$2:$J$5,3,FALSE)),1,0)</f>
        <v>0</v>
      </c>
      <c r="S309" s="9">
        <f>IF($A309=VLOOKUP(YEAR($A309),'Festive dates'!$A$2:$J$5,2,FALSE),1,0)</f>
        <v>0</v>
      </c>
      <c r="T309" s="9">
        <f>IF($A309=VLOOKUP(YEAR($A309),'Festive dates'!$A$2:$J$5,3,FALSE),1,0)</f>
        <v>0</v>
      </c>
      <c r="U309" s="9">
        <f>IF($A309=VLOOKUP(YEAR($A309),'Festive dates'!$A$2:$J$5,4,FALSE),1,0)</f>
        <v>0</v>
      </c>
      <c r="V309" s="9">
        <f>IF(AND($A309&gt;=VLOOKUP(YEAR($A309),'Festive dates'!$A$2:$J$5,9,FALSE),$A309&lt;=VLOOKUP(YEAR($A309),'Festive dates'!$A$2:$J$5,10,FALSE)),1,0)</f>
        <v>0</v>
      </c>
      <c r="W309" s="9">
        <f>IF($A309=VLOOKUP(YEAR($A309),'Festive dates'!$A$2:$J$5,7,FALSE),1,0)</f>
        <v>0</v>
      </c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>
      <c r="A310" s="8">
        <v>45325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f>MAX(-20,MIN(10,$A310-VLOOKUP(YEAR($A310),'Festive dates'!$A$2:$J$5,8,FALSE)))</f>
        <v>-20</v>
      </c>
      <c r="R310" s="9">
        <f>IF(AND($A310&gt;VLOOKUP(YEAR($A310),'Festive dates'!$A$2:$J$5,2,FALSE),$A310&lt;VLOOKUP(YEAR($A310),'Festive dates'!$A$2:$J$5,3,FALSE)),1,0)</f>
        <v>0</v>
      </c>
      <c r="S310" s="9">
        <f>IF($A310=VLOOKUP(YEAR($A310),'Festive dates'!$A$2:$J$5,2,FALSE),1,0)</f>
        <v>0</v>
      </c>
      <c r="T310" s="9">
        <f>IF($A310=VLOOKUP(YEAR($A310),'Festive dates'!$A$2:$J$5,3,FALSE),1,0)</f>
        <v>0</v>
      </c>
      <c r="U310" s="9">
        <f>IF($A310=VLOOKUP(YEAR($A310),'Festive dates'!$A$2:$J$5,4,FALSE),1,0)</f>
        <v>0</v>
      </c>
      <c r="V310" s="9">
        <f>IF(AND($A310&gt;=VLOOKUP(YEAR($A310),'Festive dates'!$A$2:$J$5,9,FALSE),$A310&lt;=VLOOKUP(YEAR($A310),'Festive dates'!$A$2:$J$5,10,FALSE)),1,0)</f>
        <v>0</v>
      </c>
      <c r="W310" s="9">
        <f>IF($A310=VLOOKUP(YEAR($A310),'Festive dates'!$A$2:$J$5,7,FALSE),1,0)</f>
        <v>0</v>
      </c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>
      <c r="A311" s="8">
        <v>45326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f>MAX(-20,MIN(10,$A311-VLOOKUP(YEAR($A311),'Festive dates'!$A$2:$J$5,8,FALSE)))</f>
        <v>-20</v>
      </c>
      <c r="R311" s="9">
        <f>IF(AND($A311&gt;VLOOKUP(YEAR($A311),'Festive dates'!$A$2:$J$5,2,FALSE),$A311&lt;VLOOKUP(YEAR($A311),'Festive dates'!$A$2:$J$5,3,FALSE)),1,0)</f>
        <v>0</v>
      </c>
      <c r="S311" s="9">
        <f>IF($A311=VLOOKUP(YEAR($A311),'Festive dates'!$A$2:$J$5,2,FALSE),1,0)</f>
        <v>0</v>
      </c>
      <c r="T311" s="9">
        <f>IF($A311=VLOOKUP(YEAR($A311),'Festive dates'!$A$2:$J$5,3,FALSE),1,0)</f>
        <v>0</v>
      </c>
      <c r="U311" s="9">
        <f>IF($A311=VLOOKUP(YEAR($A311),'Festive dates'!$A$2:$J$5,4,FALSE),1,0)</f>
        <v>0</v>
      </c>
      <c r="V311" s="9">
        <f>IF(AND($A311&gt;=VLOOKUP(YEAR($A311),'Festive dates'!$A$2:$J$5,9,FALSE),$A311&lt;=VLOOKUP(YEAR($A311),'Festive dates'!$A$2:$J$5,10,FALSE)),1,0)</f>
        <v>0</v>
      </c>
      <c r="W311" s="9">
        <f>IF($A311=VLOOKUP(YEAR($A311),'Festive dates'!$A$2:$J$5,7,FALSE),1,0)</f>
        <v>0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>
      <c r="A312" s="8">
        <v>45327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1</v>
      </c>
      <c r="Q312" s="9">
        <f>MAX(-20,MIN(10,$A312-VLOOKUP(YEAR($A312),'Festive dates'!$A$2:$J$5,8,FALSE)))</f>
        <v>-20</v>
      </c>
      <c r="R312" s="9">
        <f>IF(AND($A312&gt;VLOOKUP(YEAR($A312),'Festive dates'!$A$2:$J$5,2,FALSE),$A312&lt;VLOOKUP(YEAR($A312),'Festive dates'!$A$2:$J$5,3,FALSE)),1,0)</f>
        <v>0</v>
      </c>
      <c r="S312" s="9">
        <f>IF($A312=VLOOKUP(YEAR($A312),'Festive dates'!$A$2:$J$5,2,FALSE),1,0)</f>
        <v>0</v>
      </c>
      <c r="T312" s="9">
        <f>IF($A312=VLOOKUP(YEAR($A312),'Festive dates'!$A$2:$J$5,3,FALSE),1,0)</f>
        <v>0</v>
      </c>
      <c r="U312" s="9">
        <f>IF($A312=VLOOKUP(YEAR($A312),'Festive dates'!$A$2:$J$5,4,FALSE),1,0)</f>
        <v>0</v>
      </c>
      <c r="V312" s="9">
        <f>IF(AND($A312&gt;=VLOOKUP(YEAR($A312),'Festive dates'!$A$2:$J$5,9,FALSE),$A312&lt;=VLOOKUP(YEAR($A312),'Festive dates'!$A$2:$J$5,10,FALSE)),1,0)</f>
        <v>0</v>
      </c>
      <c r="W312" s="9">
        <f>IF($A312=VLOOKUP(YEAR($A312),'Festive dates'!$A$2:$J$5,7,FALSE),1,0)</f>
        <v>0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>
      <c r="A313" s="8">
        <v>45328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1</v>
      </c>
      <c r="Q313" s="9">
        <f>MAX(-20,MIN(10,$A313-VLOOKUP(YEAR($A313),'Festive dates'!$A$2:$J$5,8,FALSE)))</f>
        <v>-20</v>
      </c>
      <c r="R313" s="9">
        <f>IF(AND($A313&gt;VLOOKUP(YEAR($A313),'Festive dates'!$A$2:$J$5,2,FALSE),$A313&lt;VLOOKUP(YEAR($A313),'Festive dates'!$A$2:$J$5,3,FALSE)),1,0)</f>
        <v>0</v>
      </c>
      <c r="S313" s="9">
        <f>IF($A313=VLOOKUP(YEAR($A313),'Festive dates'!$A$2:$J$5,2,FALSE),1,0)</f>
        <v>0</v>
      </c>
      <c r="T313" s="9">
        <f>IF($A313=VLOOKUP(YEAR($A313),'Festive dates'!$A$2:$J$5,3,FALSE),1,0)</f>
        <v>0</v>
      </c>
      <c r="U313" s="9">
        <f>IF($A313=VLOOKUP(YEAR($A313),'Festive dates'!$A$2:$J$5,4,FALSE),1,0)</f>
        <v>0</v>
      </c>
      <c r="V313" s="9">
        <f>IF(AND($A313&gt;=VLOOKUP(YEAR($A313),'Festive dates'!$A$2:$J$5,9,FALSE),$A313&lt;=VLOOKUP(YEAR($A313),'Festive dates'!$A$2:$J$5,10,FALSE)),1,0)</f>
        <v>0</v>
      </c>
      <c r="W313" s="9">
        <f>IF($A313=VLOOKUP(YEAR($A313),'Festive dates'!$A$2:$J$5,7,FALSE),1,0)</f>
        <v>0</v>
      </c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>
      <c r="A314" s="8">
        <v>45329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f>MAX(-20,MIN(10,$A314-VLOOKUP(YEAR($A314),'Festive dates'!$A$2:$J$5,8,FALSE)))</f>
        <v>-20</v>
      </c>
      <c r="R314" s="9">
        <f>IF(AND($A314&gt;VLOOKUP(YEAR($A314),'Festive dates'!$A$2:$J$5,2,FALSE),$A314&lt;VLOOKUP(YEAR($A314),'Festive dates'!$A$2:$J$5,3,FALSE)),1,0)</f>
        <v>0</v>
      </c>
      <c r="S314" s="9">
        <f>IF($A314=VLOOKUP(YEAR($A314),'Festive dates'!$A$2:$J$5,2,FALSE),1,0)</f>
        <v>0</v>
      </c>
      <c r="T314" s="9">
        <f>IF($A314=VLOOKUP(YEAR($A314),'Festive dates'!$A$2:$J$5,3,FALSE),1,0)</f>
        <v>0</v>
      </c>
      <c r="U314" s="9">
        <f>IF($A314=VLOOKUP(YEAR($A314),'Festive dates'!$A$2:$J$5,4,FALSE),1,0)</f>
        <v>0</v>
      </c>
      <c r="V314" s="9">
        <f>IF(AND($A314&gt;=VLOOKUP(YEAR($A314),'Festive dates'!$A$2:$J$5,9,FALSE),$A314&lt;=VLOOKUP(YEAR($A314),'Festive dates'!$A$2:$J$5,10,FALSE)),1,0)</f>
        <v>0</v>
      </c>
      <c r="W314" s="9">
        <f>IF($A314=VLOOKUP(YEAR($A314),'Festive dates'!$A$2:$J$5,7,FALSE),1,0)</f>
        <v>0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>
      <c r="A315" s="8">
        <v>45330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f>MAX(-20,MIN(10,$A315-VLOOKUP(YEAR($A315),'Festive dates'!$A$2:$J$5,8,FALSE)))</f>
        <v>-20</v>
      </c>
      <c r="R315" s="9">
        <f>IF(AND($A315&gt;VLOOKUP(YEAR($A315),'Festive dates'!$A$2:$J$5,2,FALSE),$A315&lt;VLOOKUP(YEAR($A315),'Festive dates'!$A$2:$J$5,3,FALSE)),1,0)</f>
        <v>0</v>
      </c>
      <c r="S315" s="9">
        <f>IF($A315=VLOOKUP(YEAR($A315),'Festive dates'!$A$2:$J$5,2,FALSE),1,0)</f>
        <v>0</v>
      </c>
      <c r="T315" s="9">
        <f>IF($A315=VLOOKUP(YEAR($A315),'Festive dates'!$A$2:$J$5,3,FALSE),1,0)</f>
        <v>0</v>
      </c>
      <c r="U315" s="9">
        <f>IF($A315=VLOOKUP(YEAR($A315),'Festive dates'!$A$2:$J$5,4,FALSE),1,0)</f>
        <v>0</v>
      </c>
      <c r="V315" s="9">
        <f>IF(AND($A315&gt;=VLOOKUP(YEAR($A315),'Festive dates'!$A$2:$J$5,9,FALSE),$A315&lt;=VLOOKUP(YEAR($A315),'Festive dates'!$A$2:$J$5,10,FALSE)),1,0)</f>
        <v>0</v>
      </c>
      <c r="W315" s="9">
        <f>IF($A315=VLOOKUP(YEAR($A315),'Festive dates'!$A$2:$J$5,7,FALSE),1,0)</f>
        <v>0</v>
      </c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>
      <c r="A316" s="8">
        <v>45331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f>MAX(-20,MIN(10,$A316-VLOOKUP(YEAR($A316),'Festive dates'!$A$2:$J$5,8,FALSE)))</f>
        <v>-20</v>
      </c>
      <c r="R316" s="9">
        <f>IF(AND($A316&gt;VLOOKUP(YEAR($A316),'Festive dates'!$A$2:$J$5,2,FALSE),$A316&lt;VLOOKUP(YEAR($A316),'Festive dates'!$A$2:$J$5,3,FALSE)),1,0)</f>
        <v>0</v>
      </c>
      <c r="S316" s="9">
        <f>IF($A316=VLOOKUP(YEAR($A316),'Festive dates'!$A$2:$J$5,2,FALSE),1,0)</f>
        <v>0</v>
      </c>
      <c r="T316" s="9">
        <f>IF($A316=VLOOKUP(YEAR($A316),'Festive dates'!$A$2:$J$5,3,FALSE),1,0)</f>
        <v>0</v>
      </c>
      <c r="U316" s="9">
        <f>IF($A316=VLOOKUP(YEAR($A316),'Festive dates'!$A$2:$J$5,4,FALSE),1,0)</f>
        <v>0</v>
      </c>
      <c r="V316" s="9">
        <f>IF(AND($A316&gt;=VLOOKUP(YEAR($A316),'Festive dates'!$A$2:$J$5,9,FALSE),$A316&lt;=VLOOKUP(YEAR($A316),'Festive dates'!$A$2:$J$5,10,FALSE)),1,0)</f>
        <v>0</v>
      </c>
      <c r="W316" s="9">
        <f>IF($A316=VLOOKUP(YEAR($A316),'Festive dates'!$A$2:$J$5,7,FALSE),1,0)</f>
        <v>0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>
      <c r="A317" s="8">
        <v>45332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1</v>
      </c>
      <c r="Q317" s="9">
        <f>MAX(-20,MIN(10,$A317-VLOOKUP(YEAR($A317),'Festive dates'!$A$2:$J$5,8,FALSE)))</f>
        <v>-20</v>
      </c>
      <c r="R317" s="9">
        <f>IF(AND($A317&gt;VLOOKUP(YEAR($A317),'Festive dates'!$A$2:$J$5,2,FALSE),$A317&lt;VLOOKUP(YEAR($A317),'Festive dates'!$A$2:$J$5,3,FALSE)),1,0)</f>
        <v>0</v>
      </c>
      <c r="S317" s="9">
        <f>IF($A317=VLOOKUP(YEAR($A317),'Festive dates'!$A$2:$J$5,2,FALSE),1,0)</f>
        <v>0</v>
      </c>
      <c r="T317" s="9">
        <f>IF($A317=VLOOKUP(YEAR($A317),'Festive dates'!$A$2:$J$5,3,FALSE),1,0)</f>
        <v>0</v>
      </c>
      <c r="U317" s="9">
        <f>IF($A317=VLOOKUP(YEAR($A317),'Festive dates'!$A$2:$J$5,4,FALSE),1,0)</f>
        <v>0</v>
      </c>
      <c r="V317" s="9">
        <f>IF(AND($A317&gt;=VLOOKUP(YEAR($A317),'Festive dates'!$A$2:$J$5,9,FALSE),$A317&lt;=VLOOKUP(YEAR($A317),'Festive dates'!$A$2:$J$5,10,FALSE)),1,0)</f>
        <v>0</v>
      </c>
      <c r="W317" s="9">
        <f>IF($A317=VLOOKUP(YEAR($A317),'Festive dates'!$A$2:$J$5,7,FALSE),1,0)</f>
        <v>0</v>
      </c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>
      <c r="A318" s="8">
        <v>45333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f>MAX(-20,MIN(10,$A318-VLOOKUP(YEAR($A318),'Festive dates'!$A$2:$J$5,8,FALSE)))</f>
        <v>-20</v>
      </c>
      <c r="R318" s="9">
        <f>IF(AND($A318&gt;VLOOKUP(YEAR($A318),'Festive dates'!$A$2:$J$5,2,FALSE),$A318&lt;VLOOKUP(YEAR($A318),'Festive dates'!$A$2:$J$5,3,FALSE)),1,0)</f>
        <v>0</v>
      </c>
      <c r="S318" s="9">
        <f>IF($A318=VLOOKUP(YEAR($A318),'Festive dates'!$A$2:$J$5,2,FALSE),1,0)</f>
        <v>0</v>
      </c>
      <c r="T318" s="9">
        <f>IF($A318=VLOOKUP(YEAR($A318),'Festive dates'!$A$2:$J$5,3,FALSE),1,0)</f>
        <v>0</v>
      </c>
      <c r="U318" s="9">
        <f>IF($A318=VLOOKUP(YEAR($A318),'Festive dates'!$A$2:$J$5,4,FALSE),1,0)</f>
        <v>0</v>
      </c>
      <c r="V318" s="9">
        <f>IF(AND($A318&gt;=VLOOKUP(YEAR($A318),'Festive dates'!$A$2:$J$5,9,FALSE),$A318&lt;=VLOOKUP(YEAR($A318),'Festive dates'!$A$2:$J$5,10,FALSE)),1,0)</f>
        <v>0</v>
      </c>
      <c r="W318" s="9">
        <f>IF($A318=VLOOKUP(YEAR($A318),'Festive dates'!$A$2:$J$5,7,FALSE),1,0)</f>
        <v>0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>
      <c r="A319" s="8">
        <v>45334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f>MAX(-20,MIN(10,$A319-VLOOKUP(YEAR($A319),'Festive dates'!$A$2:$J$5,8,FALSE)))</f>
        <v>-20</v>
      </c>
      <c r="R319" s="9">
        <f>IF(AND($A319&gt;VLOOKUP(YEAR($A319),'Festive dates'!$A$2:$J$5,2,FALSE),$A319&lt;VLOOKUP(YEAR($A319),'Festive dates'!$A$2:$J$5,3,FALSE)),1,0)</f>
        <v>0</v>
      </c>
      <c r="S319" s="9">
        <f>IF($A319=VLOOKUP(YEAR($A319),'Festive dates'!$A$2:$J$5,2,FALSE),1,0)</f>
        <v>0</v>
      </c>
      <c r="T319" s="9">
        <f>IF($A319=VLOOKUP(YEAR($A319),'Festive dates'!$A$2:$J$5,3,FALSE),1,0)</f>
        <v>0</v>
      </c>
      <c r="U319" s="9">
        <f>IF($A319=VLOOKUP(YEAR($A319),'Festive dates'!$A$2:$J$5,4,FALSE),1,0)</f>
        <v>0</v>
      </c>
      <c r="V319" s="9">
        <f>IF(AND($A319&gt;=VLOOKUP(YEAR($A319),'Festive dates'!$A$2:$J$5,9,FALSE),$A319&lt;=VLOOKUP(YEAR($A319),'Festive dates'!$A$2:$J$5,10,FALSE)),1,0)</f>
        <v>0</v>
      </c>
      <c r="W319" s="9">
        <f>IF($A319=VLOOKUP(YEAR($A319),'Festive dates'!$A$2:$J$5,7,FALSE),1,0)</f>
        <v>0</v>
      </c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>
      <c r="A320" s="8">
        <v>45335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f>MAX(-20,MIN(10,$A320-VLOOKUP(YEAR($A320),'Festive dates'!$A$2:$J$5,8,FALSE)))</f>
        <v>-20</v>
      </c>
      <c r="R320" s="9">
        <f>IF(AND($A320&gt;VLOOKUP(YEAR($A320),'Festive dates'!$A$2:$J$5,2,FALSE),$A320&lt;VLOOKUP(YEAR($A320),'Festive dates'!$A$2:$J$5,3,FALSE)),1,0)</f>
        <v>0</v>
      </c>
      <c r="S320" s="9">
        <f>IF($A320=VLOOKUP(YEAR($A320),'Festive dates'!$A$2:$J$5,2,FALSE),1,0)</f>
        <v>0</v>
      </c>
      <c r="T320" s="9">
        <f>IF($A320=VLOOKUP(YEAR($A320),'Festive dates'!$A$2:$J$5,3,FALSE),1,0)</f>
        <v>0</v>
      </c>
      <c r="U320" s="9">
        <f>IF($A320=VLOOKUP(YEAR($A320),'Festive dates'!$A$2:$J$5,4,FALSE),1,0)</f>
        <v>0</v>
      </c>
      <c r="V320" s="9">
        <f>IF(AND($A320&gt;=VLOOKUP(YEAR($A320),'Festive dates'!$A$2:$J$5,9,FALSE),$A320&lt;=VLOOKUP(YEAR($A320),'Festive dates'!$A$2:$J$5,10,FALSE)),1,0)</f>
        <v>0</v>
      </c>
      <c r="W320" s="9">
        <f>IF($A320=VLOOKUP(YEAR($A320),'Festive dates'!$A$2:$J$5,7,FALSE),1,0)</f>
        <v>0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>
      <c r="A321" s="8">
        <v>45336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f>MAX(-20,MIN(10,$A321-VLOOKUP(YEAR($A321),'Festive dates'!$A$2:$J$5,8,FALSE)))</f>
        <v>-20</v>
      </c>
      <c r="R321" s="9">
        <f>IF(AND($A321&gt;VLOOKUP(YEAR($A321),'Festive dates'!$A$2:$J$5,2,FALSE),$A321&lt;VLOOKUP(YEAR($A321),'Festive dates'!$A$2:$J$5,3,FALSE)),1,0)</f>
        <v>0</v>
      </c>
      <c r="S321" s="9">
        <f>IF($A321=VLOOKUP(YEAR($A321),'Festive dates'!$A$2:$J$5,2,FALSE),1,0)</f>
        <v>0</v>
      </c>
      <c r="T321" s="9">
        <f>IF($A321=VLOOKUP(YEAR($A321),'Festive dates'!$A$2:$J$5,3,FALSE),1,0)</f>
        <v>0</v>
      </c>
      <c r="U321" s="9">
        <f>IF($A321=VLOOKUP(YEAR($A321),'Festive dates'!$A$2:$J$5,4,FALSE),1,0)</f>
        <v>0</v>
      </c>
      <c r="V321" s="9">
        <f>IF(AND($A321&gt;=VLOOKUP(YEAR($A321),'Festive dates'!$A$2:$J$5,9,FALSE),$A321&lt;=VLOOKUP(YEAR($A321),'Festive dates'!$A$2:$J$5,10,FALSE)),1,0)</f>
        <v>0</v>
      </c>
      <c r="W321" s="9">
        <f>IF($A321=VLOOKUP(YEAR($A321),'Festive dates'!$A$2:$J$5,7,FALSE),1,0)</f>
        <v>0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>
      <c r="A322" s="8">
        <v>45337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f>MAX(-20,MIN(10,$A322-VLOOKUP(YEAR($A322),'Festive dates'!$A$2:$J$5,8,FALSE)))</f>
        <v>-20</v>
      </c>
      <c r="R322" s="9">
        <f>IF(AND($A322&gt;VLOOKUP(YEAR($A322),'Festive dates'!$A$2:$J$5,2,FALSE),$A322&lt;VLOOKUP(YEAR($A322),'Festive dates'!$A$2:$J$5,3,FALSE)),1,0)</f>
        <v>0</v>
      </c>
      <c r="S322" s="9">
        <f>IF($A322=VLOOKUP(YEAR($A322),'Festive dates'!$A$2:$J$5,2,FALSE),1,0)</f>
        <v>0</v>
      </c>
      <c r="T322" s="9">
        <f>IF($A322=VLOOKUP(YEAR($A322),'Festive dates'!$A$2:$J$5,3,FALSE),1,0)</f>
        <v>0</v>
      </c>
      <c r="U322" s="9">
        <f>IF($A322=VLOOKUP(YEAR($A322),'Festive dates'!$A$2:$J$5,4,FALSE),1,0)</f>
        <v>0</v>
      </c>
      <c r="V322" s="9">
        <f>IF(AND($A322&gt;=VLOOKUP(YEAR($A322),'Festive dates'!$A$2:$J$5,9,FALSE),$A322&lt;=VLOOKUP(YEAR($A322),'Festive dates'!$A$2:$J$5,10,FALSE)),1,0)</f>
        <v>0</v>
      </c>
      <c r="W322" s="9">
        <f>IF($A322=VLOOKUP(YEAR($A322),'Festive dates'!$A$2:$J$5,7,FALSE),1,0)</f>
        <v>0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>
      <c r="A323" s="8">
        <v>45338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f>MAX(-20,MIN(10,$A323-VLOOKUP(YEAR($A323),'Festive dates'!$A$2:$J$5,8,FALSE)))</f>
        <v>-20</v>
      </c>
      <c r="R323" s="9">
        <f>IF(AND($A323&gt;VLOOKUP(YEAR($A323),'Festive dates'!$A$2:$J$5,2,FALSE),$A323&lt;VLOOKUP(YEAR($A323),'Festive dates'!$A$2:$J$5,3,FALSE)),1,0)</f>
        <v>0</v>
      </c>
      <c r="S323" s="9">
        <f>IF($A323=VLOOKUP(YEAR($A323),'Festive dates'!$A$2:$J$5,2,FALSE),1,0)</f>
        <v>0</v>
      </c>
      <c r="T323" s="9">
        <f>IF($A323=VLOOKUP(YEAR($A323),'Festive dates'!$A$2:$J$5,3,FALSE),1,0)</f>
        <v>0</v>
      </c>
      <c r="U323" s="9">
        <f>IF($A323=VLOOKUP(YEAR($A323),'Festive dates'!$A$2:$J$5,4,FALSE),1,0)</f>
        <v>0</v>
      </c>
      <c r="V323" s="9">
        <f>IF(AND($A323&gt;=VLOOKUP(YEAR($A323),'Festive dates'!$A$2:$J$5,9,FALSE),$A323&lt;=VLOOKUP(YEAR($A323),'Festive dates'!$A$2:$J$5,10,FALSE)),1,0)</f>
        <v>0</v>
      </c>
      <c r="W323" s="9">
        <f>IF($A323=VLOOKUP(YEAR($A323),'Festive dates'!$A$2:$J$5,7,FALSE),1,0)</f>
        <v>0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>
      <c r="A324" s="8">
        <v>45339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1</v>
      </c>
      <c r="Q324" s="9">
        <f>MAX(-20,MIN(10,$A324-VLOOKUP(YEAR($A324),'Festive dates'!$A$2:$J$5,8,FALSE)))</f>
        <v>-20</v>
      </c>
      <c r="R324" s="9">
        <f>IF(AND($A324&gt;VLOOKUP(YEAR($A324),'Festive dates'!$A$2:$J$5,2,FALSE),$A324&lt;VLOOKUP(YEAR($A324),'Festive dates'!$A$2:$J$5,3,FALSE)),1,0)</f>
        <v>0</v>
      </c>
      <c r="S324" s="9">
        <f>IF($A324=VLOOKUP(YEAR($A324),'Festive dates'!$A$2:$J$5,2,FALSE),1,0)</f>
        <v>0</v>
      </c>
      <c r="T324" s="9">
        <f>IF($A324=VLOOKUP(YEAR($A324),'Festive dates'!$A$2:$J$5,3,FALSE),1,0)</f>
        <v>0</v>
      </c>
      <c r="U324" s="9">
        <f>IF($A324=VLOOKUP(YEAR($A324),'Festive dates'!$A$2:$J$5,4,FALSE),1,0)</f>
        <v>0</v>
      </c>
      <c r="V324" s="9">
        <f>IF(AND($A324&gt;=VLOOKUP(YEAR($A324),'Festive dates'!$A$2:$J$5,9,FALSE),$A324&lt;=VLOOKUP(YEAR($A324),'Festive dates'!$A$2:$J$5,10,FALSE)),1,0)</f>
        <v>0</v>
      </c>
      <c r="W324" s="9">
        <f>IF($A324=VLOOKUP(YEAR($A324),'Festive dates'!$A$2:$J$5,7,FALSE),1,0)</f>
        <v>0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>
      <c r="A325" s="8">
        <v>45340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1</v>
      </c>
      <c r="Q325" s="9">
        <f>MAX(-20,MIN(10,$A325-VLOOKUP(YEAR($A325),'Festive dates'!$A$2:$J$5,8,FALSE)))</f>
        <v>-20</v>
      </c>
      <c r="R325" s="9">
        <f>IF(AND($A325&gt;VLOOKUP(YEAR($A325),'Festive dates'!$A$2:$J$5,2,FALSE),$A325&lt;VLOOKUP(YEAR($A325),'Festive dates'!$A$2:$J$5,3,FALSE)),1,0)</f>
        <v>0</v>
      </c>
      <c r="S325" s="9">
        <f>IF($A325=VLOOKUP(YEAR($A325),'Festive dates'!$A$2:$J$5,2,FALSE),1,0)</f>
        <v>0</v>
      </c>
      <c r="T325" s="9">
        <f>IF($A325=VLOOKUP(YEAR($A325),'Festive dates'!$A$2:$J$5,3,FALSE),1,0)</f>
        <v>0</v>
      </c>
      <c r="U325" s="9">
        <f>IF($A325=VLOOKUP(YEAR($A325),'Festive dates'!$A$2:$J$5,4,FALSE),1,0)</f>
        <v>0</v>
      </c>
      <c r="V325" s="9">
        <f>IF(AND($A325&gt;=VLOOKUP(YEAR($A325),'Festive dates'!$A$2:$J$5,9,FALSE),$A325&lt;=VLOOKUP(YEAR($A325),'Festive dates'!$A$2:$J$5,10,FALSE)),1,0)</f>
        <v>0</v>
      </c>
      <c r="W325" s="9">
        <f>IF($A325=VLOOKUP(YEAR($A325),'Festive dates'!$A$2:$J$5,7,FALSE),1,0)</f>
        <v>0</v>
      </c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>
      <c r="A326" s="8">
        <v>45341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1</v>
      </c>
      <c r="Q326" s="9">
        <f>MAX(-20,MIN(10,$A326-VLOOKUP(YEAR($A326),'Festive dates'!$A$2:$J$5,8,FALSE)))</f>
        <v>-20</v>
      </c>
      <c r="R326" s="9">
        <f>IF(AND($A326&gt;VLOOKUP(YEAR($A326),'Festive dates'!$A$2:$J$5,2,FALSE),$A326&lt;VLOOKUP(YEAR($A326),'Festive dates'!$A$2:$J$5,3,FALSE)),1,0)</f>
        <v>0</v>
      </c>
      <c r="S326" s="9">
        <f>IF($A326=VLOOKUP(YEAR($A326),'Festive dates'!$A$2:$J$5,2,FALSE),1,0)</f>
        <v>0</v>
      </c>
      <c r="T326" s="9">
        <f>IF($A326=VLOOKUP(YEAR($A326),'Festive dates'!$A$2:$J$5,3,FALSE),1,0)</f>
        <v>0</v>
      </c>
      <c r="U326" s="9">
        <f>IF($A326=VLOOKUP(YEAR($A326),'Festive dates'!$A$2:$J$5,4,FALSE),1,0)</f>
        <v>0</v>
      </c>
      <c r="V326" s="9">
        <f>IF(AND($A326&gt;=VLOOKUP(YEAR($A326),'Festive dates'!$A$2:$J$5,9,FALSE),$A326&lt;=VLOOKUP(YEAR($A326),'Festive dates'!$A$2:$J$5,10,FALSE)),1,0)</f>
        <v>0</v>
      </c>
      <c r="W326" s="9">
        <f>IF($A326=VLOOKUP(YEAR($A326),'Festive dates'!$A$2:$J$5,7,FALSE),1,0)</f>
        <v>0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>
      <c r="A327" s="8">
        <v>45342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f>MAX(-20,MIN(10,$A327-VLOOKUP(YEAR($A327),'Festive dates'!$A$2:$J$5,8,FALSE)))</f>
        <v>-20</v>
      </c>
      <c r="R327" s="9">
        <f>IF(AND($A327&gt;VLOOKUP(YEAR($A327),'Festive dates'!$A$2:$J$5,2,FALSE),$A327&lt;VLOOKUP(YEAR($A327),'Festive dates'!$A$2:$J$5,3,FALSE)),1,0)</f>
        <v>0</v>
      </c>
      <c r="S327" s="9">
        <f>IF($A327=VLOOKUP(YEAR($A327),'Festive dates'!$A$2:$J$5,2,FALSE),1,0)</f>
        <v>0</v>
      </c>
      <c r="T327" s="9">
        <f>IF($A327=VLOOKUP(YEAR($A327),'Festive dates'!$A$2:$J$5,3,FALSE),1,0)</f>
        <v>0</v>
      </c>
      <c r="U327" s="9">
        <f>IF($A327=VLOOKUP(YEAR($A327),'Festive dates'!$A$2:$J$5,4,FALSE),1,0)</f>
        <v>0</v>
      </c>
      <c r="V327" s="9">
        <f>IF(AND($A327&gt;=VLOOKUP(YEAR($A327),'Festive dates'!$A$2:$J$5,9,FALSE),$A327&lt;=VLOOKUP(YEAR($A327),'Festive dates'!$A$2:$J$5,10,FALSE)),1,0)</f>
        <v>0</v>
      </c>
      <c r="W327" s="9">
        <f>IF($A327=VLOOKUP(YEAR($A327),'Festive dates'!$A$2:$J$5,7,FALSE),1,0)</f>
        <v>0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>
      <c r="A328" s="8">
        <v>45343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f>MAX(-20,MIN(10,$A328-VLOOKUP(YEAR($A328),'Festive dates'!$A$2:$J$5,8,FALSE)))</f>
        <v>-20</v>
      </c>
      <c r="R328" s="9">
        <f>IF(AND($A328&gt;VLOOKUP(YEAR($A328),'Festive dates'!$A$2:$J$5,2,FALSE),$A328&lt;VLOOKUP(YEAR($A328),'Festive dates'!$A$2:$J$5,3,FALSE)),1,0)</f>
        <v>0</v>
      </c>
      <c r="S328" s="9">
        <f>IF($A328=VLOOKUP(YEAR($A328),'Festive dates'!$A$2:$J$5,2,FALSE),1,0)</f>
        <v>0</v>
      </c>
      <c r="T328" s="9">
        <f>IF($A328=VLOOKUP(YEAR($A328),'Festive dates'!$A$2:$J$5,3,FALSE),1,0)</f>
        <v>0</v>
      </c>
      <c r="U328" s="9">
        <f>IF($A328=VLOOKUP(YEAR($A328),'Festive dates'!$A$2:$J$5,4,FALSE),1,0)</f>
        <v>0</v>
      </c>
      <c r="V328" s="9">
        <f>IF(AND($A328&gt;=VLOOKUP(YEAR($A328),'Festive dates'!$A$2:$J$5,9,FALSE),$A328&lt;=VLOOKUP(YEAR($A328),'Festive dates'!$A$2:$J$5,10,FALSE)),1,0)</f>
        <v>0</v>
      </c>
      <c r="W328" s="9">
        <f>IF($A328=VLOOKUP(YEAR($A328),'Festive dates'!$A$2:$J$5,7,FALSE),1,0)</f>
        <v>0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>
      <c r="A329" s="8">
        <v>45344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1</v>
      </c>
      <c r="Q329" s="9">
        <f>MAX(-20,MIN(10,$A329-VLOOKUP(YEAR($A329),'Festive dates'!$A$2:$J$5,8,FALSE)))</f>
        <v>-20</v>
      </c>
      <c r="R329" s="9">
        <f>IF(AND($A329&gt;VLOOKUP(YEAR($A329),'Festive dates'!$A$2:$J$5,2,FALSE),$A329&lt;VLOOKUP(YEAR($A329),'Festive dates'!$A$2:$J$5,3,FALSE)),1,0)</f>
        <v>0</v>
      </c>
      <c r="S329" s="9">
        <f>IF($A329=VLOOKUP(YEAR($A329),'Festive dates'!$A$2:$J$5,2,FALSE),1,0)</f>
        <v>0</v>
      </c>
      <c r="T329" s="9">
        <f>IF($A329=VLOOKUP(YEAR($A329),'Festive dates'!$A$2:$J$5,3,FALSE),1,0)</f>
        <v>0</v>
      </c>
      <c r="U329" s="9">
        <f>IF($A329=VLOOKUP(YEAR($A329),'Festive dates'!$A$2:$J$5,4,FALSE),1,0)</f>
        <v>0</v>
      </c>
      <c r="V329" s="9">
        <f>IF(AND($A329&gt;=VLOOKUP(YEAR($A329),'Festive dates'!$A$2:$J$5,9,FALSE),$A329&lt;=VLOOKUP(YEAR($A329),'Festive dates'!$A$2:$J$5,10,FALSE)),1,0)</f>
        <v>0</v>
      </c>
      <c r="W329" s="9">
        <f>IF($A329=VLOOKUP(YEAR($A329),'Festive dates'!$A$2:$J$5,7,FALSE),1,0)</f>
        <v>0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>
      <c r="A330" s="8">
        <v>45345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1</v>
      </c>
      <c r="Q330" s="9">
        <f>MAX(-20,MIN(10,$A330-VLOOKUP(YEAR($A330),'Festive dates'!$A$2:$J$5,8,FALSE)))</f>
        <v>-20</v>
      </c>
      <c r="R330" s="9">
        <f>IF(AND($A330&gt;VLOOKUP(YEAR($A330),'Festive dates'!$A$2:$J$5,2,FALSE),$A330&lt;VLOOKUP(YEAR($A330),'Festive dates'!$A$2:$J$5,3,FALSE)),1,0)</f>
        <v>0</v>
      </c>
      <c r="S330" s="9">
        <f>IF($A330=VLOOKUP(YEAR($A330),'Festive dates'!$A$2:$J$5,2,FALSE),1,0)</f>
        <v>0</v>
      </c>
      <c r="T330" s="9">
        <f>IF($A330=VLOOKUP(YEAR($A330),'Festive dates'!$A$2:$J$5,3,FALSE),1,0)</f>
        <v>0</v>
      </c>
      <c r="U330" s="9">
        <f>IF($A330=VLOOKUP(YEAR($A330),'Festive dates'!$A$2:$J$5,4,FALSE),1,0)</f>
        <v>0</v>
      </c>
      <c r="V330" s="9">
        <f>IF(AND($A330&gt;=VLOOKUP(YEAR($A330),'Festive dates'!$A$2:$J$5,9,FALSE),$A330&lt;=VLOOKUP(YEAR($A330),'Festive dates'!$A$2:$J$5,10,FALSE)),1,0)</f>
        <v>0</v>
      </c>
      <c r="W330" s="9">
        <f>IF($A330=VLOOKUP(YEAR($A330),'Festive dates'!$A$2:$J$5,7,FALSE),1,0)</f>
        <v>0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>
      <c r="A331" s="8">
        <v>45346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1</v>
      </c>
      <c r="Q331" s="9">
        <f>MAX(-20,MIN(10,$A331-VLOOKUP(YEAR($A331),'Festive dates'!$A$2:$J$5,8,FALSE)))</f>
        <v>-20</v>
      </c>
      <c r="R331" s="9">
        <f>IF(AND($A331&gt;VLOOKUP(YEAR($A331),'Festive dates'!$A$2:$J$5,2,FALSE),$A331&lt;VLOOKUP(YEAR($A331),'Festive dates'!$A$2:$J$5,3,FALSE)),1,0)</f>
        <v>0</v>
      </c>
      <c r="S331" s="9">
        <f>IF($A331=VLOOKUP(YEAR($A331),'Festive dates'!$A$2:$J$5,2,FALSE),1,0)</f>
        <v>0</v>
      </c>
      <c r="T331" s="9">
        <f>IF($A331=VLOOKUP(YEAR($A331),'Festive dates'!$A$2:$J$5,3,FALSE),1,0)</f>
        <v>0</v>
      </c>
      <c r="U331" s="9">
        <f>IF($A331=VLOOKUP(YEAR($A331),'Festive dates'!$A$2:$J$5,4,FALSE),1,0)</f>
        <v>0</v>
      </c>
      <c r="V331" s="9">
        <f>IF(AND($A331&gt;=VLOOKUP(YEAR($A331),'Festive dates'!$A$2:$J$5,9,FALSE),$A331&lt;=VLOOKUP(YEAR($A331),'Festive dates'!$A$2:$J$5,10,FALSE)),1,0)</f>
        <v>0</v>
      </c>
      <c r="W331" s="9">
        <f>IF($A331=VLOOKUP(YEAR($A331),'Festive dates'!$A$2:$J$5,7,FALSE),1,0)</f>
        <v>0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>
      <c r="A332" s="8">
        <v>45347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1</v>
      </c>
      <c r="Q332" s="9">
        <f>MAX(-20,MIN(10,$A332-VLOOKUP(YEAR($A332),'Festive dates'!$A$2:$J$5,8,FALSE)))</f>
        <v>-20</v>
      </c>
      <c r="R332" s="9">
        <f>IF(AND($A332&gt;VLOOKUP(YEAR($A332),'Festive dates'!$A$2:$J$5,2,FALSE),$A332&lt;VLOOKUP(YEAR($A332),'Festive dates'!$A$2:$J$5,3,FALSE)),1,0)</f>
        <v>0</v>
      </c>
      <c r="S332" s="9">
        <f>IF($A332=VLOOKUP(YEAR($A332),'Festive dates'!$A$2:$J$5,2,FALSE),1,0)</f>
        <v>0</v>
      </c>
      <c r="T332" s="9">
        <f>IF($A332=VLOOKUP(YEAR($A332),'Festive dates'!$A$2:$J$5,3,FALSE),1,0)</f>
        <v>0</v>
      </c>
      <c r="U332" s="9">
        <f>IF($A332=VLOOKUP(YEAR($A332),'Festive dates'!$A$2:$J$5,4,FALSE),1,0)</f>
        <v>0</v>
      </c>
      <c r="V332" s="9">
        <f>IF(AND($A332&gt;=VLOOKUP(YEAR($A332),'Festive dates'!$A$2:$J$5,9,FALSE),$A332&lt;=VLOOKUP(YEAR($A332),'Festive dates'!$A$2:$J$5,10,FALSE)),1,0)</f>
        <v>0</v>
      </c>
      <c r="W332" s="9">
        <f>IF($A332=VLOOKUP(YEAR($A332),'Festive dates'!$A$2:$J$5,7,FALSE),1,0)</f>
        <v>0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>
      <c r="A333" s="8">
        <v>45348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1</v>
      </c>
      <c r="Q333" s="9">
        <f>MAX(-20,MIN(10,$A333-VLOOKUP(YEAR($A333),'Festive dates'!$A$2:$J$5,8,FALSE)))</f>
        <v>-20</v>
      </c>
      <c r="R333" s="9">
        <f>IF(AND($A333&gt;VLOOKUP(YEAR($A333),'Festive dates'!$A$2:$J$5,2,FALSE),$A333&lt;VLOOKUP(YEAR($A333),'Festive dates'!$A$2:$J$5,3,FALSE)),1,0)</f>
        <v>0</v>
      </c>
      <c r="S333" s="9">
        <f>IF($A333=VLOOKUP(YEAR($A333),'Festive dates'!$A$2:$J$5,2,FALSE),1,0)</f>
        <v>0</v>
      </c>
      <c r="T333" s="9">
        <f>IF($A333=VLOOKUP(YEAR($A333),'Festive dates'!$A$2:$J$5,3,FALSE),1,0)</f>
        <v>0</v>
      </c>
      <c r="U333" s="9">
        <f>IF($A333=VLOOKUP(YEAR($A333),'Festive dates'!$A$2:$J$5,4,FALSE),1,0)</f>
        <v>0</v>
      </c>
      <c r="V333" s="9">
        <f>IF(AND($A333&gt;=VLOOKUP(YEAR($A333),'Festive dates'!$A$2:$J$5,9,FALSE),$A333&lt;=VLOOKUP(YEAR($A333),'Festive dates'!$A$2:$J$5,10,FALSE)),1,0)</f>
        <v>0</v>
      </c>
      <c r="W333" s="9">
        <f>IF($A333=VLOOKUP(YEAR($A333),'Festive dates'!$A$2:$J$5,7,FALSE),1,0)</f>
        <v>0</v>
      </c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>
      <c r="A334" s="8">
        <v>45349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1</v>
      </c>
      <c r="Q334" s="9">
        <f>MAX(-20,MIN(10,$A334-VLOOKUP(YEAR($A334),'Festive dates'!$A$2:$J$5,8,FALSE)))</f>
        <v>-20</v>
      </c>
      <c r="R334" s="9">
        <f>IF(AND($A334&gt;VLOOKUP(YEAR($A334),'Festive dates'!$A$2:$J$5,2,FALSE),$A334&lt;VLOOKUP(YEAR($A334),'Festive dates'!$A$2:$J$5,3,FALSE)),1,0)</f>
        <v>0</v>
      </c>
      <c r="S334" s="9">
        <f>IF($A334=VLOOKUP(YEAR($A334),'Festive dates'!$A$2:$J$5,2,FALSE),1,0)</f>
        <v>0</v>
      </c>
      <c r="T334" s="9">
        <f>IF($A334=VLOOKUP(YEAR($A334),'Festive dates'!$A$2:$J$5,3,FALSE),1,0)</f>
        <v>0</v>
      </c>
      <c r="U334" s="9">
        <f>IF($A334=VLOOKUP(YEAR($A334),'Festive dates'!$A$2:$J$5,4,FALSE),1,0)</f>
        <v>0</v>
      </c>
      <c r="V334" s="9">
        <f>IF(AND($A334&gt;=VLOOKUP(YEAR($A334),'Festive dates'!$A$2:$J$5,9,FALSE),$A334&lt;=VLOOKUP(YEAR($A334),'Festive dates'!$A$2:$J$5,10,FALSE)),1,0)</f>
        <v>0</v>
      </c>
      <c r="W334" s="9">
        <f>IF($A334=VLOOKUP(YEAR($A334),'Festive dates'!$A$2:$J$5,7,FALSE),1,0)</f>
        <v>0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>
      <c r="A335" s="8">
        <v>45350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1</v>
      </c>
      <c r="Q335" s="9">
        <f>MAX(-20,MIN(10,$A335-VLOOKUP(YEAR($A335),'Festive dates'!$A$2:$J$5,8,FALSE)))</f>
        <v>-20</v>
      </c>
      <c r="R335" s="9">
        <f>IF(AND($A335&gt;VLOOKUP(YEAR($A335),'Festive dates'!$A$2:$J$5,2,FALSE),$A335&lt;VLOOKUP(YEAR($A335),'Festive dates'!$A$2:$J$5,3,FALSE)),1,0)</f>
        <v>0</v>
      </c>
      <c r="S335" s="9">
        <f>IF($A335=VLOOKUP(YEAR($A335),'Festive dates'!$A$2:$J$5,2,FALSE),1,0)</f>
        <v>0</v>
      </c>
      <c r="T335" s="9">
        <f>IF($A335=VLOOKUP(YEAR($A335),'Festive dates'!$A$2:$J$5,3,FALSE),1,0)</f>
        <v>0</v>
      </c>
      <c r="U335" s="9">
        <f>IF($A335=VLOOKUP(YEAR($A335),'Festive dates'!$A$2:$J$5,4,FALSE),1,0)</f>
        <v>0</v>
      </c>
      <c r="V335" s="9">
        <f>IF(AND($A335&gt;=VLOOKUP(YEAR($A335),'Festive dates'!$A$2:$J$5,9,FALSE),$A335&lt;=VLOOKUP(YEAR($A335),'Festive dates'!$A$2:$J$5,10,FALSE)),1,0)</f>
        <v>0</v>
      </c>
      <c r="W335" s="9">
        <f>IF($A335=VLOOKUP(YEAR($A335),'Festive dates'!$A$2:$J$5,7,FALSE),1,0)</f>
        <v>0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>
      <c r="A336" s="8">
        <v>45351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1</v>
      </c>
      <c r="Q336" s="9">
        <f>MAX(-20,MIN(10,$A336-VLOOKUP(YEAR($A336),'Festive dates'!$A$2:$J$5,8,FALSE)))</f>
        <v>-20</v>
      </c>
      <c r="R336" s="9">
        <f>IF(AND($A336&gt;VLOOKUP(YEAR($A336),'Festive dates'!$A$2:$J$5,2,FALSE),$A336&lt;VLOOKUP(YEAR($A336),'Festive dates'!$A$2:$J$5,3,FALSE)),1,0)</f>
        <v>0</v>
      </c>
      <c r="S336" s="9">
        <f>IF($A336=VLOOKUP(YEAR($A336),'Festive dates'!$A$2:$J$5,2,FALSE),1,0)</f>
        <v>0</v>
      </c>
      <c r="T336" s="9">
        <f>IF($A336=VLOOKUP(YEAR($A336),'Festive dates'!$A$2:$J$5,3,FALSE),1,0)</f>
        <v>0</v>
      </c>
      <c r="U336" s="9">
        <f>IF($A336=VLOOKUP(YEAR($A336),'Festive dates'!$A$2:$J$5,4,FALSE),1,0)</f>
        <v>0</v>
      </c>
      <c r="V336" s="9">
        <f>IF(AND($A336&gt;=VLOOKUP(YEAR($A336),'Festive dates'!$A$2:$J$5,9,FALSE),$A336&lt;=VLOOKUP(YEAR($A336),'Festive dates'!$A$2:$J$5,10,FALSE)),1,0)</f>
        <v>0</v>
      </c>
      <c r="W336" s="9">
        <f>IF($A336=VLOOKUP(YEAR($A336),'Festive dates'!$A$2:$J$5,7,FALSE),1,0)</f>
        <v>0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>
      <c r="A337" s="8">
        <v>45352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f>MAX(-20,MIN(10,$A337-VLOOKUP(YEAR($A337),'Festive dates'!$A$2:$J$5,8,FALSE)))</f>
        <v>-20</v>
      </c>
      <c r="R337" s="9">
        <f>IF(AND($A337&gt;VLOOKUP(YEAR($A337),'Festive dates'!$A$2:$J$5,2,FALSE),$A337&lt;VLOOKUP(YEAR($A337),'Festive dates'!$A$2:$J$5,3,FALSE)),1,0)</f>
        <v>0</v>
      </c>
      <c r="S337" s="9">
        <f>IF($A337=VLOOKUP(YEAR($A337),'Festive dates'!$A$2:$J$5,2,FALSE),1,0)</f>
        <v>0</v>
      </c>
      <c r="T337" s="9">
        <f>IF($A337=VLOOKUP(YEAR($A337),'Festive dates'!$A$2:$J$5,3,FALSE),1,0)</f>
        <v>0</v>
      </c>
      <c r="U337" s="9">
        <f>IF($A337=VLOOKUP(YEAR($A337),'Festive dates'!$A$2:$J$5,4,FALSE),1,0)</f>
        <v>0</v>
      </c>
      <c r="V337" s="9">
        <f>IF(AND($A337&gt;=VLOOKUP(YEAR($A337),'Festive dates'!$A$2:$J$5,9,FALSE),$A337&lt;=VLOOKUP(YEAR($A337),'Festive dates'!$A$2:$J$5,10,FALSE)),1,0)</f>
        <v>0</v>
      </c>
      <c r="W337" s="9">
        <f>IF($A337=VLOOKUP(YEAR($A337),'Festive dates'!$A$2:$J$5,7,FALSE),1,0)</f>
        <v>0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>
      <c r="A338" s="8">
        <v>45353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f>MAX(-20,MIN(10,$A338-VLOOKUP(YEAR($A338),'Festive dates'!$A$2:$J$5,8,FALSE)))</f>
        <v>-20</v>
      </c>
      <c r="R338" s="9">
        <f>IF(AND($A338&gt;VLOOKUP(YEAR($A338),'Festive dates'!$A$2:$J$5,2,FALSE),$A338&lt;VLOOKUP(YEAR($A338),'Festive dates'!$A$2:$J$5,3,FALSE)),1,0)</f>
        <v>0</v>
      </c>
      <c r="S338" s="9">
        <f>IF($A338=VLOOKUP(YEAR($A338),'Festive dates'!$A$2:$J$5,2,FALSE),1,0)</f>
        <v>0</v>
      </c>
      <c r="T338" s="9">
        <f>IF($A338=VLOOKUP(YEAR($A338),'Festive dates'!$A$2:$J$5,3,FALSE),1,0)</f>
        <v>0</v>
      </c>
      <c r="U338" s="9">
        <f>IF($A338=VLOOKUP(YEAR($A338),'Festive dates'!$A$2:$J$5,4,FALSE),1,0)</f>
        <v>0</v>
      </c>
      <c r="V338" s="9">
        <f>IF(AND($A338&gt;=VLOOKUP(YEAR($A338),'Festive dates'!$A$2:$J$5,9,FALSE),$A338&lt;=VLOOKUP(YEAR($A338),'Festive dates'!$A$2:$J$5,10,FALSE)),1,0)</f>
        <v>0</v>
      </c>
      <c r="W338" s="9">
        <f>IF($A338=VLOOKUP(YEAR($A338),'Festive dates'!$A$2:$J$5,7,FALSE),1,0)</f>
        <v>0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>
      <c r="A339" s="8">
        <v>45354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1</v>
      </c>
      <c r="Q339" s="9">
        <f>MAX(-20,MIN(10,$A339-VLOOKUP(YEAR($A339),'Festive dates'!$A$2:$J$5,8,FALSE)))</f>
        <v>-20</v>
      </c>
      <c r="R339" s="9">
        <f>IF(AND($A339&gt;VLOOKUP(YEAR($A339),'Festive dates'!$A$2:$J$5,2,FALSE),$A339&lt;VLOOKUP(YEAR($A339),'Festive dates'!$A$2:$J$5,3,FALSE)),1,0)</f>
        <v>0</v>
      </c>
      <c r="S339" s="9">
        <f>IF($A339=VLOOKUP(YEAR($A339),'Festive dates'!$A$2:$J$5,2,FALSE),1,0)</f>
        <v>0</v>
      </c>
      <c r="T339" s="9">
        <f>IF($A339=VLOOKUP(YEAR($A339),'Festive dates'!$A$2:$J$5,3,FALSE),1,0)</f>
        <v>0</v>
      </c>
      <c r="U339" s="9">
        <f>IF($A339=VLOOKUP(YEAR($A339),'Festive dates'!$A$2:$J$5,4,FALSE),1,0)</f>
        <v>0</v>
      </c>
      <c r="V339" s="9">
        <f>IF(AND($A339&gt;=VLOOKUP(YEAR($A339),'Festive dates'!$A$2:$J$5,9,FALSE),$A339&lt;=VLOOKUP(YEAR($A339),'Festive dates'!$A$2:$J$5,10,FALSE)),1,0)</f>
        <v>0</v>
      </c>
      <c r="W339" s="9">
        <f>IF($A339=VLOOKUP(YEAR($A339),'Festive dates'!$A$2:$J$5,7,FALSE),1,0)</f>
        <v>0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>
      <c r="A340" s="8">
        <v>45355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1</v>
      </c>
      <c r="Q340" s="9">
        <f>MAX(-20,MIN(10,$A340-VLOOKUP(YEAR($A340),'Festive dates'!$A$2:$J$5,8,FALSE)))</f>
        <v>-20</v>
      </c>
      <c r="R340" s="9">
        <f>IF(AND($A340&gt;VLOOKUP(YEAR($A340),'Festive dates'!$A$2:$J$5,2,FALSE),$A340&lt;VLOOKUP(YEAR($A340),'Festive dates'!$A$2:$J$5,3,FALSE)),1,0)</f>
        <v>0</v>
      </c>
      <c r="S340" s="9">
        <f>IF($A340=VLOOKUP(YEAR($A340),'Festive dates'!$A$2:$J$5,2,FALSE),1,0)</f>
        <v>0</v>
      </c>
      <c r="T340" s="9">
        <f>IF($A340=VLOOKUP(YEAR($A340),'Festive dates'!$A$2:$J$5,3,FALSE),1,0)</f>
        <v>0</v>
      </c>
      <c r="U340" s="9">
        <f>IF($A340=VLOOKUP(YEAR($A340),'Festive dates'!$A$2:$J$5,4,FALSE),1,0)</f>
        <v>0</v>
      </c>
      <c r="V340" s="9">
        <f>IF(AND($A340&gt;=VLOOKUP(YEAR($A340),'Festive dates'!$A$2:$J$5,9,FALSE),$A340&lt;=VLOOKUP(YEAR($A340),'Festive dates'!$A$2:$J$5,10,FALSE)),1,0)</f>
        <v>0</v>
      </c>
      <c r="W340" s="9">
        <f>IF($A340=VLOOKUP(YEAR($A340),'Festive dates'!$A$2:$J$5,7,FALSE),1,0)</f>
        <v>0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>
      <c r="A341" s="8">
        <v>45356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1</v>
      </c>
      <c r="Q341" s="9">
        <f>MAX(-20,MIN(10,$A341-VLOOKUP(YEAR($A341),'Festive dates'!$A$2:$J$5,8,FALSE)))</f>
        <v>-20</v>
      </c>
      <c r="R341" s="9">
        <f>IF(AND($A341&gt;VLOOKUP(YEAR($A341),'Festive dates'!$A$2:$J$5,2,FALSE),$A341&lt;VLOOKUP(YEAR($A341),'Festive dates'!$A$2:$J$5,3,FALSE)),1,0)</f>
        <v>0</v>
      </c>
      <c r="S341" s="9">
        <f>IF($A341=VLOOKUP(YEAR($A341),'Festive dates'!$A$2:$J$5,2,FALSE),1,0)</f>
        <v>0</v>
      </c>
      <c r="T341" s="9">
        <f>IF($A341=VLOOKUP(YEAR($A341),'Festive dates'!$A$2:$J$5,3,FALSE),1,0)</f>
        <v>0</v>
      </c>
      <c r="U341" s="9">
        <f>IF($A341=VLOOKUP(YEAR($A341),'Festive dates'!$A$2:$J$5,4,FALSE),1,0)</f>
        <v>0</v>
      </c>
      <c r="V341" s="9">
        <f>IF(AND($A341&gt;=VLOOKUP(YEAR($A341),'Festive dates'!$A$2:$J$5,9,FALSE),$A341&lt;=VLOOKUP(YEAR($A341),'Festive dates'!$A$2:$J$5,10,FALSE)),1,0)</f>
        <v>0</v>
      </c>
      <c r="W341" s="9">
        <f>IF($A341=VLOOKUP(YEAR($A341),'Festive dates'!$A$2:$J$5,7,FALSE),1,0)</f>
        <v>0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>
      <c r="A342" s="8">
        <v>45357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f>MAX(-20,MIN(10,$A342-VLOOKUP(YEAR($A342),'Festive dates'!$A$2:$J$5,8,FALSE)))</f>
        <v>-20</v>
      </c>
      <c r="R342" s="9">
        <f>IF(AND($A342&gt;VLOOKUP(YEAR($A342),'Festive dates'!$A$2:$J$5,2,FALSE),$A342&lt;VLOOKUP(YEAR($A342),'Festive dates'!$A$2:$J$5,3,FALSE)),1,0)</f>
        <v>0</v>
      </c>
      <c r="S342" s="9">
        <f>IF($A342=VLOOKUP(YEAR($A342),'Festive dates'!$A$2:$J$5,2,FALSE),1,0)</f>
        <v>0</v>
      </c>
      <c r="T342" s="9">
        <f>IF($A342=VLOOKUP(YEAR($A342),'Festive dates'!$A$2:$J$5,3,FALSE),1,0)</f>
        <v>0</v>
      </c>
      <c r="U342" s="9">
        <f>IF($A342=VLOOKUP(YEAR($A342),'Festive dates'!$A$2:$J$5,4,FALSE),1,0)</f>
        <v>0</v>
      </c>
      <c r="V342" s="9">
        <f>IF(AND($A342&gt;=VLOOKUP(YEAR($A342),'Festive dates'!$A$2:$J$5,9,FALSE),$A342&lt;=VLOOKUP(YEAR($A342),'Festive dates'!$A$2:$J$5,10,FALSE)),1,0)</f>
        <v>0</v>
      </c>
      <c r="W342" s="9">
        <f>IF($A342=VLOOKUP(YEAR($A342),'Festive dates'!$A$2:$J$5,7,FALSE),1,0)</f>
        <v>0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>
      <c r="A343" s="8">
        <v>45358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f>MAX(-20,MIN(10,$A343-VLOOKUP(YEAR($A343),'Festive dates'!$A$2:$J$5,8,FALSE)))</f>
        <v>-20</v>
      </c>
      <c r="R343" s="9">
        <f>IF(AND($A343&gt;VLOOKUP(YEAR($A343),'Festive dates'!$A$2:$J$5,2,FALSE),$A343&lt;VLOOKUP(YEAR($A343),'Festive dates'!$A$2:$J$5,3,FALSE)),1,0)</f>
        <v>0</v>
      </c>
      <c r="S343" s="9">
        <f>IF($A343=VLOOKUP(YEAR($A343),'Festive dates'!$A$2:$J$5,2,FALSE),1,0)</f>
        <v>0</v>
      </c>
      <c r="T343" s="9">
        <f>IF($A343=VLOOKUP(YEAR($A343),'Festive dates'!$A$2:$J$5,3,FALSE),1,0)</f>
        <v>0</v>
      </c>
      <c r="U343" s="9">
        <f>IF($A343=VLOOKUP(YEAR($A343),'Festive dates'!$A$2:$J$5,4,FALSE),1,0)</f>
        <v>0</v>
      </c>
      <c r="V343" s="9">
        <f>IF(AND($A343&gt;=VLOOKUP(YEAR($A343),'Festive dates'!$A$2:$J$5,9,FALSE),$A343&lt;=VLOOKUP(YEAR($A343),'Festive dates'!$A$2:$J$5,10,FALSE)),1,0)</f>
        <v>0</v>
      </c>
      <c r="W343" s="9">
        <f>IF($A343=VLOOKUP(YEAR($A343),'Festive dates'!$A$2:$J$5,7,FALSE),1,0)</f>
        <v>0</v>
      </c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>
      <c r="A344" s="8">
        <v>45359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f>MAX(-20,MIN(10,$A344-VLOOKUP(YEAR($A344),'Festive dates'!$A$2:$J$5,8,FALSE)))</f>
        <v>-20</v>
      </c>
      <c r="R344" s="9">
        <f>IF(AND($A344&gt;VLOOKUP(YEAR($A344),'Festive dates'!$A$2:$J$5,2,FALSE),$A344&lt;VLOOKUP(YEAR($A344),'Festive dates'!$A$2:$J$5,3,FALSE)),1,0)</f>
        <v>0</v>
      </c>
      <c r="S344" s="9">
        <f>IF($A344=VLOOKUP(YEAR($A344),'Festive dates'!$A$2:$J$5,2,FALSE),1,0)</f>
        <v>0</v>
      </c>
      <c r="T344" s="9">
        <f>IF($A344=VLOOKUP(YEAR($A344),'Festive dates'!$A$2:$J$5,3,FALSE),1,0)</f>
        <v>0</v>
      </c>
      <c r="U344" s="9">
        <f>IF($A344=VLOOKUP(YEAR($A344),'Festive dates'!$A$2:$J$5,4,FALSE),1,0)</f>
        <v>0</v>
      </c>
      <c r="V344" s="9">
        <f>IF(AND($A344&gt;=VLOOKUP(YEAR($A344),'Festive dates'!$A$2:$J$5,9,FALSE),$A344&lt;=VLOOKUP(YEAR($A344),'Festive dates'!$A$2:$J$5,10,FALSE)),1,0)</f>
        <v>0</v>
      </c>
      <c r="W344" s="9">
        <f>IF($A344=VLOOKUP(YEAR($A344),'Festive dates'!$A$2:$J$5,7,FALSE),1,0)</f>
        <v>0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>
      <c r="A345" s="8">
        <v>45360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f>MAX(-20,MIN(10,$A345-VLOOKUP(YEAR($A345),'Festive dates'!$A$2:$J$5,8,FALSE)))</f>
        <v>-20</v>
      </c>
      <c r="R345" s="9">
        <f>IF(AND($A345&gt;VLOOKUP(YEAR($A345),'Festive dates'!$A$2:$J$5,2,FALSE),$A345&lt;VLOOKUP(YEAR($A345),'Festive dates'!$A$2:$J$5,3,FALSE)),1,0)</f>
        <v>0</v>
      </c>
      <c r="S345" s="9">
        <f>IF($A345=VLOOKUP(YEAR($A345),'Festive dates'!$A$2:$J$5,2,FALSE),1,0)</f>
        <v>0</v>
      </c>
      <c r="T345" s="9">
        <f>IF($A345=VLOOKUP(YEAR($A345),'Festive dates'!$A$2:$J$5,3,FALSE),1,0)</f>
        <v>0</v>
      </c>
      <c r="U345" s="9">
        <f>IF($A345=VLOOKUP(YEAR($A345),'Festive dates'!$A$2:$J$5,4,FALSE),1,0)</f>
        <v>0</v>
      </c>
      <c r="V345" s="9">
        <f>IF(AND($A345&gt;=VLOOKUP(YEAR($A345),'Festive dates'!$A$2:$J$5,9,FALSE),$A345&lt;=VLOOKUP(YEAR($A345),'Festive dates'!$A$2:$J$5,10,FALSE)),1,0)</f>
        <v>0</v>
      </c>
      <c r="W345" s="9">
        <f>IF($A345=VLOOKUP(YEAR($A345),'Festive dates'!$A$2:$J$5,7,FALSE),1,0)</f>
        <v>0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>
      <c r="A346" s="8">
        <v>45361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f>MAX(-20,MIN(10,$A346-VLOOKUP(YEAR($A346),'Festive dates'!$A$2:$J$5,8,FALSE)))</f>
        <v>-20</v>
      </c>
      <c r="R346" s="9">
        <f>IF(AND($A346&gt;VLOOKUP(YEAR($A346),'Festive dates'!$A$2:$J$5,2,FALSE),$A346&lt;VLOOKUP(YEAR($A346),'Festive dates'!$A$2:$J$5,3,FALSE)),1,0)</f>
        <v>0</v>
      </c>
      <c r="S346" s="9">
        <f>IF($A346=VLOOKUP(YEAR($A346),'Festive dates'!$A$2:$J$5,2,FALSE),1,0)</f>
        <v>0</v>
      </c>
      <c r="T346" s="9">
        <f>IF($A346=VLOOKUP(YEAR($A346),'Festive dates'!$A$2:$J$5,3,FALSE),1,0)</f>
        <v>0</v>
      </c>
      <c r="U346" s="9">
        <f>IF($A346=VLOOKUP(YEAR($A346),'Festive dates'!$A$2:$J$5,4,FALSE),1,0)</f>
        <v>0</v>
      </c>
      <c r="V346" s="9">
        <f>IF(AND($A346&gt;=VLOOKUP(YEAR($A346),'Festive dates'!$A$2:$J$5,9,FALSE),$A346&lt;=VLOOKUP(YEAR($A346),'Festive dates'!$A$2:$J$5,10,FALSE)),1,0)</f>
        <v>0</v>
      </c>
      <c r="W346" s="9">
        <f>IF($A346=VLOOKUP(YEAR($A346),'Festive dates'!$A$2:$J$5,7,FALSE),1,0)</f>
        <v>0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>
      <c r="A347" s="8">
        <v>45362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f>MAX(-20,MIN(10,$A347-VLOOKUP(YEAR($A347),'Festive dates'!$A$2:$J$5,8,FALSE)))</f>
        <v>-20</v>
      </c>
      <c r="R347" s="9">
        <f>IF(AND($A347&gt;VLOOKUP(YEAR($A347),'Festive dates'!$A$2:$J$5,2,FALSE),$A347&lt;VLOOKUP(YEAR($A347),'Festive dates'!$A$2:$J$5,3,FALSE)),1,0)</f>
        <v>0</v>
      </c>
      <c r="S347" s="9">
        <f>IF($A347=VLOOKUP(YEAR($A347),'Festive dates'!$A$2:$J$5,2,FALSE),1,0)</f>
        <v>0</v>
      </c>
      <c r="T347" s="9">
        <f>IF($A347=VLOOKUP(YEAR($A347),'Festive dates'!$A$2:$J$5,3,FALSE),1,0)</f>
        <v>0</v>
      </c>
      <c r="U347" s="9">
        <f>IF($A347=VLOOKUP(YEAR($A347),'Festive dates'!$A$2:$J$5,4,FALSE),1,0)</f>
        <v>0</v>
      </c>
      <c r="V347" s="9">
        <f>IF(AND($A347&gt;=VLOOKUP(YEAR($A347),'Festive dates'!$A$2:$J$5,9,FALSE),$A347&lt;=VLOOKUP(YEAR($A347),'Festive dates'!$A$2:$J$5,10,FALSE)),1,0)</f>
        <v>0</v>
      </c>
      <c r="W347" s="9">
        <f>IF($A347=VLOOKUP(YEAR($A347),'Festive dates'!$A$2:$J$5,7,FALSE),1,0)</f>
        <v>0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>
      <c r="A348" s="8">
        <v>45363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f>MAX(-20,MIN(10,$A348-VLOOKUP(YEAR($A348),'Festive dates'!$A$2:$J$5,8,FALSE)))</f>
        <v>-20</v>
      </c>
      <c r="R348" s="9">
        <f>IF(AND($A348&gt;VLOOKUP(YEAR($A348),'Festive dates'!$A$2:$J$5,2,FALSE),$A348&lt;VLOOKUP(YEAR($A348),'Festive dates'!$A$2:$J$5,3,FALSE)),1,0)</f>
        <v>0</v>
      </c>
      <c r="S348" s="9">
        <f>IF($A348=VLOOKUP(YEAR($A348),'Festive dates'!$A$2:$J$5,2,FALSE),1,0)</f>
        <v>0</v>
      </c>
      <c r="T348" s="9">
        <f>IF($A348=VLOOKUP(YEAR($A348),'Festive dates'!$A$2:$J$5,3,FALSE),1,0)</f>
        <v>0</v>
      </c>
      <c r="U348" s="9">
        <f>IF($A348=VLOOKUP(YEAR($A348),'Festive dates'!$A$2:$J$5,4,FALSE),1,0)</f>
        <v>0</v>
      </c>
      <c r="V348" s="9">
        <f>IF(AND($A348&gt;=VLOOKUP(YEAR($A348),'Festive dates'!$A$2:$J$5,9,FALSE),$A348&lt;=VLOOKUP(YEAR($A348),'Festive dates'!$A$2:$J$5,10,FALSE)),1,0)</f>
        <v>0</v>
      </c>
      <c r="W348" s="9">
        <f>IF($A348=VLOOKUP(YEAR($A348),'Festive dates'!$A$2:$J$5,7,FALSE),1,0)</f>
        <v>0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>
      <c r="A349" s="8">
        <v>45364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f>MAX(-20,MIN(10,$A349-VLOOKUP(YEAR($A349),'Festive dates'!$A$2:$J$5,8,FALSE)))</f>
        <v>-20</v>
      </c>
      <c r="R349" s="9">
        <f>IF(AND($A349&gt;VLOOKUP(YEAR($A349),'Festive dates'!$A$2:$J$5,2,FALSE),$A349&lt;VLOOKUP(YEAR($A349),'Festive dates'!$A$2:$J$5,3,FALSE)),1,0)</f>
        <v>0</v>
      </c>
      <c r="S349" s="9">
        <f>IF($A349=VLOOKUP(YEAR($A349),'Festive dates'!$A$2:$J$5,2,FALSE),1,0)</f>
        <v>0</v>
      </c>
      <c r="T349" s="9">
        <f>IF($A349=VLOOKUP(YEAR($A349),'Festive dates'!$A$2:$J$5,3,FALSE),1,0)</f>
        <v>0</v>
      </c>
      <c r="U349" s="9">
        <f>IF($A349=VLOOKUP(YEAR($A349),'Festive dates'!$A$2:$J$5,4,FALSE),1,0)</f>
        <v>0</v>
      </c>
      <c r="V349" s="9">
        <f>IF(AND($A349&gt;=VLOOKUP(YEAR($A349),'Festive dates'!$A$2:$J$5,9,FALSE),$A349&lt;=VLOOKUP(YEAR($A349),'Festive dates'!$A$2:$J$5,10,FALSE)),1,0)</f>
        <v>0</v>
      </c>
      <c r="W349" s="9">
        <f>IF($A349=VLOOKUP(YEAR($A349),'Festive dates'!$A$2:$J$5,7,FALSE),1,0)</f>
        <v>0</v>
      </c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>
      <c r="A350" s="8">
        <v>45365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f>MAX(-20,MIN(10,$A350-VLOOKUP(YEAR($A350),'Festive dates'!$A$2:$J$5,8,FALSE)))</f>
        <v>-20</v>
      </c>
      <c r="R350" s="9">
        <f>IF(AND($A350&gt;VLOOKUP(YEAR($A350),'Festive dates'!$A$2:$J$5,2,FALSE),$A350&lt;VLOOKUP(YEAR($A350),'Festive dates'!$A$2:$J$5,3,FALSE)),1,0)</f>
        <v>0</v>
      </c>
      <c r="S350" s="9">
        <f>IF($A350=VLOOKUP(YEAR($A350),'Festive dates'!$A$2:$J$5,2,FALSE),1,0)</f>
        <v>0</v>
      </c>
      <c r="T350" s="9">
        <f>IF($A350=VLOOKUP(YEAR($A350),'Festive dates'!$A$2:$J$5,3,FALSE),1,0)</f>
        <v>0</v>
      </c>
      <c r="U350" s="9">
        <f>IF($A350=VLOOKUP(YEAR($A350),'Festive dates'!$A$2:$J$5,4,FALSE),1,0)</f>
        <v>0</v>
      </c>
      <c r="V350" s="9">
        <f>IF(AND($A350&gt;=VLOOKUP(YEAR($A350),'Festive dates'!$A$2:$J$5,9,FALSE),$A350&lt;=VLOOKUP(YEAR($A350),'Festive dates'!$A$2:$J$5,10,FALSE)),1,0)</f>
        <v>0</v>
      </c>
      <c r="W350" s="9">
        <f>IF($A350=VLOOKUP(YEAR($A350),'Festive dates'!$A$2:$J$5,7,FALSE),1,0)</f>
        <v>0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>
      <c r="A351" s="8">
        <v>45366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f>MAX(-20,MIN(10,$A351-VLOOKUP(YEAR($A351),'Festive dates'!$A$2:$J$5,8,FALSE)))</f>
        <v>-20</v>
      </c>
      <c r="R351" s="9">
        <f>IF(AND($A351&gt;VLOOKUP(YEAR($A351),'Festive dates'!$A$2:$J$5,2,FALSE),$A351&lt;VLOOKUP(YEAR($A351),'Festive dates'!$A$2:$J$5,3,FALSE)),1,0)</f>
        <v>0</v>
      </c>
      <c r="S351" s="9">
        <f>IF($A351=VLOOKUP(YEAR($A351),'Festive dates'!$A$2:$J$5,2,FALSE),1,0)</f>
        <v>0</v>
      </c>
      <c r="T351" s="9">
        <f>IF($A351=VLOOKUP(YEAR($A351),'Festive dates'!$A$2:$J$5,3,FALSE),1,0)</f>
        <v>0</v>
      </c>
      <c r="U351" s="9">
        <f>IF($A351=VLOOKUP(YEAR($A351),'Festive dates'!$A$2:$J$5,4,FALSE),1,0)</f>
        <v>0</v>
      </c>
      <c r="V351" s="9">
        <f>IF(AND($A351&gt;=VLOOKUP(YEAR($A351),'Festive dates'!$A$2:$J$5,9,FALSE),$A351&lt;=VLOOKUP(YEAR($A351),'Festive dates'!$A$2:$J$5,10,FALSE)),1,0)</f>
        <v>0</v>
      </c>
      <c r="W351" s="9">
        <f>IF($A351=VLOOKUP(YEAR($A351),'Festive dates'!$A$2:$J$5,7,FALSE),1,0)</f>
        <v>0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>
      <c r="A352" s="8">
        <v>45367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f>MAX(-20,MIN(10,$A352-VLOOKUP(YEAR($A352),'Festive dates'!$A$2:$J$5,8,FALSE)))</f>
        <v>-20</v>
      </c>
      <c r="R352" s="9">
        <f>IF(AND($A352&gt;VLOOKUP(YEAR($A352),'Festive dates'!$A$2:$J$5,2,FALSE),$A352&lt;VLOOKUP(YEAR($A352),'Festive dates'!$A$2:$J$5,3,FALSE)),1,0)</f>
        <v>0</v>
      </c>
      <c r="S352" s="9">
        <f>IF($A352=VLOOKUP(YEAR($A352),'Festive dates'!$A$2:$J$5,2,FALSE),1,0)</f>
        <v>0</v>
      </c>
      <c r="T352" s="9">
        <f>IF($A352=VLOOKUP(YEAR($A352),'Festive dates'!$A$2:$J$5,3,FALSE),1,0)</f>
        <v>0</v>
      </c>
      <c r="U352" s="9">
        <f>IF($A352=VLOOKUP(YEAR($A352),'Festive dates'!$A$2:$J$5,4,FALSE),1,0)</f>
        <v>0</v>
      </c>
      <c r="V352" s="9">
        <f>IF(AND($A352&gt;=VLOOKUP(YEAR($A352),'Festive dates'!$A$2:$J$5,9,FALSE),$A352&lt;=VLOOKUP(YEAR($A352),'Festive dates'!$A$2:$J$5,10,FALSE)),1,0)</f>
        <v>0</v>
      </c>
      <c r="W352" s="9">
        <f>IF($A352=VLOOKUP(YEAR($A352),'Festive dates'!$A$2:$J$5,7,FALSE),1,0)</f>
        <v>0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>
      <c r="A353" s="8">
        <v>45368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f>MAX(-20,MIN(10,$A353-VLOOKUP(YEAR($A353),'Festive dates'!$A$2:$J$5,8,FALSE)))</f>
        <v>-20</v>
      </c>
      <c r="R353" s="9">
        <f>IF(AND($A353&gt;VLOOKUP(YEAR($A353),'Festive dates'!$A$2:$J$5,2,FALSE),$A353&lt;VLOOKUP(YEAR($A353),'Festive dates'!$A$2:$J$5,3,FALSE)),1,0)</f>
        <v>0</v>
      </c>
      <c r="S353" s="9">
        <f>IF($A353=VLOOKUP(YEAR($A353),'Festive dates'!$A$2:$J$5,2,FALSE),1,0)</f>
        <v>0</v>
      </c>
      <c r="T353" s="9">
        <f>IF($A353=VLOOKUP(YEAR($A353),'Festive dates'!$A$2:$J$5,3,FALSE),1,0)</f>
        <v>0</v>
      </c>
      <c r="U353" s="9">
        <f>IF($A353=VLOOKUP(YEAR($A353),'Festive dates'!$A$2:$J$5,4,FALSE),1,0)</f>
        <v>0</v>
      </c>
      <c r="V353" s="9">
        <f>IF(AND($A353&gt;=VLOOKUP(YEAR($A353),'Festive dates'!$A$2:$J$5,9,FALSE),$A353&lt;=VLOOKUP(YEAR($A353),'Festive dates'!$A$2:$J$5,10,FALSE)),1,0)</f>
        <v>0</v>
      </c>
      <c r="W353" s="9">
        <f>IF($A353=VLOOKUP(YEAR($A353),'Festive dates'!$A$2:$J$5,7,FALSE),1,0)</f>
        <v>0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>
      <c r="A354" s="8">
        <v>45369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f>MAX(-20,MIN(10,$A354-VLOOKUP(YEAR($A354),'Festive dates'!$A$2:$J$5,8,FALSE)))</f>
        <v>-20</v>
      </c>
      <c r="R354" s="9">
        <f>IF(AND($A354&gt;VLOOKUP(YEAR($A354),'Festive dates'!$A$2:$J$5,2,FALSE),$A354&lt;VLOOKUP(YEAR($A354),'Festive dates'!$A$2:$J$5,3,FALSE)),1,0)</f>
        <v>0</v>
      </c>
      <c r="S354" s="9">
        <f>IF($A354=VLOOKUP(YEAR($A354),'Festive dates'!$A$2:$J$5,2,FALSE),1,0)</f>
        <v>0</v>
      </c>
      <c r="T354" s="9">
        <f>IF($A354=VLOOKUP(YEAR($A354),'Festive dates'!$A$2:$J$5,3,FALSE),1,0)</f>
        <v>0</v>
      </c>
      <c r="U354" s="9">
        <f>IF($A354=VLOOKUP(YEAR($A354),'Festive dates'!$A$2:$J$5,4,FALSE),1,0)</f>
        <v>0</v>
      </c>
      <c r="V354" s="9">
        <f>IF(AND($A354&gt;=VLOOKUP(YEAR($A354),'Festive dates'!$A$2:$J$5,9,FALSE),$A354&lt;=VLOOKUP(YEAR($A354),'Festive dates'!$A$2:$J$5,10,FALSE)),1,0)</f>
        <v>0</v>
      </c>
      <c r="W354" s="9">
        <f>IF($A354=VLOOKUP(YEAR($A354),'Festive dates'!$A$2:$J$5,7,FALSE),1,0)</f>
        <v>0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>
      <c r="A355" s="8">
        <v>45370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f>MAX(-20,MIN(10,$A355-VLOOKUP(YEAR($A355),'Festive dates'!$A$2:$J$5,8,FALSE)))</f>
        <v>-20</v>
      </c>
      <c r="R355" s="9">
        <f>IF(AND($A355&gt;VLOOKUP(YEAR($A355),'Festive dates'!$A$2:$J$5,2,FALSE),$A355&lt;VLOOKUP(YEAR($A355),'Festive dates'!$A$2:$J$5,3,FALSE)),1,0)</f>
        <v>0</v>
      </c>
      <c r="S355" s="9">
        <f>IF($A355=VLOOKUP(YEAR($A355),'Festive dates'!$A$2:$J$5,2,FALSE),1,0)</f>
        <v>0</v>
      </c>
      <c r="T355" s="9">
        <f>IF($A355=VLOOKUP(YEAR($A355),'Festive dates'!$A$2:$J$5,3,FALSE),1,0)</f>
        <v>0</v>
      </c>
      <c r="U355" s="9">
        <f>IF($A355=VLOOKUP(YEAR($A355),'Festive dates'!$A$2:$J$5,4,FALSE),1,0)</f>
        <v>0</v>
      </c>
      <c r="V355" s="9">
        <f>IF(AND($A355&gt;=VLOOKUP(YEAR($A355),'Festive dates'!$A$2:$J$5,9,FALSE),$A355&lt;=VLOOKUP(YEAR($A355),'Festive dates'!$A$2:$J$5,10,FALSE)),1,0)</f>
        <v>0</v>
      </c>
      <c r="W355" s="9">
        <f>IF($A355=VLOOKUP(YEAR($A355),'Festive dates'!$A$2:$J$5,7,FALSE),1,0)</f>
        <v>0</v>
      </c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>
      <c r="A356" s="8">
        <v>45371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f>MAX(-20,MIN(10,$A356-VLOOKUP(YEAR($A356),'Festive dates'!$A$2:$J$5,8,FALSE)))</f>
        <v>-20</v>
      </c>
      <c r="R356" s="9">
        <f>IF(AND($A356&gt;VLOOKUP(YEAR($A356),'Festive dates'!$A$2:$J$5,2,FALSE),$A356&lt;VLOOKUP(YEAR($A356),'Festive dates'!$A$2:$J$5,3,FALSE)),1,0)</f>
        <v>0</v>
      </c>
      <c r="S356" s="9">
        <f>IF($A356=VLOOKUP(YEAR($A356),'Festive dates'!$A$2:$J$5,2,FALSE),1,0)</f>
        <v>0</v>
      </c>
      <c r="T356" s="9">
        <f>IF($A356=VLOOKUP(YEAR($A356),'Festive dates'!$A$2:$J$5,3,FALSE),1,0)</f>
        <v>0</v>
      </c>
      <c r="U356" s="9">
        <f>IF($A356=VLOOKUP(YEAR($A356),'Festive dates'!$A$2:$J$5,4,FALSE),1,0)</f>
        <v>0</v>
      </c>
      <c r="V356" s="9">
        <f>IF(AND($A356&gt;=VLOOKUP(YEAR($A356),'Festive dates'!$A$2:$J$5,9,FALSE),$A356&lt;=VLOOKUP(YEAR($A356),'Festive dates'!$A$2:$J$5,10,FALSE)),1,0)</f>
        <v>0</v>
      </c>
      <c r="W356" s="9">
        <f>IF($A356=VLOOKUP(YEAR($A356),'Festive dates'!$A$2:$J$5,7,FALSE),1,0)</f>
        <v>0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>
      <c r="A357" s="8">
        <v>45372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f>MAX(-20,MIN(10,$A357-VLOOKUP(YEAR($A357),'Festive dates'!$A$2:$J$5,8,FALSE)))</f>
        <v>-20</v>
      </c>
      <c r="R357" s="9">
        <f>IF(AND($A357&gt;VLOOKUP(YEAR($A357),'Festive dates'!$A$2:$J$5,2,FALSE),$A357&lt;VLOOKUP(YEAR($A357),'Festive dates'!$A$2:$J$5,3,FALSE)),1,0)</f>
        <v>0</v>
      </c>
      <c r="S357" s="9">
        <f>IF($A357=VLOOKUP(YEAR($A357),'Festive dates'!$A$2:$J$5,2,FALSE),1,0)</f>
        <v>0</v>
      </c>
      <c r="T357" s="9">
        <f>IF($A357=VLOOKUP(YEAR($A357),'Festive dates'!$A$2:$J$5,3,FALSE),1,0)</f>
        <v>0</v>
      </c>
      <c r="U357" s="9">
        <f>IF($A357=VLOOKUP(YEAR($A357),'Festive dates'!$A$2:$J$5,4,FALSE),1,0)</f>
        <v>0</v>
      </c>
      <c r="V357" s="9">
        <f>IF(AND($A357&gt;=VLOOKUP(YEAR($A357),'Festive dates'!$A$2:$J$5,9,FALSE),$A357&lt;=VLOOKUP(YEAR($A357),'Festive dates'!$A$2:$J$5,10,FALSE)),1,0)</f>
        <v>0</v>
      </c>
      <c r="W357" s="9">
        <f>IF($A357=VLOOKUP(YEAR($A357),'Festive dates'!$A$2:$J$5,7,FALSE),1,0)</f>
        <v>0</v>
      </c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>
      <c r="A358" s="8">
        <v>45373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f>MAX(-20,MIN(10,$A358-VLOOKUP(YEAR($A358),'Festive dates'!$A$2:$J$5,8,FALSE)))</f>
        <v>-20</v>
      </c>
      <c r="R358" s="9">
        <f>IF(AND($A358&gt;VLOOKUP(YEAR($A358),'Festive dates'!$A$2:$J$5,2,FALSE),$A358&lt;VLOOKUP(YEAR($A358),'Festive dates'!$A$2:$J$5,3,FALSE)),1,0)</f>
        <v>0</v>
      </c>
      <c r="S358" s="9">
        <f>IF($A358=VLOOKUP(YEAR($A358),'Festive dates'!$A$2:$J$5,2,FALSE),1,0)</f>
        <v>0</v>
      </c>
      <c r="T358" s="9">
        <f>IF($A358=VLOOKUP(YEAR($A358),'Festive dates'!$A$2:$J$5,3,FALSE),1,0)</f>
        <v>0</v>
      </c>
      <c r="U358" s="9">
        <f>IF($A358=VLOOKUP(YEAR($A358),'Festive dates'!$A$2:$J$5,4,FALSE),1,0)</f>
        <v>0</v>
      </c>
      <c r="V358" s="9">
        <f>IF(AND($A358&gt;=VLOOKUP(YEAR($A358),'Festive dates'!$A$2:$J$5,9,FALSE),$A358&lt;=VLOOKUP(YEAR($A358),'Festive dates'!$A$2:$J$5,10,FALSE)),1,0)</f>
        <v>0</v>
      </c>
      <c r="W358" s="9">
        <f>IF($A358=VLOOKUP(YEAR($A358),'Festive dates'!$A$2:$J$5,7,FALSE),1,0)</f>
        <v>0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>
      <c r="A359" s="8">
        <v>45374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f>MAX(-20,MIN(10,$A359-VLOOKUP(YEAR($A359),'Festive dates'!$A$2:$J$5,8,FALSE)))</f>
        <v>-20</v>
      </c>
      <c r="R359" s="9">
        <f>IF(AND($A359&gt;VLOOKUP(YEAR($A359),'Festive dates'!$A$2:$J$5,2,FALSE),$A359&lt;VLOOKUP(YEAR($A359),'Festive dates'!$A$2:$J$5,3,FALSE)),1,0)</f>
        <v>0</v>
      </c>
      <c r="S359" s="9">
        <f>IF($A359=VLOOKUP(YEAR($A359),'Festive dates'!$A$2:$J$5,2,FALSE),1,0)</f>
        <v>0</v>
      </c>
      <c r="T359" s="9">
        <f>IF($A359=VLOOKUP(YEAR($A359),'Festive dates'!$A$2:$J$5,3,FALSE),1,0)</f>
        <v>0</v>
      </c>
      <c r="U359" s="9">
        <f>IF($A359=VLOOKUP(YEAR($A359),'Festive dates'!$A$2:$J$5,4,FALSE),1,0)</f>
        <v>0</v>
      </c>
      <c r="V359" s="9">
        <f>IF(AND($A359&gt;=VLOOKUP(YEAR($A359),'Festive dates'!$A$2:$J$5,9,FALSE),$A359&lt;=VLOOKUP(YEAR($A359),'Festive dates'!$A$2:$J$5,10,FALSE)),1,0)</f>
        <v>0</v>
      </c>
      <c r="W359" s="9">
        <f>IF($A359=VLOOKUP(YEAR($A359),'Festive dates'!$A$2:$J$5,7,FALSE),1,0)</f>
        <v>0</v>
      </c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>
      <c r="A360" s="8">
        <v>45375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f>MAX(-20,MIN(10,$A360-VLOOKUP(YEAR($A360),'Festive dates'!$A$2:$J$5,8,FALSE)))</f>
        <v>-20</v>
      </c>
      <c r="R360" s="9">
        <f>IF(AND($A360&gt;VLOOKUP(YEAR($A360),'Festive dates'!$A$2:$J$5,2,FALSE),$A360&lt;VLOOKUP(YEAR($A360),'Festive dates'!$A$2:$J$5,3,FALSE)),1,0)</f>
        <v>0</v>
      </c>
      <c r="S360" s="9">
        <f>IF($A360=VLOOKUP(YEAR($A360),'Festive dates'!$A$2:$J$5,2,FALSE),1,0)</f>
        <v>0</v>
      </c>
      <c r="T360" s="9">
        <f>IF($A360=VLOOKUP(YEAR($A360),'Festive dates'!$A$2:$J$5,3,FALSE),1,0)</f>
        <v>0</v>
      </c>
      <c r="U360" s="9">
        <f>IF($A360=VLOOKUP(YEAR($A360),'Festive dates'!$A$2:$J$5,4,FALSE),1,0)</f>
        <v>0</v>
      </c>
      <c r="V360" s="9">
        <f>IF(AND($A360&gt;=VLOOKUP(YEAR($A360),'Festive dates'!$A$2:$J$5,9,FALSE),$A360&lt;=VLOOKUP(YEAR($A360),'Festive dates'!$A$2:$J$5,10,FALSE)),1,0)</f>
        <v>0</v>
      </c>
      <c r="W360" s="9">
        <f>IF($A360=VLOOKUP(YEAR($A360),'Festive dates'!$A$2:$J$5,7,FALSE),1,0)</f>
        <v>0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>
      <c r="A361" s="8">
        <v>45376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f>MAX(-20,MIN(10,$A361-VLOOKUP(YEAR($A361),'Festive dates'!$A$2:$J$5,8,FALSE)))</f>
        <v>-20</v>
      </c>
      <c r="R361" s="9">
        <f>IF(AND($A361&gt;VLOOKUP(YEAR($A361),'Festive dates'!$A$2:$J$5,2,FALSE),$A361&lt;VLOOKUP(YEAR($A361),'Festive dates'!$A$2:$J$5,3,FALSE)),1,0)</f>
        <v>0</v>
      </c>
      <c r="S361" s="9">
        <f>IF($A361=VLOOKUP(YEAR($A361),'Festive dates'!$A$2:$J$5,2,FALSE),1,0)</f>
        <v>0</v>
      </c>
      <c r="T361" s="9">
        <f>IF($A361=VLOOKUP(YEAR($A361),'Festive dates'!$A$2:$J$5,3,FALSE),1,0)</f>
        <v>0</v>
      </c>
      <c r="U361" s="9">
        <f>IF($A361=VLOOKUP(YEAR($A361),'Festive dates'!$A$2:$J$5,4,FALSE),1,0)</f>
        <v>0</v>
      </c>
      <c r="V361" s="9">
        <f>IF(AND($A361&gt;=VLOOKUP(YEAR($A361),'Festive dates'!$A$2:$J$5,9,FALSE),$A361&lt;=VLOOKUP(YEAR($A361),'Festive dates'!$A$2:$J$5,10,FALSE)),1,0)</f>
        <v>0</v>
      </c>
      <c r="W361" s="9">
        <f>IF($A361=VLOOKUP(YEAR($A361),'Festive dates'!$A$2:$J$5,7,FALSE),1,0)</f>
        <v>0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>
      <c r="A362" s="8">
        <v>45377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f>MAX(-20,MIN(10,$A362-VLOOKUP(YEAR($A362),'Festive dates'!$A$2:$J$5,8,FALSE)))</f>
        <v>-20</v>
      </c>
      <c r="R362" s="9">
        <f>IF(AND($A362&gt;VLOOKUP(YEAR($A362),'Festive dates'!$A$2:$J$5,2,FALSE),$A362&lt;VLOOKUP(YEAR($A362),'Festive dates'!$A$2:$J$5,3,FALSE)),1,0)</f>
        <v>0</v>
      </c>
      <c r="S362" s="9">
        <f>IF($A362=VLOOKUP(YEAR($A362),'Festive dates'!$A$2:$J$5,2,FALSE),1,0)</f>
        <v>0</v>
      </c>
      <c r="T362" s="9">
        <f>IF($A362=VLOOKUP(YEAR($A362),'Festive dates'!$A$2:$J$5,3,FALSE),1,0)</f>
        <v>0</v>
      </c>
      <c r="U362" s="9">
        <f>IF($A362=VLOOKUP(YEAR($A362),'Festive dates'!$A$2:$J$5,4,FALSE),1,0)</f>
        <v>0</v>
      </c>
      <c r="V362" s="9">
        <f>IF(AND($A362&gt;=VLOOKUP(YEAR($A362),'Festive dates'!$A$2:$J$5,9,FALSE),$A362&lt;=VLOOKUP(YEAR($A362),'Festive dates'!$A$2:$J$5,10,FALSE)),1,0)</f>
        <v>0</v>
      </c>
      <c r="W362" s="9">
        <f>IF($A362=VLOOKUP(YEAR($A362),'Festive dates'!$A$2:$J$5,7,FALSE),1,0)</f>
        <v>0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>
      <c r="A363" s="8">
        <v>45378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f>MAX(-20,MIN(10,$A363-VLOOKUP(YEAR($A363),'Festive dates'!$A$2:$J$5,8,FALSE)))</f>
        <v>-20</v>
      </c>
      <c r="R363" s="9">
        <f>IF(AND($A363&gt;VLOOKUP(YEAR($A363),'Festive dates'!$A$2:$J$5,2,FALSE),$A363&lt;VLOOKUP(YEAR($A363),'Festive dates'!$A$2:$J$5,3,FALSE)),1,0)</f>
        <v>0</v>
      </c>
      <c r="S363" s="9">
        <f>IF($A363=VLOOKUP(YEAR($A363),'Festive dates'!$A$2:$J$5,2,FALSE),1,0)</f>
        <v>0</v>
      </c>
      <c r="T363" s="9">
        <f>IF($A363=VLOOKUP(YEAR($A363),'Festive dates'!$A$2:$J$5,3,FALSE),1,0)</f>
        <v>0</v>
      </c>
      <c r="U363" s="9">
        <f>IF($A363=VLOOKUP(YEAR($A363),'Festive dates'!$A$2:$J$5,4,FALSE),1,0)</f>
        <v>0</v>
      </c>
      <c r="V363" s="9">
        <f>IF(AND($A363&gt;=VLOOKUP(YEAR($A363),'Festive dates'!$A$2:$J$5,9,FALSE),$A363&lt;=VLOOKUP(YEAR($A363),'Festive dates'!$A$2:$J$5,10,FALSE)),1,0)</f>
        <v>0</v>
      </c>
      <c r="W363" s="9">
        <f>IF($A363=VLOOKUP(YEAR($A363),'Festive dates'!$A$2:$J$5,7,FALSE),1,0)</f>
        <v>0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>
      <c r="A364" s="8">
        <v>45379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f>MAX(-20,MIN(10,$A364-VLOOKUP(YEAR($A364),'Festive dates'!$A$2:$J$5,8,FALSE)))</f>
        <v>-20</v>
      </c>
      <c r="R364" s="9">
        <f>IF(AND($A364&gt;VLOOKUP(YEAR($A364),'Festive dates'!$A$2:$J$5,2,FALSE),$A364&lt;VLOOKUP(YEAR($A364),'Festive dates'!$A$2:$J$5,3,FALSE)),1,0)</f>
        <v>0</v>
      </c>
      <c r="S364" s="9">
        <f>IF($A364=VLOOKUP(YEAR($A364),'Festive dates'!$A$2:$J$5,2,FALSE),1,0)</f>
        <v>0</v>
      </c>
      <c r="T364" s="9">
        <f>IF($A364=VLOOKUP(YEAR($A364),'Festive dates'!$A$2:$J$5,3,FALSE),1,0)</f>
        <v>0</v>
      </c>
      <c r="U364" s="9">
        <f>IF($A364=VLOOKUP(YEAR($A364),'Festive dates'!$A$2:$J$5,4,FALSE),1,0)</f>
        <v>0</v>
      </c>
      <c r="V364" s="9">
        <f>IF(AND($A364&gt;=VLOOKUP(YEAR($A364),'Festive dates'!$A$2:$J$5,9,FALSE),$A364&lt;=VLOOKUP(YEAR($A364),'Festive dates'!$A$2:$J$5,10,FALSE)),1,0)</f>
        <v>0</v>
      </c>
      <c r="W364" s="9">
        <f>IF($A364=VLOOKUP(YEAR($A364),'Festive dates'!$A$2:$J$5,7,FALSE),1,0)</f>
        <v>0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>
      <c r="A365" s="8">
        <v>45380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f>MAX(-20,MIN(10,$A365-VLOOKUP(YEAR($A365),'Festive dates'!$A$2:$J$5,8,FALSE)))</f>
        <v>-20</v>
      </c>
      <c r="R365" s="9">
        <f>IF(AND($A365&gt;VLOOKUP(YEAR($A365),'Festive dates'!$A$2:$J$5,2,FALSE),$A365&lt;VLOOKUP(YEAR($A365),'Festive dates'!$A$2:$J$5,3,FALSE)),1,0)</f>
        <v>0</v>
      </c>
      <c r="S365" s="9">
        <f>IF($A365=VLOOKUP(YEAR($A365),'Festive dates'!$A$2:$J$5,2,FALSE),1,0)</f>
        <v>0</v>
      </c>
      <c r="T365" s="9">
        <f>IF($A365=VLOOKUP(YEAR($A365),'Festive dates'!$A$2:$J$5,3,FALSE),1,0)</f>
        <v>0</v>
      </c>
      <c r="U365" s="9">
        <f>IF($A365=VLOOKUP(YEAR($A365),'Festive dates'!$A$2:$J$5,4,FALSE),1,0)</f>
        <v>0</v>
      </c>
      <c r="V365" s="9">
        <f>IF(AND($A365&gt;=VLOOKUP(YEAR($A365),'Festive dates'!$A$2:$J$5,9,FALSE),$A365&lt;=VLOOKUP(YEAR($A365),'Festive dates'!$A$2:$J$5,10,FALSE)),1,0)</f>
        <v>0</v>
      </c>
      <c r="W365" s="9">
        <f>IF($A365=VLOOKUP(YEAR($A365),'Festive dates'!$A$2:$J$5,7,FALSE),1,0)</f>
        <v>0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>
      <c r="A366" s="8">
        <v>45381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f>MAX(-20,MIN(10,$A366-VLOOKUP(YEAR($A366),'Festive dates'!$A$2:$J$5,8,FALSE)))</f>
        <v>-20</v>
      </c>
      <c r="R366" s="9">
        <f>IF(AND($A366&gt;VLOOKUP(YEAR($A366),'Festive dates'!$A$2:$J$5,2,FALSE),$A366&lt;VLOOKUP(YEAR($A366),'Festive dates'!$A$2:$J$5,3,FALSE)),1,0)</f>
        <v>0</v>
      </c>
      <c r="S366" s="9">
        <f>IF($A366=VLOOKUP(YEAR($A366),'Festive dates'!$A$2:$J$5,2,FALSE),1,0)</f>
        <v>0</v>
      </c>
      <c r="T366" s="9">
        <f>IF($A366=VLOOKUP(YEAR($A366),'Festive dates'!$A$2:$J$5,3,FALSE),1,0)</f>
        <v>0</v>
      </c>
      <c r="U366" s="9">
        <f>IF($A366=VLOOKUP(YEAR($A366),'Festive dates'!$A$2:$J$5,4,FALSE),1,0)</f>
        <v>0</v>
      </c>
      <c r="V366" s="9">
        <f>IF(AND($A366&gt;=VLOOKUP(YEAR($A366),'Festive dates'!$A$2:$J$5,9,FALSE),$A366&lt;=VLOOKUP(YEAR($A366),'Festive dates'!$A$2:$J$5,10,FALSE)),1,0)</f>
        <v>0</v>
      </c>
      <c r="W366" s="9">
        <f>IF($A366=VLOOKUP(YEAR($A366),'Festive dates'!$A$2:$J$5,7,FALSE),1,0)</f>
        <v>0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>
      <c r="A367" s="8">
        <v>45382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f>MAX(-20,MIN(10,$A367-VLOOKUP(YEAR($A367),'Festive dates'!$A$2:$J$5,8,FALSE)))</f>
        <v>-20</v>
      </c>
      <c r="R367" s="9">
        <f>IF(AND($A367&gt;VLOOKUP(YEAR($A367),'Festive dates'!$A$2:$J$5,2,FALSE),$A367&lt;VLOOKUP(YEAR($A367),'Festive dates'!$A$2:$J$5,3,FALSE)),1,0)</f>
        <v>0</v>
      </c>
      <c r="S367" s="9">
        <f>IF($A367=VLOOKUP(YEAR($A367),'Festive dates'!$A$2:$J$5,2,FALSE),1,0)</f>
        <v>0</v>
      </c>
      <c r="T367" s="9">
        <f>IF($A367=VLOOKUP(YEAR($A367),'Festive dates'!$A$2:$J$5,3,FALSE),1,0)</f>
        <v>0</v>
      </c>
      <c r="U367" s="9">
        <f>IF($A367=VLOOKUP(YEAR($A367),'Festive dates'!$A$2:$J$5,4,FALSE),1,0)</f>
        <v>0</v>
      </c>
      <c r="V367" s="9">
        <f>IF(AND($A367&gt;=VLOOKUP(YEAR($A367),'Festive dates'!$A$2:$J$5,9,FALSE),$A367&lt;=VLOOKUP(YEAR($A367),'Festive dates'!$A$2:$J$5,10,FALSE)),1,0)</f>
        <v>0</v>
      </c>
      <c r="W367" s="9">
        <f>IF($A367=VLOOKUP(YEAR($A367),'Festive dates'!$A$2:$J$5,7,FALSE),1,0)</f>
        <v>0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>
      <c r="A368" s="8">
        <v>45383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f>MAX(-20,MIN(10,$A368-VLOOKUP(YEAR($A368),'Festive dates'!$A$2:$J$5,8,FALSE)))</f>
        <v>-20</v>
      </c>
      <c r="R368" s="9">
        <f>IF(AND($A368&gt;VLOOKUP(YEAR($A368),'Festive dates'!$A$2:$J$5,2,FALSE),$A368&lt;VLOOKUP(YEAR($A368),'Festive dates'!$A$2:$J$5,3,FALSE)),1,0)</f>
        <v>0</v>
      </c>
      <c r="S368" s="9">
        <f>IF($A368=VLOOKUP(YEAR($A368),'Festive dates'!$A$2:$J$5,2,FALSE),1,0)</f>
        <v>0</v>
      </c>
      <c r="T368" s="9">
        <f>IF($A368=VLOOKUP(YEAR($A368),'Festive dates'!$A$2:$J$5,3,FALSE),1,0)</f>
        <v>0</v>
      </c>
      <c r="U368" s="9">
        <f>IF($A368=VLOOKUP(YEAR($A368),'Festive dates'!$A$2:$J$5,4,FALSE),1,0)</f>
        <v>0</v>
      </c>
      <c r="V368" s="9">
        <f>IF(AND($A368&gt;=VLOOKUP(YEAR($A368),'Festive dates'!$A$2:$J$5,9,FALSE),$A368&lt;=VLOOKUP(YEAR($A368),'Festive dates'!$A$2:$J$5,10,FALSE)),1,0)</f>
        <v>0</v>
      </c>
      <c r="W368" s="9">
        <f>IF($A368=VLOOKUP(YEAR($A368),'Festive dates'!$A$2:$J$5,7,FALSE),1,0)</f>
        <v>0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>
      <c r="A369" s="8">
        <v>45384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f>MAX(-20,MIN(10,$A369-VLOOKUP(YEAR($A369),'Festive dates'!$A$2:$J$5,8,FALSE)))</f>
        <v>-20</v>
      </c>
      <c r="R369" s="9">
        <f>IF(AND($A369&gt;VLOOKUP(YEAR($A369),'Festive dates'!$A$2:$J$5,2,FALSE),$A369&lt;VLOOKUP(YEAR($A369),'Festive dates'!$A$2:$J$5,3,FALSE)),1,0)</f>
        <v>0</v>
      </c>
      <c r="S369" s="9">
        <f>IF($A369=VLOOKUP(YEAR($A369),'Festive dates'!$A$2:$J$5,2,FALSE),1,0)</f>
        <v>0</v>
      </c>
      <c r="T369" s="9">
        <f>IF($A369=VLOOKUP(YEAR($A369),'Festive dates'!$A$2:$J$5,3,FALSE),1,0)</f>
        <v>0</v>
      </c>
      <c r="U369" s="9">
        <f>IF($A369=VLOOKUP(YEAR($A369),'Festive dates'!$A$2:$J$5,4,FALSE),1,0)</f>
        <v>0</v>
      </c>
      <c r="V369" s="9">
        <f>IF(AND($A369&gt;=VLOOKUP(YEAR($A369),'Festive dates'!$A$2:$J$5,9,FALSE),$A369&lt;=VLOOKUP(YEAR($A369),'Festive dates'!$A$2:$J$5,10,FALSE)),1,0)</f>
        <v>0</v>
      </c>
      <c r="W369" s="9">
        <f>IF($A369=VLOOKUP(YEAR($A369),'Festive dates'!$A$2:$J$5,7,FALSE),1,0)</f>
        <v>0</v>
      </c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>
      <c r="A370" s="8">
        <v>45385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f>MAX(-20,MIN(10,$A370-VLOOKUP(YEAR($A370),'Festive dates'!$A$2:$J$5,8,FALSE)))</f>
        <v>-20</v>
      </c>
      <c r="R370" s="9">
        <f>IF(AND($A370&gt;VLOOKUP(YEAR($A370),'Festive dates'!$A$2:$J$5,2,FALSE),$A370&lt;VLOOKUP(YEAR($A370),'Festive dates'!$A$2:$J$5,3,FALSE)),1,0)</f>
        <v>0</v>
      </c>
      <c r="S370" s="9">
        <f>IF($A370=VLOOKUP(YEAR($A370),'Festive dates'!$A$2:$J$5,2,FALSE),1,0)</f>
        <v>0</v>
      </c>
      <c r="T370" s="9">
        <f>IF($A370=VLOOKUP(YEAR($A370),'Festive dates'!$A$2:$J$5,3,FALSE),1,0)</f>
        <v>0</v>
      </c>
      <c r="U370" s="9">
        <f>IF($A370=VLOOKUP(YEAR($A370),'Festive dates'!$A$2:$J$5,4,FALSE),1,0)</f>
        <v>0</v>
      </c>
      <c r="V370" s="9">
        <f>IF(AND($A370&gt;=VLOOKUP(YEAR($A370),'Festive dates'!$A$2:$J$5,9,FALSE),$A370&lt;=VLOOKUP(YEAR($A370),'Festive dates'!$A$2:$J$5,10,FALSE)),1,0)</f>
        <v>0</v>
      </c>
      <c r="W370" s="9">
        <f>IF($A370=VLOOKUP(YEAR($A370),'Festive dates'!$A$2:$J$5,7,FALSE),1,0)</f>
        <v>0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>
      <c r="A371" s="8">
        <v>45386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f>MAX(-20,MIN(10,$A371-VLOOKUP(YEAR($A371),'Festive dates'!$A$2:$J$5,8,FALSE)))</f>
        <v>-20</v>
      </c>
      <c r="R371" s="9">
        <f>IF(AND($A371&gt;VLOOKUP(YEAR($A371),'Festive dates'!$A$2:$J$5,2,FALSE),$A371&lt;VLOOKUP(YEAR($A371),'Festive dates'!$A$2:$J$5,3,FALSE)),1,0)</f>
        <v>0</v>
      </c>
      <c r="S371" s="9">
        <f>IF($A371=VLOOKUP(YEAR($A371),'Festive dates'!$A$2:$J$5,2,FALSE),1,0)</f>
        <v>0</v>
      </c>
      <c r="T371" s="9">
        <f>IF($A371=VLOOKUP(YEAR($A371),'Festive dates'!$A$2:$J$5,3,FALSE),1,0)</f>
        <v>0</v>
      </c>
      <c r="U371" s="9">
        <f>IF($A371=VLOOKUP(YEAR($A371),'Festive dates'!$A$2:$J$5,4,FALSE),1,0)</f>
        <v>0</v>
      </c>
      <c r="V371" s="9">
        <f>IF(AND($A371&gt;=VLOOKUP(YEAR($A371),'Festive dates'!$A$2:$J$5,9,FALSE),$A371&lt;=VLOOKUP(YEAR($A371),'Festive dates'!$A$2:$J$5,10,FALSE)),1,0)</f>
        <v>0</v>
      </c>
      <c r="W371" s="9">
        <f>IF($A371=VLOOKUP(YEAR($A371),'Festive dates'!$A$2:$J$5,7,FALSE),1,0)</f>
        <v>0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>
      <c r="A372" s="8">
        <v>45387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f>MAX(-20,MIN(10,$A372-VLOOKUP(YEAR($A372),'Festive dates'!$A$2:$J$5,8,FALSE)))</f>
        <v>-20</v>
      </c>
      <c r="R372" s="9">
        <f>IF(AND($A372&gt;VLOOKUP(YEAR($A372),'Festive dates'!$A$2:$J$5,2,FALSE),$A372&lt;VLOOKUP(YEAR($A372),'Festive dates'!$A$2:$J$5,3,FALSE)),1,0)</f>
        <v>0</v>
      </c>
      <c r="S372" s="9">
        <f>IF($A372=VLOOKUP(YEAR($A372),'Festive dates'!$A$2:$J$5,2,FALSE),1,0)</f>
        <v>0</v>
      </c>
      <c r="T372" s="9">
        <f>IF($A372=VLOOKUP(YEAR($A372),'Festive dates'!$A$2:$J$5,3,FALSE),1,0)</f>
        <v>0</v>
      </c>
      <c r="U372" s="9">
        <f>IF($A372=VLOOKUP(YEAR($A372),'Festive dates'!$A$2:$J$5,4,FALSE),1,0)</f>
        <v>0</v>
      </c>
      <c r="V372" s="9">
        <f>IF(AND($A372&gt;=VLOOKUP(YEAR($A372),'Festive dates'!$A$2:$J$5,9,FALSE),$A372&lt;=VLOOKUP(YEAR($A372),'Festive dates'!$A$2:$J$5,10,FALSE)),1,0)</f>
        <v>0</v>
      </c>
      <c r="W372" s="9">
        <f>IF($A372=VLOOKUP(YEAR($A372),'Festive dates'!$A$2:$J$5,7,FALSE),1,0)</f>
        <v>0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>
      <c r="A373" s="8">
        <v>45388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f>MAX(-20,MIN(10,$A373-VLOOKUP(YEAR($A373),'Festive dates'!$A$2:$J$5,8,FALSE)))</f>
        <v>-20</v>
      </c>
      <c r="R373" s="9">
        <f>IF(AND($A373&gt;VLOOKUP(YEAR($A373),'Festive dates'!$A$2:$J$5,2,FALSE),$A373&lt;VLOOKUP(YEAR($A373),'Festive dates'!$A$2:$J$5,3,FALSE)),1,0)</f>
        <v>0</v>
      </c>
      <c r="S373" s="9">
        <f>IF($A373=VLOOKUP(YEAR($A373),'Festive dates'!$A$2:$J$5,2,FALSE),1,0)</f>
        <v>0</v>
      </c>
      <c r="T373" s="9">
        <f>IF($A373=VLOOKUP(YEAR($A373),'Festive dates'!$A$2:$J$5,3,FALSE),1,0)</f>
        <v>0</v>
      </c>
      <c r="U373" s="9">
        <f>IF($A373=VLOOKUP(YEAR($A373),'Festive dates'!$A$2:$J$5,4,FALSE),1,0)</f>
        <v>0</v>
      </c>
      <c r="V373" s="9">
        <f>IF(AND($A373&gt;=VLOOKUP(YEAR($A373),'Festive dates'!$A$2:$J$5,9,FALSE),$A373&lt;=VLOOKUP(YEAR($A373),'Festive dates'!$A$2:$J$5,10,FALSE)),1,0)</f>
        <v>0</v>
      </c>
      <c r="W373" s="9">
        <f>IF($A373=VLOOKUP(YEAR($A373),'Festive dates'!$A$2:$J$5,7,FALSE),1,0)</f>
        <v>0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>
      <c r="A374" s="8">
        <v>45389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f>MAX(-20,MIN(10,$A374-VLOOKUP(YEAR($A374),'Festive dates'!$A$2:$J$5,8,FALSE)))</f>
        <v>-20</v>
      </c>
      <c r="R374" s="9">
        <f>IF(AND($A374&gt;VLOOKUP(YEAR($A374),'Festive dates'!$A$2:$J$5,2,FALSE),$A374&lt;VLOOKUP(YEAR($A374),'Festive dates'!$A$2:$J$5,3,FALSE)),1,0)</f>
        <v>0</v>
      </c>
      <c r="S374" s="9">
        <f>IF($A374=VLOOKUP(YEAR($A374),'Festive dates'!$A$2:$J$5,2,FALSE),1,0)</f>
        <v>0</v>
      </c>
      <c r="T374" s="9">
        <f>IF($A374=VLOOKUP(YEAR($A374),'Festive dates'!$A$2:$J$5,3,FALSE),1,0)</f>
        <v>0</v>
      </c>
      <c r="U374" s="9">
        <f>IF($A374=VLOOKUP(YEAR($A374),'Festive dates'!$A$2:$J$5,4,FALSE),1,0)</f>
        <v>0</v>
      </c>
      <c r="V374" s="9">
        <f>IF(AND($A374&gt;=VLOOKUP(YEAR($A374),'Festive dates'!$A$2:$J$5,9,FALSE),$A374&lt;=VLOOKUP(YEAR($A374),'Festive dates'!$A$2:$J$5,10,FALSE)),1,0)</f>
        <v>0</v>
      </c>
      <c r="W374" s="9">
        <f>IF($A374=VLOOKUP(YEAR($A374),'Festive dates'!$A$2:$J$5,7,FALSE),1,0)</f>
        <v>0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>
      <c r="A375" s="8">
        <v>45390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f>MAX(-20,MIN(10,$A375-VLOOKUP(YEAR($A375),'Festive dates'!$A$2:$J$5,8,FALSE)))</f>
        <v>-20</v>
      </c>
      <c r="R375" s="9">
        <f>IF(AND($A375&gt;VLOOKUP(YEAR($A375),'Festive dates'!$A$2:$J$5,2,FALSE),$A375&lt;VLOOKUP(YEAR($A375),'Festive dates'!$A$2:$J$5,3,FALSE)),1,0)</f>
        <v>0</v>
      </c>
      <c r="S375" s="9">
        <f>IF($A375=VLOOKUP(YEAR($A375),'Festive dates'!$A$2:$J$5,2,FALSE),1,0)</f>
        <v>0</v>
      </c>
      <c r="T375" s="9">
        <f>IF($A375=VLOOKUP(YEAR($A375),'Festive dates'!$A$2:$J$5,3,FALSE),1,0)</f>
        <v>0</v>
      </c>
      <c r="U375" s="9">
        <f>IF($A375=VLOOKUP(YEAR($A375),'Festive dates'!$A$2:$J$5,4,FALSE),1,0)</f>
        <v>0</v>
      </c>
      <c r="V375" s="9">
        <f>IF(AND($A375&gt;=VLOOKUP(YEAR($A375),'Festive dates'!$A$2:$J$5,9,FALSE),$A375&lt;=VLOOKUP(YEAR($A375),'Festive dates'!$A$2:$J$5,10,FALSE)),1,0)</f>
        <v>0</v>
      </c>
      <c r="W375" s="9">
        <f>IF($A375=VLOOKUP(YEAR($A375),'Festive dates'!$A$2:$J$5,7,FALSE),1,0)</f>
        <v>0</v>
      </c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>
      <c r="A376" s="8">
        <v>45391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f>MAX(-20,MIN(10,$A376-VLOOKUP(YEAR($A376),'Festive dates'!$A$2:$J$5,8,FALSE)))</f>
        <v>-20</v>
      </c>
      <c r="R376" s="9">
        <f>IF(AND($A376&gt;VLOOKUP(YEAR($A376),'Festive dates'!$A$2:$J$5,2,FALSE),$A376&lt;VLOOKUP(YEAR($A376),'Festive dates'!$A$2:$J$5,3,FALSE)),1,0)</f>
        <v>0</v>
      </c>
      <c r="S376" s="9">
        <f>IF($A376=VLOOKUP(YEAR($A376),'Festive dates'!$A$2:$J$5,2,FALSE),1,0)</f>
        <v>0</v>
      </c>
      <c r="T376" s="9">
        <f>IF($A376=VLOOKUP(YEAR($A376),'Festive dates'!$A$2:$J$5,3,FALSE),1,0)</f>
        <v>0</v>
      </c>
      <c r="U376" s="9">
        <f>IF($A376=VLOOKUP(YEAR($A376),'Festive dates'!$A$2:$J$5,4,FALSE),1,0)</f>
        <v>0</v>
      </c>
      <c r="V376" s="9">
        <f>IF(AND($A376&gt;=VLOOKUP(YEAR($A376),'Festive dates'!$A$2:$J$5,9,FALSE),$A376&lt;=VLOOKUP(YEAR($A376),'Festive dates'!$A$2:$J$5,10,FALSE)),1,0)</f>
        <v>0</v>
      </c>
      <c r="W376" s="9">
        <f>IF($A376=VLOOKUP(YEAR($A376),'Festive dates'!$A$2:$J$5,7,FALSE),1,0)</f>
        <v>0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>
      <c r="A377" s="8">
        <v>45392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f>MAX(-20,MIN(10,$A377-VLOOKUP(YEAR($A377),'Festive dates'!$A$2:$J$5,8,FALSE)))</f>
        <v>-20</v>
      </c>
      <c r="R377" s="9">
        <f>IF(AND($A377&gt;VLOOKUP(YEAR($A377),'Festive dates'!$A$2:$J$5,2,FALSE),$A377&lt;VLOOKUP(YEAR($A377),'Festive dates'!$A$2:$J$5,3,FALSE)),1,0)</f>
        <v>0</v>
      </c>
      <c r="S377" s="9">
        <f>IF($A377=VLOOKUP(YEAR($A377),'Festive dates'!$A$2:$J$5,2,FALSE),1,0)</f>
        <v>0</v>
      </c>
      <c r="T377" s="9">
        <f>IF($A377=VLOOKUP(YEAR($A377),'Festive dates'!$A$2:$J$5,3,FALSE),1,0)</f>
        <v>0</v>
      </c>
      <c r="U377" s="9">
        <f>IF($A377=VLOOKUP(YEAR($A377),'Festive dates'!$A$2:$J$5,4,FALSE),1,0)</f>
        <v>0</v>
      </c>
      <c r="V377" s="9">
        <f>IF(AND($A377&gt;=VLOOKUP(YEAR($A377),'Festive dates'!$A$2:$J$5,9,FALSE),$A377&lt;=VLOOKUP(YEAR($A377),'Festive dates'!$A$2:$J$5,10,FALSE)),1,0)</f>
        <v>0</v>
      </c>
      <c r="W377" s="9">
        <f>IF($A377=VLOOKUP(YEAR($A377),'Festive dates'!$A$2:$J$5,7,FALSE),1,0)</f>
        <v>0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>
      <c r="A378" s="8">
        <v>45393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1</v>
      </c>
      <c r="Q378" s="9">
        <f>MAX(-20,MIN(10,$A378-VLOOKUP(YEAR($A378),'Festive dates'!$A$2:$J$5,8,FALSE)))</f>
        <v>-20</v>
      </c>
      <c r="R378" s="9">
        <f>IF(AND($A378&gt;VLOOKUP(YEAR($A378),'Festive dates'!$A$2:$J$5,2,FALSE),$A378&lt;VLOOKUP(YEAR($A378),'Festive dates'!$A$2:$J$5,3,FALSE)),1,0)</f>
        <v>0</v>
      </c>
      <c r="S378" s="9">
        <f>IF($A378=VLOOKUP(YEAR($A378),'Festive dates'!$A$2:$J$5,2,FALSE),1,0)</f>
        <v>0</v>
      </c>
      <c r="T378" s="9">
        <f>IF($A378=VLOOKUP(YEAR($A378),'Festive dates'!$A$2:$J$5,3,FALSE),1,0)</f>
        <v>0</v>
      </c>
      <c r="U378" s="9">
        <f>IF($A378=VLOOKUP(YEAR($A378),'Festive dates'!$A$2:$J$5,4,FALSE),1,0)</f>
        <v>0</v>
      </c>
      <c r="V378" s="9">
        <f>IF(AND($A378&gt;=VLOOKUP(YEAR($A378),'Festive dates'!$A$2:$J$5,9,FALSE),$A378&lt;=VLOOKUP(YEAR($A378),'Festive dates'!$A$2:$J$5,10,FALSE)),1,0)</f>
        <v>0</v>
      </c>
      <c r="W378" s="9">
        <f>IF($A378=VLOOKUP(YEAR($A378),'Festive dates'!$A$2:$J$5,7,FALSE),1,0)</f>
        <v>0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>
      <c r="A379" s="8">
        <v>45394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1</v>
      </c>
      <c r="Q379" s="9">
        <f>MAX(-20,MIN(10,$A379-VLOOKUP(YEAR($A379),'Festive dates'!$A$2:$J$5,8,FALSE)))</f>
        <v>-20</v>
      </c>
      <c r="R379" s="9">
        <f>IF(AND($A379&gt;VLOOKUP(YEAR($A379),'Festive dates'!$A$2:$J$5,2,FALSE),$A379&lt;VLOOKUP(YEAR($A379),'Festive dates'!$A$2:$J$5,3,FALSE)),1,0)</f>
        <v>0</v>
      </c>
      <c r="S379" s="9">
        <f>IF($A379=VLOOKUP(YEAR($A379),'Festive dates'!$A$2:$J$5,2,FALSE),1,0)</f>
        <v>0</v>
      </c>
      <c r="T379" s="9">
        <f>IF($A379=VLOOKUP(YEAR($A379),'Festive dates'!$A$2:$J$5,3,FALSE),1,0)</f>
        <v>0</v>
      </c>
      <c r="U379" s="9">
        <f>IF($A379=VLOOKUP(YEAR($A379),'Festive dates'!$A$2:$J$5,4,FALSE),1,0)</f>
        <v>0</v>
      </c>
      <c r="V379" s="9">
        <f>IF(AND($A379&gt;=VLOOKUP(YEAR($A379),'Festive dates'!$A$2:$J$5,9,FALSE),$A379&lt;=VLOOKUP(YEAR($A379),'Festive dates'!$A$2:$J$5,10,FALSE)),1,0)</f>
        <v>0</v>
      </c>
      <c r="W379" s="9">
        <f>IF($A379=VLOOKUP(YEAR($A379),'Festive dates'!$A$2:$J$5,7,FALSE),1,0)</f>
        <v>0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>
      <c r="A380" s="8">
        <v>45395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1</v>
      </c>
      <c r="Q380" s="9">
        <f>MAX(-20,MIN(10,$A380-VLOOKUP(YEAR($A380),'Festive dates'!$A$2:$J$5,8,FALSE)))</f>
        <v>-20</v>
      </c>
      <c r="R380" s="9">
        <f>IF(AND($A380&gt;VLOOKUP(YEAR($A380),'Festive dates'!$A$2:$J$5,2,FALSE),$A380&lt;VLOOKUP(YEAR($A380),'Festive dates'!$A$2:$J$5,3,FALSE)),1,0)</f>
        <v>0</v>
      </c>
      <c r="S380" s="9">
        <f>IF($A380=VLOOKUP(YEAR($A380),'Festive dates'!$A$2:$J$5,2,FALSE),1,0)</f>
        <v>0</v>
      </c>
      <c r="T380" s="9">
        <f>IF($A380=VLOOKUP(YEAR($A380),'Festive dates'!$A$2:$J$5,3,FALSE),1,0)</f>
        <v>0</v>
      </c>
      <c r="U380" s="9">
        <f>IF($A380=VLOOKUP(YEAR($A380),'Festive dates'!$A$2:$J$5,4,FALSE),1,0)</f>
        <v>0</v>
      </c>
      <c r="V380" s="9">
        <f>IF(AND($A380&gt;=VLOOKUP(YEAR($A380),'Festive dates'!$A$2:$J$5,9,FALSE),$A380&lt;=VLOOKUP(YEAR($A380),'Festive dates'!$A$2:$J$5,10,FALSE)),1,0)</f>
        <v>0</v>
      </c>
      <c r="W380" s="9">
        <f>IF($A380=VLOOKUP(YEAR($A380),'Festive dates'!$A$2:$J$5,7,FALSE),1,0)</f>
        <v>0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>
      <c r="A381" s="8">
        <v>45396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1</v>
      </c>
      <c r="Q381" s="9">
        <f>MAX(-20,MIN(10,$A381-VLOOKUP(YEAR($A381),'Festive dates'!$A$2:$J$5,8,FALSE)))</f>
        <v>-20</v>
      </c>
      <c r="R381" s="9">
        <f>IF(AND($A381&gt;VLOOKUP(YEAR($A381),'Festive dates'!$A$2:$J$5,2,FALSE),$A381&lt;VLOOKUP(YEAR($A381),'Festive dates'!$A$2:$J$5,3,FALSE)),1,0)</f>
        <v>0</v>
      </c>
      <c r="S381" s="9">
        <f>IF($A381=VLOOKUP(YEAR($A381),'Festive dates'!$A$2:$J$5,2,FALSE),1,0)</f>
        <v>0</v>
      </c>
      <c r="T381" s="9">
        <f>IF($A381=VLOOKUP(YEAR($A381),'Festive dates'!$A$2:$J$5,3,FALSE),1,0)</f>
        <v>0</v>
      </c>
      <c r="U381" s="9">
        <f>IF($A381=VLOOKUP(YEAR($A381),'Festive dates'!$A$2:$J$5,4,FALSE),1,0)</f>
        <v>0</v>
      </c>
      <c r="V381" s="9">
        <f>IF(AND($A381&gt;=VLOOKUP(YEAR($A381),'Festive dates'!$A$2:$J$5,9,FALSE),$A381&lt;=VLOOKUP(YEAR($A381),'Festive dates'!$A$2:$J$5,10,FALSE)),1,0)</f>
        <v>0</v>
      </c>
      <c r="W381" s="9">
        <f>IF($A381=VLOOKUP(YEAR($A381),'Festive dates'!$A$2:$J$5,7,FALSE),1,0)</f>
        <v>0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>
      <c r="A382" s="8">
        <v>45397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1</v>
      </c>
      <c r="Q382" s="9">
        <f>MAX(-20,MIN(10,$A382-VLOOKUP(YEAR($A382),'Festive dates'!$A$2:$J$5,8,FALSE)))</f>
        <v>-20</v>
      </c>
      <c r="R382" s="9">
        <f>IF(AND($A382&gt;VLOOKUP(YEAR($A382),'Festive dates'!$A$2:$J$5,2,FALSE),$A382&lt;VLOOKUP(YEAR($A382),'Festive dates'!$A$2:$J$5,3,FALSE)),1,0)</f>
        <v>0</v>
      </c>
      <c r="S382" s="9">
        <f>IF($A382=VLOOKUP(YEAR($A382),'Festive dates'!$A$2:$J$5,2,FALSE),1,0)</f>
        <v>0</v>
      </c>
      <c r="T382" s="9">
        <f>IF($A382=VLOOKUP(YEAR($A382),'Festive dates'!$A$2:$J$5,3,FALSE),1,0)</f>
        <v>0</v>
      </c>
      <c r="U382" s="9">
        <f>IF($A382=VLOOKUP(YEAR($A382),'Festive dates'!$A$2:$J$5,4,FALSE),1,0)</f>
        <v>0</v>
      </c>
      <c r="V382" s="9">
        <f>IF(AND($A382&gt;=VLOOKUP(YEAR($A382),'Festive dates'!$A$2:$J$5,9,FALSE),$A382&lt;=VLOOKUP(YEAR($A382),'Festive dates'!$A$2:$J$5,10,FALSE)),1,0)</f>
        <v>0</v>
      </c>
      <c r="W382" s="9">
        <f>IF($A382=VLOOKUP(YEAR($A382),'Festive dates'!$A$2:$J$5,7,FALSE),1,0)</f>
        <v>0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>
      <c r="A383" s="8">
        <v>45398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1</v>
      </c>
      <c r="Q383" s="9">
        <f>MAX(-20,MIN(10,$A383-VLOOKUP(YEAR($A383),'Festive dates'!$A$2:$J$5,8,FALSE)))</f>
        <v>-20</v>
      </c>
      <c r="R383" s="9">
        <f>IF(AND($A383&gt;VLOOKUP(YEAR($A383),'Festive dates'!$A$2:$J$5,2,FALSE),$A383&lt;VLOOKUP(YEAR($A383),'Festive dates'!$A$2:$J$5,3,FALSE)),1,0)</f>
        <v>0</v>
      </c>
      <c r="S383" s="9">
        <f>IF($A383=VLOOKUP(YEAR($A383),'Festive dates'!$A$2:$J$5,2,FALSE),1,0)</f>
        <v>0</v>
      </c>
      <c r="T383" s="9">
        <f>IF($A383=VLOOKUP(YEAR($A383),'Festive dates'!$A$2:$J$5,3,FALSE),1,0)</f>
        <v>0</v>
      </c>
      <c r="U383" s="9">
        <f>IF($A383=VLOOKUP(YEAR($A383),'Festive dates'!$A$2:$J$5,4,FALSE),1,0)</f>
        <v>0</v>
      </c>
      <c r="V383" s="9">
        <f>IF(AND($A383&gt;=VLOOKUP(YEAR($A383),'Festive dates'!$A$2:$J$5,9,FALSE),$A383&lt;=VLOOKUP(YEAR($A383),'Festive dates'!$A$2:$J$5,10,FALSE)),1,0)</f>
        <v>0</v>
      </c>
      <c r="W383" s="9">
        <f>IF($A383=VLOOKUP(YEAR($A383),'Festive dates'!$A$2:$J$5,7,FALSE),1,0)</f>
        <v>0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>
      <c r="A384" s="8">
        <v>45399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1</v>
      </c>
      <c r="Q384" s="9">
        <f>MAX(-20,MIN(10,$A384-VLOOKUP(YEAR($A384),'Festive dates'!$A$2:$J$5,8,FALSE)))</f>
        <v>-20</v>
      </c>
      <c r="R384" s="9">
        <f>IF(AND($A384&gt;VLOOKUP(YEAR($A384),'Festive dates'!$A$2:$J$5,2,FALSE),$A384&lt;VLOOKUP(YEAR($A384),'Festive dates'!$A$2:$J$5,3,FALSE)),1,0)</f>
        <v>0</v>
      </c>
      <c r="S384" s="9">
        <f>IF($A384=VLOOKUP(YEAR($A384),'Festive dates'!$A$2:$J$5,2,FALSE),1,0)</f>
        <v>0</v>
      </c>
      <c r="T384" s="9">
        <f>IF($A384=VLOOKUP(YEAR($A384),'Festive dates'!$A$2:$J$5,3,FALSE),1,0)</f>
        <v>0</v>
      </c>
      <c r="U384" s="9">
        <f>IF($A384=VLOOKUP(YEAR($A384),'Festive dates'!$A$2:$J$5,4,FALSE),1,0)</f>
        <v>0</v>
      </c>
      <c r="V384" s="9">
        <f>IF(AND($A384&gt;=VLOOKUP(YEAR($A384),'Festive dates'!$A$2:$J$5,9,FALSE),$A384&lt;=VLOOKUP(YEAR($A384),'Festive dates'!$A$2:$J$5,10,FALSE)),1,0)</f>
        <v>0</v>
      </c>
      <c r="W384" s="9">
        <f>IF($A384=VLOOKUP(YEAR($A384),'Festive dates'!$A$2:$J$5,7,FALSE),1,0)</f>
        <v>0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>
      <c r="A385" s="8">
        <v>45400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f>MAX(-20,MIN(10,$A385-VLOOKUP(YEAR($A385),'Festive dates'!$A$2:$J$5,8,FALSE)))</f>
        <v>-20</v>
      </c>
      <c r="R385" s="9">
        <f>IF(AND($A385&gt;VLOOKUP(YEAR($A385),'Festive dates'!$A$2:$J$5,2,FALSE),$A385&lt;VLOOKUP(YEAR($A385),'Festive dates'!$A$2:$J$5,3,FALSE)),1,0)</f>
        <v>0</v>
      </c>
      <c r="S385" s="9">
        <f>IF($A385=VLOOKUP(YEAR($A385),'Festive dates'!$A$2:$J$5,2,FALSE),1,0)</f>
        <v>0</v>
      </c>
      <c r="T385" s="9">
        <f>IF($A385=VLOOKUP(YEAR($A385),'Festive dates'!$A$2:$J$5,3,FALSE),1,0)</f>
        <v>0</v>
      </c>
      <c r="U385" s="9">
        <f>IF($A385=VLOOKUP(YEAR($A385),'Festive dates'!$A$2:$J$5,4,FALSE),1,0)</f>
        <v>0</v>
      </c>
      <c r="V385" s="9">
        <f>IF(AND($A385&gt;=VLOOKUP(YEAR($A385),'Festive dates'!$A$2:$J$5,9,FALSE),$A385&lt;=VLOOKUP(YEAR($A385),'Festive dates'!$A$2:$J$5,10,FALSE)),1,0)</f>
        <v>0</v>
      </c>
      <c r="W385" s="9">
        <f>IF($A385=VLOOKUP(YEAR($A385),'Festive dates'!$A$2:$J$5,7,FALSE),1,0)</f>
        <v>0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>
      <c r="A386" s="8">
        <v>45401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f>MAX(-20,MIN(10,$A386-VLOOKUP(YEAR($A386),'Festive dates'!$A$2:$J$5,8,FALSE)))</f>
        <v>-20</v>
      </c>
      <c r="R386" s="9">
        <f>IF(AND($A386&gt;VLOOKUP(YEAR($A386),'Festive dates'!$A$2:$J$5,2,FALSE),$A386&lt;VLOOKUP(YEAR($A386),'Festive dates'!$A$2:$J$5,3,FALSE)),1,0)</f>
        <v>0</v>
      </c>
      <c r="S386" s="9">
        <f>IF($A386=VLOOKUP(YEAR($A386),'Festive dates'!$A$2:$J$5,2,FALSE),1,0)</f>
        <v>0</v>
      </c>
      <c r="T386" s="9">
        <f>IF($A386=VLOOKUP(YEAR($A386),'Festive dates'!$A$2:$J$5,3,FALSE),1,0)</f>
        <v>0</v>
      </c>
      <c r="U386" s="9">
        <f>IF($A386=VLOOKUP(YEAR($A386),'Festive dates'!$A$2:$J$5,4,FALSE),1,0)</f>
        <v>0</v>
      </c>
      <c r="V386" s="9">
        <f>IF(AND($A386&gt;=VLOOKUP(YEAR($A386),'Festive dates'!$A$2:$J$5,9,FALSE),$A386&lt;=VLOOKUP(YEAR($A386),'Festive dates'!$A$2:$J$5,10,FALSE)),1,0)</f>
        <v>0</v>
      </c>
      <c r="W386" s="9">
        <f>IF($A386=VLOOKUP(YEAR($A386),'Festive dates'!$A$2:$J$5,7,FALSE),1,0)</f>
        <v>0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>
      <c r="A387" s="8">
        <v>45402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f>MAX(-20,MIN(10,$A387-VLOOKUP(YEAR($A387),'Festive dates'!$A$2:$J$5,8,FALSE)))</f>
        <v>-20</v>
      </c>
      <c r="R387" s="9">
        <f>IF(AND($A387&gt;VLOOKUP(YEAR($A387),'Festive dates'!$A$2:$J$5,2,FALSE),$A387&lt;VLOOKUP(YEAR($A387),'Festive dates'!$A$2:$J$5,3,FALSE)),1,0)</f>
        <v>0</v>
      </c>
      <c r="S387" s="9">
        <f>IF($A387=VLOOKUP(YEAR($A387),'Festive dates'!$A$2:$J$5,2,FALSE),1,0)</f>
        <v>0</v>
      </c>
      <c r="T387" s="9">
        <f>IF($A387=VLOOKUP(YEAR($A387),'Festive dates'!$A$2:$J$5,3,FALSE),1,0)</f>
        <v>0</v>
      </c>
      <c r="U387" s="9">
        <f>IF($A387=VLOOKUP(YEAR($A387),'Festive dates'!$A$2:$J$5,4,FALSE),1,0)</f>
        <v>0</v>
      </c>
      <c r="V387" s="9">
        <f>IF(AND($A387&gt;=VLOOKUP(YEAR($A387),'Festive dates'!$A$2:$J$5,9,FALSE),$A387&lt;=VLOOKUP(YEAR($A387),'Festive dates'!$A$2:$J$5,10,FALSE)),1,0)</f>
        <v>0</v>
      </c>
      <c r="W387" s="9">
        <f>IF($A387=VLOOKUP(YEAR($A387),'Festive dates'!$A$2:$J$5,7,FALSE),1,0)</f>
        <v>0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>
      <c r="A388" s="8">
        <v>45403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f>MAX(-20,MIN(10,$A388-VLOOKUP(YEAR($A388),'Festive dates'!$A$2:$J$5,8,FALSE)))</f>
        <v>-20</v>
      </c>
      <c r="R388" s="9">
        <f>IF(AND($A388&gt;VLOOKUP(YEAR($A388),'Festive dates'!$A$2:$J$5,2,FALSE),$A388&lt;VLOOKUP(YEAR($A388),'Festive dates'!$A$2:$J$5,3,FALSE)),1,0)</f>
        <v>0</v>
      </c>
      <c r="S388" s="9">
        <f>IF($A388=VLOOKUP(YEAR($A388),'Festive dates'!$A$2:$J$5,2,FALSE),1,0)</f>
        <v>0</v>
      </c>
      <c r="T388" s="9">
        <f>IF($A388=VLOOKUP(YEAR($A388),'Festive dates'!$A$2:$J$5,3,FALSE),1,0)</f>
        <v>0</v>
      </c>
      <c r="U388" s="9">
        <f>IF($A388=VLOOKUP(YEAR($A388),'Festive dates'!$A$2:$J$5,4,FALSE),1,0)</f>
        <v>0</v>
      </c>
      <c r="V388" s="9">
        <f>IF(AND($A388&gt;=VLOOKUP(YEAR($A388),'Festive dates'!$A$2:$J$5,9,FALSE),$A388&lt;=VLOOKUP(YEAR($A388),'Festive dates'!$A$2:$J$5,10,FALSE)),1,0)</f>
        <v>0</v>
      </c>
      <c r="W388" s="9">
        <f>IF($A388=VLOOKUP(YEAR($A388),'Festive dates'!$A$2:$J$5,7,FALSE),1,0)</f>
        <v>0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>
      <c r="A389" s="8">
        <v>45404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f>MAX(-20,MIN(10,$A389-VLOOKUP(YEAR($A389),'Festive dates'!$A$2:$J$5,8,FALSE)))</f>
        <v>-20</v>
      </c>
      <c r="R389" s="9">
        <f>IF(AND($A389&gt;VLOOKUP(YEAR($A389),'Festive dates'!$A$2:$J$5,2,FALSE),$A389&lt;VLOOKUP(YEAR($A389),'Festive dates'!$A$2:$J$5,3,FALSE)),1,0)</f>
        <v>0</v>
      </c>
      <c r="S389" s="9">
        <f>IF($A389=VLOOKUP(YEAR($A389),'Festive dates'!$A$2:$J$5,2,FALSE),1,0)</f>
        <v>0</v>
      </c>
      <c r="T389" s="9">
        <f>IF($A389=VLOOKUP(YEAR($A389),'Festive dates'!$A$2:$J$5,3,FALSE),1,0)</f>
        <v>0</v>
      </c>
      <c r="U389" s="9">
        <f>IF($A389=VLOOKUP(YEAR($A389),'Festive dates'!$A$2:$J$5,4,FALSE),1,0)</f>
        <v>0</v>
      </c>
      <c r="V389" s="9">
        <f>IF(AND($A389&gt;=VLOOKUP(YEAR($A389),'Festive dates'!$A$2:$J$5,9,FALSE),$A389&lt;=VLOOKUP(YEAR($A389),'Festive dates'!$A$2:$J$5,10,FALSE)),1,0)</f>
        <v>0</v>
      </c>
      <c r="W389" s="9">
        <f>IF($A389=VLOOKUP(YEAR($A389),'Festive dates'!$A$2:$J$5,7,FALSE),1,0)</f>
        <v>0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>
      <c r="A390" s="8">
        <v>45405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1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f>MAX(-20,MIN(10,$A390-VLOOKUP(YEAR($A390),'Festive dates'!$A$2:$J$5,8,FALSE)))</f>
        <v>-20</v>
      </c>
      <c r="R390" s="9">
        <f>IF(AND($A390&gt;VLOOKUP(YEAR($A390),'Festive dates'!$A$2:$J$5,2,FALSE),$A390&lt;VLOOKUP(YEAR($A390),'Festive dates'!$A$2:$J$5,3,FALSE)),1,0)</f>
        <v>0</v>
      </c>
      <c r="S390" s="9">
        <f>IF($A390=VLOOKUP(YEAR($A390),'Festive dates'!$A$2:$J$5,2,FALSE),1,0)</f>
        <v>0</v>
      </c>
      <c r="T390" s="9">
        <f>IF($A390=VLOOKUP(YEAR($A390),'Festive dates'!$A$2:$J$5,3,FALSE),1,0)</f>
        <v>0</v>
      </c>
      <c r="U390" s="9">
        <f>IF($A390=VLOOKUP(YEAR($A390),'Festive dates'!$A$2:$J$5,4,FALSE),1,0)</f>
        <v>0</v>
      </c>
      <c r="V390" s="9">
        <f>IF(AND($A390&gt;=VLOOKUP(YEAR($A390),'Festive dates'!$A$2:$J$5,9,FALSE),$A390&lt;=VLOOKUP(YEAR($A390),'Festive dates'!$A$2:$J$5,10,FALSE)),1,0)</f>
        <v>0</v>
      </c>
      <c r="W390" s="9">
        <f>IF($A390=VLOOKUP(YEAR($A390),'Festive dates'!$A$2:$J$5,7,FALSE),1,0)</f>
        <v>0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>
      <c r="A391" s="8">
        <v>45406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f>MAX(-20,MIN(10,$A391-VLOOKUP(YEAR($A391),'Festive dates'!$A$2:$J$5,8,FALSE)))</f>
        <v>-20</v>
      </c>
      <c r="R391" s="9">
        <f>IF(AND($A391&gt;VLOOKUP(YEAR($A391),'Festive dates'!$A$2:$J$5,2,FALSE),$A391&lt;VLOOKUP(YEAR($A391),'Festive dates'!$A$2:$J$5,3,FALSE)),1,0)</f>
        <v>0</v>
      </c>
      <c r="S391" s="9">
        <f>IF($A391=VLOOKUP(YEAR($A391),'Festive dates'!$A$2:$J$5,2,FALSE),1,0)</f>
        <v>0</v>
      </c>
      <c r="T391" s="9">
        <f>IF($A391=VLOOKUP(YEAR($A391),'Festive dates'!$A$2:$J$5,3,FALSE),1,0)</f>
        <v>0</v>
      </c>
      <c r="U391" s="9">
        <f>IF($A391=VLOOKUP(YEAR($A391),'Festive dates'!$A$2:$J$5,4,FALSE),1,0)</f>
        <v>0</v>
      </c>
      <c r="V391" s="9">
        <f>IF(AND($A391&gt;=VLOOKUP(YEAR($A391),'Festive dates'!$A$2:$J$5,9,FALSE),$A391&lt;=VLOOKUP(YEAR($A391),'Festive dates'!$A$2:$J$5,10,FALSE)),1,0)</f>
        <v>0</v>
      </c>
      <c r="W391" s="9">
        <f>IF($A391=VLOOKUP(YEAR($A391),'Festive dates'!$A$2:$J$5,7,FALSE),1,0)</f>
        <v>0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>
      <c r="A392" s="8">
        <v>45407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f>MAX(-20,MIN(10,$A392-VLOOKUP(YEAR($A392),'Festive dates'!$A$2:$J$5,8,FALSE)))</f>
        <v>-20</v>
      </c>
      <c r="R392" s="9">
        <f>IF(AND($A392&gt;VLOOKUP(YEAR($A392),'Festive dates'!$A$2:$J$5,2,FALSE),$A392&lt;VLOOKUP(YEAR($A392),'Festive dates'!$A$2:$J$5,3,FALSE)),1,0)</f>
        <v>0</v>
      </c>
      <c r="S392" s="9">
        <f>IF($A392=VLOOKUP(YEAR($A392),'Festive dates'!$A$2:$J$5,2,FALSE),1,0)</f>
        <v>0</v>
      </c>
      <c r="T392" s="9">
        <f>IF($A392=VLOOKUP(YEAR($A392),'Festive dates'!$A$2:$J$5,3,FALSE),1,0)</f>
        <v>0</v>
      </c>
      <c r="U392" s="9">
        <f>IF($A392=VLOOKUP(YEAR($A392),'Festive dates'!$A$2:$J$5,4,FALSE),1,0)</f>
        <v>0</v>
      </c>
      <c r="V392" s="9">
        <f>IF(AND($A392&gt;=VLOOKUP(YEAR($A392),'Festive dates'!$A$2:$J$5,9,FALSE),$A392&lt;=VLOOKUP(YEAR($A392),'Festive dates'!$A$2:$J$5,10,FALSE)),1,0)</f>
        <v>0</v>
      </c>
      <c r="W392" s="9">
        <f>IF($A392=VLOOKUP(YEAR($A392),'Festive dates'!$A$2:$J$5,7,FALSE),1,0)</f>
        <v>0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>
      <c r="A393" s="8">
        <v>45408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f>MAX(-20,MIN(10,$A393-VLOOKUP(YEAR($A393),'Festive dates'!$A$2:$J$5,8,FALSE)))</f>
        <v>-20</v>
      </c>
      <c r="R393" s="9">
        <f>IF(AND($A393&gt;VLOOKUP(YEAR($A393),'Festive dates'!$A$2:$J$5,2,FALSE),$A393&lt;VLOOKUP(YEAR($A393),'Festive dates'!$A$2:$J$5,3,FALSE)),1,0)</f>
        <v>0</v>
      </c>
      <c r="S393" s="9">
        <f>IF($A393=VLOOKUP(YEAR($A393),'Festive dates'!$A$2:$J$5,2,FALSE),1,0)</f>
        <v>0</v>
      </c>
      <c r="T393" s="9">
        <f>IF($A393=VLOOKUP(YEAR($A393),'Festive dates'!$A$2:$J$5,3,FALSE),1,0)</f>
        <v>0</v>
      </c>
      <c r="U393" s="9">
        <f>IF($A393=VLOOKUP(YEAR($A393),'Festive dates'!$A$2:$J$5,4,FALSE),1,0)</f>
        <v>0</v>
      </c>
      <c r="V393" s="9">
        <f>IF(AND($A393&gt;=VLOOKUP(YEAR($A393),'Festive dates'!$A$2:$J$5,9,FALSE),$A393&lt;=VLOOKUP(YEAR($A393),'Festive dates'!$A$2:$J$5,10,FALSE)),1,0)</f>
        <v>0</v>
      </c>
      <c r="W393" s="9">
        <f>IF($A393=VLOOKUP(YEAR($A393),'Festive dates'!$A$2:$J$5,7,FALSE),1,0)</f>
        <v>0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>
      <c r="A394" s="8">
        <v>45409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f>MAX(-20,MIN(10,$A394-VLOOKUP(YEAR($A394),'Festive dates'!$A$2:$J$5,8,FALSE)))</f>
        <v>-20</v>
      </c>
      <c r="R394" s="9">
        <f>IF(AND($A394&gt;VLOOKUP(YEAR($A394),'Festive dates'!$A$2:$J$5,2,FALSE),$A394&lt;VLOOKUP(YEAR($A394),'Festive dates'!$A$2:$J$5,3,FALSE)),1,0)</f>
        <v>0</v>
      </c>
      <c r="S394" s="9">
        <f>IF($A394=VLOOKUP(YEAR($A394),'Festive dates'!$A$2:$J$5,2,FALSE),1,0)</f>
        <v>0</v>
      </c>
      <c r="T394" s="9">
        <f>IF($A394=VLOOKUP(YEAR($A394),'Festive dates'!$A$2:$J$5,3,FALSE),1,0)</f>
        <v>0</v>
      </c>
      <c r="U394" s="9">
        <f>IF($A394=VLOOKUP(YEAR($A394),'Festive dates'!$A$2:$J$5,4,FALSE),1,0)</f>
        <v>0</v>
      </c>
      <c r="V394" s="9">
        <f>IF(AND($A394&gt;=VLOOKUP(YEAR($A394),'Festive dates'!$A$2:$J$5,9,FALSE),$A394&lt;=VLOOKUP(YEAR($A394),'Festive dates'!$A$2:$J$5,10,FALSE)),1,0)</f>
        <v>0</v>
      </c>
      <c r="W394" s="9">
        <f>IF($A394=VLOOKUP(YEAR($A394),'Festive dates'!$A$2:$J$5,7,FALSE),1,0)</f>
        <v>0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>
      <c r="A395" s="8">
        <v>45410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f>MAX(-20,MIN(10,$A395-VLOOKUP(YEAR($A395),'Festive dates'!$A$2:$J$5,8,FALSE)))</f>
        <v>-20</v>
      </c>
      <c r="R395" s="9">
        <f>IF(AND($A395&gt;VLOOKUP(YEAR($A395),'Festive dates'!$A$2:$J$5,2,FALSE),$A395&lt;VLOOKUP(YEAR($A395),'Festive dates'!$A$2:$J$5,3,FALSE)),1,0)</f>
        <v>0</v>
      </c>
      <c r="S395" s="9">
        <f>IF($A395=VLOOKUP(YEAR($A395),'Festive dates'!$A$2:$J$5,2,FALSE),1,0)</f>
        <v>0</v>
      </c>
      <c r="T395" s="9">
        <f>IF($A395=VLOOKUP(YEAR($A395),'Festive dates'!$A$2:$J$5,3,FALSE),1,0)</f>
        <v>0</v>
      </c>
      <c r="U395" s="9">
        <f>IF($A395=VLOOKUP(YEAR($A395),'Festive dates'!$A$2:$J$5,4,FALSE),1,0)</f>
        <v>0</v>
      </c>
      <c r="V395" s="9">
        <f>IF(AND($A395&gt;=VLOOKUP(YEAR($A395),'Festive dates'!$A$2:$J$5,9,FALSE),$A395&lt;=VLOOKUP(YEAR($A395),'Festive dates'!$A$2:$J$5,10,FALSE)),1,0)</f>
        <v>0</v>
      </c>
      <c r="W395" s="9">
        <f>IF($A395=VLOOKUP(YEAR($A395),'Festive dates'!$A$2:$J$5,7,FALSE),1,0)</f>
        <v>0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>
      <c r="A396" s="8">
        <v>45411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f>MAX(-20,MIN(10,$A396-VLOOKUP(YEAR($A396),'Festive dates'!$A$2:$J$5,8,FALSE)))</f>
        <v>-20</v>
      </c>
      <c r="R396" s="9">
        <f>IF(AND($A396&gt;VLOOKUP(YEAR($A396),'Festive dates'!$A$2:$J$5,2,FALSE),$A396&lt;VLOOKUP(YEAR($A396),'Festive dates'!$A$2:$J$5,3,FALSE)),1,0)</f>
        <v>0</v>
      </c>
      <c r="S396" s="9">
        <f>IF($A396=VLOOKUP(YEAR($A396),'Festive dates'!$A$2:$J$5,2,FALSE),1,0)</f>
        <v>0</v>
      </c>
      <c r="T396" s="9">
        <f>IF($A396=VLOOKUP(YEAR($A396),'Festive dates'!$A$2:$J$5,3,FALSE),1,0)</f>
        <v>0</v>
      </c>
      <c r="U396" s="9">
        <f>IF($A396=VLOOKUP(YEAR($A396),'Festive dates'!$A$2:$J$5,4,FALSE),1,0)</f>
        <v>0</v>
      </c>
      <c r="V396" s="9">
        <f>IF(AND($A396&gt;=VLOOKUP(YEAR($A396),'Festive dates'!$A$2:$J$5,9,FALSE),$A396&lt;=VLOOKUP(YEAR($A396),'Festive dates'!$A$2:$J$5,10,FALSE)),1,0)</f>
        <v>0</v>
      </c>
      <c r="W396" s="9">
        <f>IF($A396=VLOOKUP(YEAR($A396),'Festive dates'!$A$2:$J$5,7,FALSE),1,0)</f>
        <v>0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>
      <c r="A397" s="8">
        <v>45412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f>MAX(-20,MIN(10,$A397-VLOOKUP(YEAR($A397),'Festive dates'!$A$2:$J$5,8,FALSE)))</f>
        <v>-20</v>
      </c>
      <c r="R397" s="9">
        <f>IF(AND($A397&gt;VLOOKUP(YEAR($A397),'Festive dates'!$A$2:$J$5,2,FALSE),$A397&lt;VLOOKUP(YEAR($A397),'Festive dates'!$A$2:$J$5,3,FALSE)),1,0)</f>
        <v>0</v>
      </c>
      <c r="S397" s="9">
        <f>IF($A397=VLOOKUP(YEAR($A397),'Festive dates'!$A$2:$J$5,2,FALSE),1,0)</f>
        <v>0</v>
      </c>
      <c r="T397" s="9">
        <f>IF($A397=VLOOKUP(YEAR($A397),'Festive dates'!$A$2:$J$5,3,FALSE),1,0)</f>
        <v>0</v>
      </c>
      <c r="U397" s="9">
        <f>IF($A397=VLOOKUP(YEAR($A397),'Festive dates'!$A$2:$J$5,4,FALSE),1,0)</f>
        <v>0</v>
      </c>
      <c r="V397" s="9">
        <f>IF(AND($A397&gt;=VLOOKUP(YEAR($A397),'Festive dates'!$A$2:$J$5,9,FALSE),$A397&lt;=VLOOKUP(YEAR($A397),'Festive dates'!$A$2:$J$5,10,FALSE)),1,0)</f>
        <v>0</v>
      </c>
      <c r="W397" s="9">
        <f>IF($A397=VLOOKUP(YEAR($A397),'Festive dates'!$A$2:$J$5,7,FALSE),1,0)</f>
        <v>0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>
      <c r="A398" s="8">
        <v>45413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f>MAX(-20,MIN(10,$A398-VLOOKUP(YEAR($A398),'Festive dates'!$A$2:$J$5,8,FALSE)))</f>
        <v>-20</v>
      </c>
      <c r="R398" s="9">
        <f>IF(AND($A398&gt;VLOOKUP(YEAR($A398),'Festive dates'!$A$2:$J$5,2,FALSE),$A398&lt;VLOOKUP(YEAR($A398),'Festive dates'!$A$2:$J$5,3,FALSE)),1,0)</f>
        <v>0</v>
      </c>
      <c r="S398" s="9">
        <f>IF($A398=VLOOKUP(YEAR($A398),'Festive dates'!$A$2:$J$5,2,FALSE),1,0)</f>
        <v>0</v>
      </c>
      <c r="T398" s="9">
        <f>IF($A398=VLOOKUP(YEAR($A398),'Festive dates'!$A$2:$J$5,3,FALSE),1,0)</f>
        <v>0</v>
      </c>
      <c r="U398" s="9">
        <f>IF($A398=VLOOKUP(YEAR($A398),'Festive dates'!$A$2:$J$5,4,FALSE),1,0)</f>
        <v>0</v>
      </c>
      <c r="V398" s="9">
        <f>IF(AND($A398&gt;=VLOOKUP(YEAR($A398),'Festive dates'!$A$2:$J$5,9,FALSE),$A398&lt;=VLOOKUP(YEAR($A398),'Festive dates'!$A$2:$J$5,10,FALSE)),1,0)</f>
        <v>0</v>
      </c>
      <c r="W398" s="9">
        <f>IF($A398=VLOOKUP(YEAR($A398),'Festive dates'!$A$2:$J$5,7,FALSE),1,0)</f>
        <v>0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>
      <c r="A399" s="8">
        <v>45414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f>MAX(-20,MIN(10,$A399-VLOOKUP(YEAR($A399),'Festive dates'!$A$2:$J$5,8,FALSE)))</f>
        <v>-20</v>
      </c>
      <c r="R399" s="9">
        <f>IF(AND($A399&gt;VLOOKUP(YEAR($A399),'Festive dates'!$A$2:$J$5,2,FALSE),$A399&lt;VLOOKUP(YEAR($A399),'Festive dates'!$A$2:$J$5,3,FALSE)),1,0)</f>
        <v>0</v>
      </c>
      <c r="S399" s="9">
        <f>IF($A399=VLOOKUP(YEAR($A399),'Festive dates'!$A$2:$J$5,2,FALSE),1,0)</f>
        <v>0</v>
      </c>
      <c r="T399" s="9">
        <f>IF($A399=VLOOKUP(YEAR($A399),'Festive dates'!$A$2:$J$5,3,FALSE),1,0)</f>
        <v>0</v>
      </c>
      <c r="U399" s="9">
        <f>IF($A399=VLOOKUP(YEAR($A399),'Festive dates'!$A$2:$J$5,4,FALSE),1,0)</f>
        <v>0</v>
      </c>
      <c r="V399" s="9">
        <f>IF(AND($A399&gt;=VLOOKUP(YEAR($A399),'Festive dates'!$A$2:$J$5,9,FALSE),$A399&lt;=VLOOKUP(YEAR($A399),'Festive dates'!$A$2:$J$5,10,FALSE)),1,0)</f>
        <v>0</v>
      </c>
      <c r="W399" s="9">
        <f>IF($A399=VLOOKUP(YEAR($A399),'Festive dates'!$A$2:$J$5,7,FALSE),1,0)</f>
        <v>0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>
      <c r="A400" s="8">
        <v>45415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f>MAX(-20,MIN(10,$A400-VLOOKUP(YEAR($A400),'Festive dates'!$A$2:$J$5,8,FALSE)))</f>
        <v>-20</v>
      </c>
      <c r="R400" s="9">
        <f>IF(AND($A400&gt;VLOOKUP(YEAR($A400),'Festive dates'!$A$2:$J$5,2,FALSE),$A400&lt;VLOOKUP(YEAR($A400),'Festive dates'!$A$2:$J$5,3,FALSE)),1,0)</f>
        <v>0</v>
      </c>
      <c r="S400" s="9">
        <f>IF($A400=VLOOKUP(YEAR($A400),'Festive dates'!$A$2:$J$5,2,FALSE),1,0)</f>
        <v>0</v>
      </c>
      <c r="T400" s="9">
        <f>IF($A400=VLOOKUP(YEAR($A400),'Festive dates'!$A$2:$J$5,3,FALSE),1,0)</f>
        <v>0</v>
      </c>
      <c r="U400" s="9">
        <f>IF($A400=VLOOKUP(YEAR($A400),'Festive dates'!$A$2:$J$5,4,FALSE),1,0)</f>
        <v>0</v>
      </c>
      <c r="V400" s="9">
        <f>IF(AND($A400&gt;=VLOOKUP(YEAR($A400),'Festive dates'!$A$2:$J$5,9,FALSE),$A400&lt;=VLOOKUP(YEAR($A400),'Festive dates'!$A$2:$J$5,10,FALSE)),1,0)</f>
        <v>0</v>
      </c>
      <c r="W400" s="9">
        <f>IF($A400=VLOOKUP(YEAR($A400),'Festive dates'!$A$2:$J$5,7,FALSE),1,0)</f>
        <v>0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>
      <c r="A401" s="8">
        <v>45416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f>MAX(-20,MIN(10,$A401-VLOOKUP(YEAR($A401),'Festive dates'!$A$2:$J$5,8,FALSE)))</f>
        <v>-20</v>
      </c>
      <c r="R401" s="9">
        <f>IF(AND($A401&gt;VLOOKUP(YEAR($A401),'Festive dates'!$A$2:$J$5,2,FALSE),$A401&lt;VLOOKUP(YEAR($A401),'Festive dates'!$A$2:$J$5,3,FALSE)),1,0)</f>
        <v>0</v>
      </c>
      <c r="S401" s="9">
        <f>IF($A401=VLOOKUP(YEAR($A401),'Festive dates'!$A$2:$J$5,2,FALSE),1,0)</f>
        <v>0</v>
      </c>
      <c r="T401" s="9">
        <f>IF($A401=VLOOKUP(YEAR($A401),'Festive dates'!$A$2:$J$5,3,FALSE),1,0)</f>
        <v>0</v>
      </c>
      <c r="U401" s="9">
        <f>IF($A401=VLOOKUP(YEAR($A401),'Festive dates'!$A$2:$J$5,4,FALSE),1,0)</f>
        <v>0</v>
      </c>
      <c r="V401" s="9">
        <f>IF(AND($A401&gt;=VLOOKUP(YEAR($A401),'Festive dates'!$A$2:$J$5,9,FALSE),$A401&lt;=VLOOKUP(YEAR($A401),'Festive dates'!$A$2:$J$5,10,FALSE)),1,0)</f>
        <v>0</v>
      </c>
      <c r="W401" s="9">
        <f>IF($A401=VLOOKUP(YEAR($A401),'Festive dates'!$A$2:$J$5,7,FALSE),1,0)</f>
        <v>0</v>
      </c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>
      <c r="A402" s="8">
        <v>45417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f>MAX(-20,MIN(10,$A402-VLOOKUP(YEAR($A402),'Festive dates'!$A$2:$J$5,8,FALSE)))</f>
        <v>-20</v>
      </c>
      <c r="R402" s="9">
        <f>IF(AND($A402&gt;VLOOKUP(YEAR($A402),'Festive dates'!$A$2:$J$5,2,FALSE),$A402&lt;VLOOKUP(YEAR($A402),'Festive dates'!$A$2:$J$5,3,FALSE)),1,0)</f>
        <v>0</v>
      </c>
      <c r="S402" s="9">
        <f>IF($A402=VLOOKUP(YEAR($A402),'Festive dates'!$A$2:$J$5,2,FALSE),1,0)</f>
        <v>0</v>
      </c>
      <c r="T402" s="9">
        <f>IF($A402=VLOOKUP(YEAR($A402),'Festive dates'!$A$2:$J$5,3,FALSE),1,0)</f>
        <v>0</v>
      </c>
      <c r="U402" s="9">
        <f>IF($A402=VLOOKUP(YEAR($A402),'Festive dates'!$A$2:$J$5,4,FALSE),1,0)</f>
        <v>0</v>
      </c>
      <c r="V402" s="9">
        <f>IF(AND($A402&gt;=VLOOKUP(YEAR($A402),'Festive dates'!$A$2:$J$5,9,FALSE),$A402&lt;=VLOOKUP(YEAR($A402),'Festive dates'!$A$2:$J$5,10,FALSE)),1,0)</f>
        <v>0</v>
      </c>
      <c r="W402" s="9">
        <f>IF($A402=VLOOKUP(YEAR($A402),'Festive dates'!$A$2:$J$5,7,FALSE),1,0)</f>
        <v>0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>
      <c r="A403" s="8">
        <v>45418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f>MAX(-20,MIN(10,$A403-VLOOKUP(YEAR($A403),'Festive dates'!$A$2:$J$5,8,FALSE)))</f>
        <v>-20</v>
      </c>
      <c r="R403" s="9">
        <f>IF(AND($A403&gt;VLOOKUP(YEAR($A403),'Festive dates'!$A$2:$J$5,2,FALSE),$A403&lt;VLOOKUP(YEAR($A403),'Festive dates'!$A$2:$J$5,3,FALSE)),1,0)</f>
        <v>0</v>
      </c>
      <c r="S403" s="9">
        <f>IF($A403=VLOOKUP(YEAR($A403),'Festive dates'!$A$2:$J$5,2,FALSE),1,0)</f>
        <v>0</v>
      </c>
      <c r="T403" s="9">
        <f>IF($A403=VLOOKUP(YEAR($A403),'Festive dates'!$A$2:$J$5,3,FALSE),1,0)</f>
        <v>0</v>
      </c>
      <c r="U403" s="9">
        <f>IF($A403=VLOOKUP(YEAR($A403),'Festive dates'!$A$2:$J$5,4,FALSE),1,0)</f>
        <v>0</v>
      </c>
      <c r="V403" s="9">
        <f>IF(AND($A403&gt;=VLOOKUP(YEAR($A403),'Festive dates'!$A$2:$J$5,9,FALSE),$A403&lt;=VLOOKUP(YEAR($A403),'Festive dates'!$A$2:$J$5,10,FALSE)),1,0)</f>
        <v>0</v>
      </c>
      <c r="W403" s="9">
        <f>IF($A403=VLOOKUP(YEAR($A403),'Festive dates'!$A$2:$J$5,7,FALSE),1,0)</f>
        <v>0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>
      <c r="A404" s="8">
        <v>45419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f>MAX(-20,MIN(10,$A404-VLOOKUP(YEAR($A404),'Festive dates'!$A$2:$J$5,8,FALSE)))</f>
        <v>-20</v>
      </c>
      <c r="R404" s="9">
        <f>IF(AND($A404&gt;VLOOKUP(YEAR($A404),'Festive dates'!$A$2:$J$5,2,FALSE),$A404&lt;VLOOKUP(YEAR($A404),'Festive dates'!$A$2:$J$5,3,FALSE)),1,0)</f>
        <v>0</v>
      </c>
      <c r="S404" s="9">
        <f>IF($A404=VLOOKUP(YEAR($A404),'Festive dates'!$A$2:$J$5,2,FALSE),1,0)</f>
        <v>0</v>
      </c>
      <c r="T404" s="9">
        <f>IF($A404=VLOOKUP(YEAR($A404),'Festive dates'!$A$2:$J$5,3,FALSE),1,0)</f>
        <v>0</v>
      </c>
      <c r="U404" s="9">
        <f>IF($A404=VLOOKUP(YEAR($A404),'Festive dates'!$A$2:$J$5,4,FALSE),1,0)</f>
        <v>0</v>
      </c>
      <c r="V404" s="9">
        <f>IF(AND($A404&gt;=VLOOKUP(YEAR($A404),'Festive dates'!$A$2:$J$5,9,FALSE),$A404&lt;=VLOOKUP(YEAR($A404),'Festive dates'!$A$2:$J$5,10,FALSE)),1,0)</f>
        <v>0</v>
      </c>
      <c r="W404" s="9">
        <f>IF($A404=VLOOKUP(YEAR($A404),'Festive dates'!$A$2:$J$5,7,FALSE),1,0)</f>
        <v>0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>
      <c r="A405" s="8">
        <v>45420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f>MAX(-20,MIN(10,$A405-VLOOKUP(YEAR($A405),'Festive dates'!$A$2:$J$5,8,FALSE)))</f>
        <v>-20</v>
      </c>
      <c r="R405" s="9">
        <f>IF(AND($A405&gt;VLOOKUP(YEAR($A405),'Festive dates'!$A$2:$J$5,2,FALSE),$A405&lt;VLOOKUP(YEAR($A405),'Festive dates'!$A$2:$J$5,3,FALSE)),1,0)</f>
        <v>0</v>
      </c>
      <c r="S405" s="9">
        <f>IF($A405=VLOOKUP(YEAR($A405),'Festive dates'!$A$2:$J$5,2,FALSE),1,0)</f>
        <v>0</v>
      </c>
      <c r="T405" s="9">
        <f>IF($A405=VLOOKUP(YEAR($A405),'Festive dates'!$A$2:$J$5,3,FALSE),1,0)</f>
        <v>0</v>
      </c>
      <c r="U405" s="9">
        <f>IF($A405=VLOOKUP(YEAR($A405),'Festive dates'!$A$2:$J$5,4,FALSE),1,0)</f>
        <v>0</v>
      </c>
      <c r="V405" s="9">
        <f>IF(AND($A405&gt;=VLOOKUP(YEAR($A405),'Festive dates'!$A$2:$J$5,9,FALSE),$A405&lt;=VLOOKUP(YEAR($A405),'Festive dates'!$A$2:$J$5,10,FALSE)),1,0)</f>
        <v>0</v>
      </c>
      <c r="W405" s="9">
        <f>IF($A405=VLOOKUP(YEAR($A405),'Festive dates'!$A$2:$J$5,7,FALSE),1,0)</f>
        <v>0</v>
      </c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>
      <c r="A406" s="8">
        <v>45421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f>MAX(-20,MIN(10,$A406-VLOOKUP(YEAR($A406),'Festive dates'!$A$2:$J$5,8,FALSE)))</f>
        <v>-20</v>
      </c>
      <c r="R406" s="9">
        <f>IF(AND($A406&gt;VLOOKUP(YEAR($A406),'Festive dates'!$A$2:$J$5,2,FALSE),$A406&lt;VLOOKUP(YEAR($A406),'Festive dates'!$A$2:$J$5,3,FALSE)),1,0)</f>
        <v>0</v>
      </c>
      <c r="S406" s="9">
        <f>IF($A406=VLOOKUP(YEAR($A406),'Festive dates'!$A$2:$J$5,2,FALSE),1,0)</f>
        <v>0</v>
      </c>
      <c r="T406" s="9">
        <f>IF($A406=VLOOKUP(YEAR($A406),'Festive dates'!$A$2:$J$5,3,FALSE),1,0)</f>
        <v>0</v>
      </c>
      <c r="U406" s="9">
        <f>IF($A406=VLOOKUP(YEAR($A406),'Festive dates'!$A$2:$J$5,4,FALSE),1,0)</f>
        <v>0</v>
      </c>
      <c r="V406" s="9">
        <f>IF(AND($A406&gt;=VLOOKUP(YEAR($A406),'Festive dates'!$A$2:$J$5,9,FALSE),$A406&lt;=VLOOKUP(YEAR($A406),'Festive dates'!$A$2:$J$5,10,FALSE)),1,0)</f>
        <v>0</v>
      </c>
      <c r="W406" s="9">
        <f>IF($A406=VLOOKUP(YEAR($A406),'Festive dates'!$A$2:$J$5,7,FALSE),1,0)</f>
        <v>0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>
      <c r="A407" s="8">
        <v>45422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1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f>MAX(-20,MIN(10,$A407-VLOOKUP(YEAR($A407),'Festive dates'!$A$2:$J$5,8,FALSE)))</f>
        <v>-20</v>
      </c>
      <c r="R407" s="9">
        <f>IF(AND($A407&gt;VLOOKUP(YEAR($A407),'Festive dates'!$A$2:$J$5,2,FALSE),$A407&lt;VLOOKUP(YEAR($A407),'Festive dates'!$A$2:$J$5,3,FALSE)),1,0)</f>
        <v>0</v>
      </c>
      <c r="S407" s="9">
        <f>IF($A407=VLOOKUP(YEAR($A407),'Festive dates'!$A$2:$J$5,2,FALSE),1,0)</f>
        <v>0</v>
      </c>
      <c r="T407" s="9">
        <f>IF($A407=VLOOKUP(YEAR($A407),'Festive dates'!$A$2:$J$5,3,FALSE),1,0)</f>
        <v>0</v>
      </c>
      <c r="U407" s="9">
        <f>IF($A407=VLOOKUP(YEAR($A407),'Festive dates'!$A$2:$J$5,4,FALSE),1,0)</f>
        <v>0</v>
      </c>
      <c r="V407" s="9">
        <f>IF(AND($A407&gt;=VLOOKUP(YEAR($A407),'Festive dates'!$A$2:$J$5,9,FALSE),$A407&lt;=VLOOKUP(YEAR($A407),'Festive dates'!$A$2:$J$5,10,FALSE)),1,0)</f>
        <v>0</v>
      </c>
      <c r="W407" s="9">
        <f>IF($A407=VLOOKUP(YEAR($A407),'Festive dates'!$A$2:$J$5,7,FALSE),1,0)</f>
        <v>0</v>
      </c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>
      <c r="A408" s="8">
        <v>45423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f>MAX(-20,MIN(10,$A408-VLOOKUP(YEAR($A408),'Festive dates'!$A$2:$J$5,8,FALSE)))</f>
        <v>-20</v>
      </c>
      <c r="R408" s="9">
        <f>IF(AND($A408&gt;VLOOKUP(YEAR($A408),'Festive dates'!$A$2:$J$5,2,FALSE),$A408&lt;VLOOKUP(YEAR($A408),'Festive dates'!$A$2:$J$5,3,FALSE)),1,0)</f>
        <v>0</v>
      </c>
      <c r="S408" s="9">
        <f>IF($A408=VLOOKUP(YEAR($A408),'Festive dates'!$A$2:$J$5,2,FALSE),1,0)</f>
        <v>0</v>
      </c>
      <c r="T408" s="9">
        <f>IF($A408=VLOOKUP(YEAR($A408),'Festive dates'!$A$2:$J$5,3,FALSE),1,0)</f>
        <v>0</v>
      </c>
      <c r="U408" s="9">
        <f>IF($A408=VLOOKUP(YEAR($A408),'Festive dates'!$A$2:$J$5,4,FALSE),1,0)</f>
        <v>0</v>
      </c>
      <c r="V408" s="9">
        <f>IF(AND($A408&gt;=VLOOKUP(YEAR($A408),'Festive dates'!$A$2:$J$5,9,FALSE),$A408&lt;=VLOOKUP(YEAR($A408),'Festive dates'!$A$2:$J$5,10,FALSE)),1,0)</f>
        <v>0</v>
      </c>
      <c r="W408" s="9">
        <f>IF($A408=VLOOKUP(YEAR($A408),'Festive dates'!$A$2:$J$5,7,FALSE),1,0)</f>
        <v>0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>
      <c r="A409" s="8">
        <v>45424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f>MAX(-20,MIN(10,$A409-VLOOKUP(YEAR($A409),'Festive dates'!$A$2:$J$5,8,FALSE)))</f>
        <v>-20</v>
      </c>
      <c r="R409" s="9">
        <f>IF(AND($A409&gt;VLOOKUP(YEAR($A409),'Festive dates'!$A$2:$J$5,2,FALSE),$A409&lt;VLOOKUP(YEAR($A409),'Festive dates'!$A$2:$J$5,3,FALSE)),1,0)</f>
        <v>0</v>
      </c>
      <c r="S409" s="9">
        <f>IF($A409=VLOOKUP(YEAR($A409),'Festive dates'!$A$2:$J$5,2,FALSE),1,0)</f>
        <v>0</v>
      </c>
      <c r="T409" s="9">
        <f>IF($A409=VLOOKUP(YEAR($A409),'Festive dates'!$A$2:$J$5,3,FALSE),1,0)</f>
        <v>0</v>
      </c>
      <c r="U409" s="9">
        <f>IF($A409=VLOOKUP(YEAR($A409),'Festive dates'!$A$2:$J$5,4,FALSE),1,0)</f>
        <v>0</v>
      </c>
      <c r="V409" s="9">
        <f>IF(AND($A409&gt;=VLOOKUP(YEAR($A409),'Festive dates'!$A$2:$J$5,9,FALSE),$A409&lt;=VLOOKUP(YEAR($A409),'Festive dates'!$A$2:$J$5,10,FALSE)),1,0)</f>
        <v>0</v>
      </c>
      <c r="W409" s="9">
        <f>IF($A409=VLOOKUP(YEAR($A409),'Festive dates'!$A$2:$J$5,7,FALSE),1,0)</f>
        <v>0</v>
      </c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>
      <c r="A410" s="8">
        <v>45425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f>MAX(-20,MIN(10,$A410-VLOOKUP(YEAR($A410),'Festive dates'!$A$2:$J$5,8,FALSE)))</f>
        <v>-20</v>
      </c>
      <c r="R410" s="9">
        <f>IF(AND($A410&gt;VLOOKUP(YEAR($A410),'Festive dates'!$A$2:$J$5,2,FALSE),$A410&lt;VLOOKUP(YEAR($A410),'Festive dates'!$A$2:$J$5,3,FALSE)),1,0)</f>
        <v>0</v>
      </c>
      <c r="S410" s="9">
        <f>IF($A410=VLOOKUP(YEAR($A410),'Festive dates'!$A$2:$J$5,2,FALSE),1,0)</f>
        <v>0</v>
      </c>
      <c r="T410" s="9">
        <f>IF($A410=VLOOKUP(YEAR($A410),'Festive dates'!$A$2:$J$5,3,FALSE),1,0)</f>
        <v>0</v>
      </c>
      <c r="U410" s="9">
        <f>IF($A410=VLOOKUP(YEAR($A410),'Festive dates'!$A$2:$J$5,4,FALSE),1,0)</f>
        <v>0</v>
      </c>
      <c r="V410" s="9">
        <f>IF(AND($A410&gt;=VLOOKUP(YEAR($A410),'Festive dates'!$A$2:$J$5,9,FALSE),$A410&lt;=VLOOKUP(YEAR($A410),'Festive dates'!$A$2:$J$5,10,FALSE)),1,0)</f>
        <v>0</v>
      </c>
      <c r="W410" s="9">
        <f>IF($A410=VLOOKUP(YEAR($A410),'Festive dates'!$A$2:$J$5,7,FALSE),1,0)</f>
        <v>0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>
      <c r="A411" s="8">
        <v>45426</v>
      </c>
      <c r="B411" s="9">
        <v>0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f>MAX(-20,MIN(10,$A411-VLOOKUP(YEAR($A411),'Festive dates'!$A$2:$J$5,8,FALSE)))</f>
        <v>-20</v>
      </c>
      <c r="R411" s="9">
        <f>IF(AND($A411&gt;VLOOKUP(YEAR($A411),'Festive dates'!$A$2:$J$5,2,FALSE),$A411&lt;VLOOKUP(YEAR($A411),'Festive dates'!$A$2:$J$5,3,FALSE)),1,0)</f>
        <v>0</v>
      </c>
      <c r="S411" s="9">
        <f>IF($A411=VLOOKUP(YEAR($A411),'Festive dates'!$A$2:$J$5,2,FALSE),1,0)</f>
        <v>0</v>
      </c>
      <c r="T411" s="9">
        <f>IF($A411=VLOOKUP(YEAR($A411),'Festive dates'!$A$2:$J$5,3,FALSE),1,0)</f>
        <v>0</v>
      </c>
      <c r="U411" s="9">
        <f>IF($A411=VLOOKUP(YEAR($A411),'Festive dates'!$A$2:$J$5,4,FALSE),1,0)</f>
        <v>0</v>
      </c>
      <c r="V411" s="9">
        <f>IF(AND($A411&gt;=VLOOKUP(YEAR($A411),'Festive dates'!$A$2:$J$5,9,FALSE),$A411&lt;=VLOOKUP(YEAR($A411),'Festive dates'!$A$2:$J$5,10,FALSE)),1,0)</f>
        <v>0</v>
      </c>
      <c r="W411" s="9">
        <f>IF($A411=VLOOKUP(YEAR($A411),'Festive dates'!$A$2:$J$5,7,FALSE),1,0)</f>
        <v>0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>
      <c r="A412" s="8">
        <v>45427</v>
      </c>
      <c r="B412" s="9">
        <v>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f>MAX(-20,MIN(10,$A412-VLOOKUP(YEAR($A412),'Festive dates'!$A$2:$J$5,8,FALSE)))</f>
        <v>-20</v>
      </c>
      <c r="R412" s="9">
        <f>IF(AND($A412&gt;VLOOKUP(YEAR($A412),'Festive dates'!$A$2:$J$5,2,FALSE),$A412&lt;VLOOKUP(YEAR($A412),'Festive dates'!$A$2:$J$5,3,FALSE)),1,0)</f>
        <v>0</v>
      </c>
      <c r="S412" s="9">
        <f>IF($A412=VLOOKUP(YEAR($A412),'Festive dates'!$A$2:$J$5,2,FALSE),1,0)</f>
        <v>0</v>
      </c>
      <c r="T412" s="9">
        <f>IF($A412=VLOOKUP(YEAR($A412),'Festive dates'!$A$2:$J$5,3,FALSE),1,0)</f>
        <v>0</v>
      </c>
      <c r="U412" s="9">
        <f>IF($A412=VLOOKUP(YEAR($A412),'Festive dates'!$A$2:$J$5,4,FALSE),1,0)</f>
        <v>0</v>
      </c>
      <c r="V412" s="9">
        <f>IF(AND($A412&gt;=VLOOKUP(YEAR($A412),'Festive dates'!$A$2:$J$5,9,FALSE),$A412&lt;=VLOOKUP(YEAR($A412),'Festive dates'!$A$2:$J$5,10,FALSE)),1,0)</f>
        <v>0</v>
      </c>
      <c r="W412" s="9">
        <f>IF($A412=VLOOKUP(YEAR($A412),'Festive dates'!$A$2:$J$5,7,FALSE),1,0)</f>
        <v>0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>
      <c r="A413" s="8">
        <v>45428</v>
      </c>
      <c r="B413" s="9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f>MAX(-20,MIN(10,$A413-VLOOKUP(YEAR($A413),'Festive dates'!$A$2:$J$5,8,FALSE)))</f>
        <v>-20</v>
      </c>
      <c r="R413" s="9">
        <f>IF(AND($A413&gt;VLOOKUP(YEAR($A413),'Festive dates'!$A$2:$J$5,2,FALSE),$A413&lt;VLOOKUP(YEAR($A413),'Festive dates'!$A$2:$J$5,3,FALSE)),1,0)</f>
        <v>0</v>
      </c>
      <c r="S413" s="9">
        <f>IF($A413=VLOOKUP(YEAR($A413),'Festive dates'!$A$2:$J$5,2,FALSE),1,0)</f>
        <v>0</v>
      </c>
      <c r="T413" s="9">
        <f>IF($A413=VLOOKUP(YEAR($A413),'Festive dates'!$A$2:$J$5,3,FALSE),1,0)</f>
        <v>0</v>
      </c>
      <c r="U413" s="9">
        <f>IF($A413=VLOOKUP(YEAR($A413),'Festive dates'!$A$2:$J$5,4,FALSE),1,0)</f>
        <v>0</v>
      </c>
      <c r="V413" s="9">
        <f>IF(AND($A413&gt;=VLOOKUP(YEAR($A413),'Festive dates'!$A$2:$J$5,9,FALSE),$A413&lt;=VLOOKUP(YEAR($A413),'Festive dates'!$A$2:$J$5,10,FALSE)),1,0)</f>
        <v>0</v>
      </c>
      <c r="W413" s="9">
        <f>IF($A413=VLOOKUP(YEAR($A413),'Festive dates'!$A$2:$J$5,7,FALSE),1,0)</f>
        <v>0</v>
      </c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>
      <c r="A414" s="8">
        <v>45429</v>
      </c>
      <c r="B414" s="9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f>MAX(-20,MIN(10,$A414-VLOOKUP(YEAR($A414),'Festive dates'!$A$2:$J$5,8,FALSE)))</f>
        <v>-20</v>
      </c>
      <c r="R414" s="9">
        <f>IF(AND($A414&gt;VLOOKUP(YEAR($A414),'Festive dates'!$A$2:$J$5,2,FALSE),$A414&lt;VLOOKUP(YEAR($A414),'Festive dates'!$A$2:$J$5,3,FALSE)),1,0)</f>
        <v>0</v>
      </c>
      <c r="S414" s="9">
        <f>IF($A414=VLOOKUP(YEAR($A414),'Festive dates'!$A$2:$J$5,2,FALSE),1,0)</f>
        <v>0</v>
      </c>
      <c r="T414" s="9">
        <f>IF($A414=VLOOKUP(YEAR($A414),'Festive dates'!$A$2:$J$5,3,FALSE),1,0)</f>
        <v>0</v>
      </c>
      <c r="U414" s="9">
        <f>IF($A414=VLOOKUP(YEAR($A414),'Festive dates'!$A$2:$J$5,4,FALSE),1,0)</f>
        <v>0</v>
      </c>
      <c r="V414" s="9">
        <f>IF(AND($A414&gt;=VLOOKUP(YEAR($A414),'Festive dates'!$A$2:$J$5,9,FALSE),$A414&lt;=VLOOKUP(YEAR($A414),'Festive dates'!$A$2:$J$5,10,FALSE)),1,0)</f>
        <v>0</v>
      </c>
      <c r="W414" s="9">
        <f>IF($A414=VLOOKUP(YEAR($A414),'Festive dates'!$A$2:$J$5,7,FALSE),1,0)</f>
        <v>0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>
      <c r="A415" s="8">
        <v>45430</v>
      </c>
      <c r="B415" s="9">
        <v>0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f>MAX(-20,MIN(10,$A415-VLOOKUP(YEAR($A415),'Festive dates'!$A$2:$J$5,8,FALSE)))</f>
        <v>-20</v>
      </c>
      <c r="R415" s="9">
        <f>IF(AND($A415&gt;VLOOKUP(YEAR($A415),'Festive dates'!$A$2:$J$5,2,FALSE),$A415&lt;VLOOKUP(YEAR($A415),'Festive dates'!$A$2:$J$5,3,FALSE)),1,0)</f>
        <v>0</v>
      </c>
      <c r="S415" s="9">
        <f>IF($A415=VLOOKUP(YEAR($A415),'Festive dates'!$A$2:$J$5,2,FALSE),1,0)</f>
        <v>0</v>
      </c>
      <c r="T415" s="9">
        <f>IF($A415=VLOOKUP(YEAR($A415),'Festive dates'!$A$2:$J$5,3,FALSE),1,0)</f>
        <v>0</v>
      </c>
      <c r="U415" s="9">
        <f>IF($A415=VLOOKUP(YEAR($A415),'Festive dates'!$A$2:$J$5,4,FALSE),1,0)</f>
        <v>0</v>
      </c>
      <c r="V415" s="9">
        <f>IF(AND($A415&gt;=VLOOKUP(YEAR($A415),'Festive dates'!$A$2:$J$5,9,FALSE),$A415&lt;=VLOOKUP(YEAR($A415),'Festive dates'!$A$2:$J$5,10,FALSE)),1,0)</f>
        <v>0</v>
      </c>
      <c r="W415" s="9">
        <f>IF($A415=VLOOKUP(YEAR($A415),'Festive dates'!$A$2:$J$5,7,FALSE),1,0)</f>
        <v>0</v>
      </c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>
      <c r="A416" s="8">
        <v>45431</v>
      </c>
      <c r="B416" s="9">
        <v>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f>MAX(-20,MIN(10,$A416-VLOOKUP(YEAR($A416),'Festive dates'!$A$2:$J$5,8,FALSE)))</f>
        <v>-20</v>
      </c>
      <c r="R416" s="9">
        <f>IF(AND($A416&gt;VLOOKUP(YEAR($A416),'Festive dates'!$A$2:$J$5,2,FALSE),$A416&lt;VLOOKUP(YEAR($A416),'Festive dates'!$A$2:$J$5,3,FALSE)),1,0)</f>
        <v>0</v>
      </c>
      <c r="S416" s="9">
        <f>IF($A416=VLOOKUP(YEAR($A416),'Festive dates'!$A$2:$J$5,2,FALSE),1,0)</f>
        <v>0</v>
      </c>
      <c r="T416" s="9">
        <f>IF($A416=VLOOKUP(YEAR($A416),'Festive dates'!$A$2:$J$5,3,FALSE),1,0)</f>
        <v>0</v>
      </c>
      <c r="U416" s="9">
        <f>IF($A416=VLOOKUP(YEAR($A416),'Festive dates'!$A$2:$J$5,4,FALSE),1,0)</f>
        <v>0</v>
      </c>
      <c r="V416" s="9">
        <f>IF(AND($A416&gt;=VLOOKUP(YEAR($A416),'Festive dates'!$A$2:$J$5,9,FALSE),$A416&lt;=VLOOKUP(YEAR($A416),'Festive dates'!$A$2:$J$5,10,FALSE)),1,0)</f>
        <v>0</v>
      </c>
      <c r="W416" s="9">
        <f>IF($A416=VLOOKUP(YEAR($A416),'Festive dates'!$A$2:$J$5,7,FALSE),1,0)</f>
        <v>0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>
      <c r="A417" s="8">
        <v>45432</v>
      </c>
      <c r="B417" s="9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f>MAX(-20,MIN(10,$A417-VLOOKUP(YEAR($A417),'Festive dates'!$A$2:$J$5,8,FALSE)))</f>
        <v>-20</v>
      </c>
      <c r="R417" s="9">
        <f>IF(AND($A417&gt;VLOOKUP(YEAR($A417),'Festive dates'!$A$2:$J$5,2,FALSE),$A417&lt;VLOOKUP(YEAR($A417),'Festive dates'!$A$2:$J$5,3,FALSE)),1,0)</f>
        <v>0</v>
      </c>
      <c r="S417" s="9">
        <f>IF($A417=VLOOKUP(YEAR($A417),'Festive dates'!$A$2:$J$5,2,FALSE),1,0)</f>
        <v>0</v>
      </c>
      <c r="T417" s="9">
        <f>IF($A417=VLOOKUP(YEAR($A417),'Festive dates'!$A$2:$J$5,3,FALSE),1,0)</f>
        <v>0</v>
      </c>
      <c r="U417" s="9">
        <f>IF($A417=VLOOKUP(YEAR($A417),'Festive dates'!$A$2:$J$5,4,FALSE),1,0)</f>
        <v>0</v>
      </c>
      <c r="V417" s="9">
        <f>IF(AND($A417&gt;=VLOOKUP(YEAR($A417),'Festive dates'!$A$2:$J$5,9,FALSE),$A417&lt;=VLOOKUP(YEAR($A417),'Festive dates'!$A$2:$J$5,10,FALSE)),1,0)</f>
        <v>0</v>
      </c>
      <c r="W417" s="9">
        <f>IF($A417=VLOOKUP(YEAR($A417),'Festive dates'!$A$2:$J$5,7,FALSE),1,0)</f>
        <v>0</v>
      </c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>
      <c r="A418" s="8">
        <v>45433</v>
      </c>
      <c r="B418" s="9">
        <v>0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f>MAX(-20,MIN(10,$A418-VLOOKUP(YEAR($A418),'Festive dates'!$A$2:$J$5,8,FALSE)))</f>
        <v>-20</v>
      </c>
      <c r="R418" s="9">
        <f>IF(AND($A418&gt;VLOOKUP(YEAR($A418),'Festive dates'!$A$2:$J$5,2,FALSE),$A418&lt;VLOOKUP(YEAR($A418),'Festive dates'!$A$2:$J$5,3,FALSE)),1,0)</f>
        <v>0</v>
      </c>
      <c r="S418" s="9">
        <f>IF($A418=VLOOKUP(YEAR($A418),'Festive dates'!$A$2:$J$5,2,FALSE),1,0)</f>
        <v>0</v>
      </c>
      <c r="T418" s="9">
        <f>IF($A418=VLOOKUP(YEAR($A418),'Festive dates'!$A$2:$J$5,3,FALSE),1,0)</f>
        <v>0</v>
      </c>
      <c r="U418" s="9">
        <f>IF($A418=VLOOKUP(YEAR($A418),'Festive dates'!$A$2:$J$5,4,FALSE),1,0)</f>
        <v>0</v>
      </c>
      <c r="V418" s="9">
        <f>IF(AND($A418&gt;=VLOOKUP(YEAR($A418),'Festive dates'!$A$2:$J$5,9,FALSE),$A418&lt;=VLOOKUP(YEAR($A418),'Festive dates'!$A$2:$J$5,10,FALSE)),1,0)</f>
        <v>0</v>
      </c>
      <c r="W418" s="9">
        <f>IF($A418=VLOOKUP(YEAR($A418),'Festive dates'!$A$2:$J$5,7,FALSE),1,0)</f>
        <v>0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>
      <c r="A419" s="8">
        <v>45434</v>
      </c>
      <c r="B419" s="9">
        <v>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f>MAX(-20,MIN(10,$A419-VLOOKUP(YEAR($A419),'Festive dates'!$A$2:$J$5,8,FALSE)))</f>
        <v>-20</v>
      </c>
      <c r="R419" s="9">
        <f>IF(AND($A419&gt;VLOOKUP(YEAR($A419),'Festive dates'!$A$2:$J$5,2,FALSE),$A419&lt;VLOOKUP(YEAR($A419),'Festive dates'!$A$2:$J$5,3,FALSE)),1,0)</f>
        <v>0</v>
      </c>
      <c r="S419" s="9">
        <f>IF($A419=VLOOKUP(YEAR($A419),'Festive dates'!$A$2:$J$5,2,FALSE),1,0)</f>
        <v>0</v>
      </c>
      <c r="T419" s="9">
        <f>IF($A419=VLOOKUP(YEAR($A419),'Festive dates'!$A$2:$J$5,3,FALSE),1,0)</f>
        <v>0</v>
      </c>
      <c r="U419" s="9">
        <f>IF($A419=VLOOKUP(YEAR($A419),'Festive dates'!$A$2:$J$5,4,FALSE),1,0)</f>
        <v>0</v>
      </c>
      <c r="V419" s="9">
        <f>IF(AND($A419&gt;=VLOOKUP(YEAR($A419),'Festive dates'!$A$2:$J$5,9,FALSE),$A419&lt;=VLOOKUP(YEAR($A419),'Festive dates'!$A$2:$J$5,10,FALSE)),1,0)</f>
        <v>0</v>
      </c>
      <c r="W419" s="9">
        <f>IF($A419=VLOOKUP(YEAR($A419),'Festive dates'!$A$2:$J$5,7,FALSE),1,0)</f>
        <v>0</v>
      </c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>
      <c r="A420" s="8">
        <v>45435</v>
      </c>
      <c r="B420" s="9">
        <v>0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1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f>MAX(-20,MIN(10,$A420-VLOOKUP(YEAR($A420),'Festive dates'!$A$2:$J$5,8,FALSE)))</f>
        <v>-20</v>
      </c>
      <c r="R420" s="9">
        <f>IF(AND($A420&gt;VLOOKUP(YEAR($A420),'Festive dates'!$A$2:$J$5,2,FALSE),$A420&lt;VLOOKUP(YEAR($A420),'Festive dates'!$A$2:$J$5,3,FALSE)),1,0)</f>
        <v>0</v>
      </c>
      <c r="S420" s="9">
        <f>IF($A420=VLOOKUP(YEAR($A420),'Festive dates'!$A$2:$J$5,2,FALSE),1,0)</f>
        <v>0</v>
      </c>
      <c r="T420" s="9">
        <f>IF($A420=VLOOKUP(YEAR($A420),'Festive dates'!$A$2:$J$5,3,FALSE),1,0)</f>
        <v>0</v>
      </c>
      <c r="U420" s="9">
        <f>IF($A420=VLOOKUP(YEAR($A420),'Festive dates'!$A$2:$J$5,4,FALSE),1,0)</f>
        <v>0</v>
      </c>
      <c r="V420" s="9">
        <f>IF(AND($A420&gt;=VLOOKUP(YEAR($A420),'Festive dates'!$A$2:$J$5,9,FALSE),$A420&lt;=VLOOKUP(YEAR($A420),'Festive dates'!$A$2:$J$5,10,FALSE)),1,0)</f>
        <v>0</v>
      </c>
      <c r="W420" s="9">
        <f>IF($A420=VLOOKUP(YEAR($A420),'Festive dates'!$A$2:$J$5,7,FALSE),1,0)</f>
        <v>0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>
      <c r="A421" s="8">
        <v>45436</v>
      </c>
      <c r="B421" s="9">
        <v>0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f>MAX(-20,MIN(10,$A421-VLOOKUP(YEAR($A421),'Festive dates'!$A$2:$J$5,8,FALSE)))</f>
        <v>-20</v>
      </c>
      <c r="R421" s="9">
        <f>IF(AND($A421&gt;VLOOKUP(YEAR($A421),'Festive dates'!$A$2:$J$5,2,FALSE),$A421&lt;VLOOKUP(YEAR($A421),'Festive dates'!$A$2:$J$5,3,FALSE)),1,0)</f>
        <v>0</v>
      </c>
      <c r="S421" s="9">
        <f>IF($A421=VLOOKUP(YEAR($A421),'Festive dates'!$A$2:$J$5,2,FALSE),1,0)</f>
        <v>0</v>
      </c>
      <c r="T421" s="9">
        <f>IF($A421=VLOOKUP(YEAR($A421),'Festive dates'!$A$2:$J$5,3,FALSE),1,0)</f>
        <v>0</v>
      </c>
      <c r="U421" s="9">
        <f>IF($A421=VLOOKUP(YEAR($A421),'Festive dates'!$A$2:$J$5,4,FALSE),1,0)</f>
        <v>0</v>
      </c>
      <c r="V421" s="9">
        <f>IF(AND($A421&gt;=VLOOKUP(YEAR($A421),'Festive dates'!$A$2:$J$5,9,FALSE),$A421&lt;=VLOOKUP(YEAR($A421),'Festive dates'!$A$2:$J$5,10,FALSE)),1,0)</f>
        <v>0</v>
      </c>
      <c r="W421" s="9">
        <f>IF($A421=VLOOKUP(YEAR($A421),'Festive dates'!$A$2:$J$5,7,FALSE),1,0)</f>
        <v>0</v>
      </c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>
      <c r="A422" s="8">
        <v>45437</v>
      </c>
      <c r="B422" s="9">
        <v>0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f>MAX(-20,MIN(10,$A422-VLOOKUP(YEAR($A422),'Festive dates'!$A$2:$J$5,8,FALSE)))</f>
        <v>-20</v>
      </c>
      <c r="R422" s="9">
        <f>IF(AND($A422&gt;VLOOKUP(YEAR($A422),'Festive dates'!$A$2:$J$5,2,FALSE),$A422&lt;VLOOKUP(YEAR($A422),'Festive dates'!$A$2:$J$5,3,FALSE)),1,0)</f>
        <v>0</v>
      </c>
      <c r="S422" s="9">
        <f>IF($A422=VLOOKUP(YEAR($A422),'Festive dates'!$A$2:$J$5,2,FALSE),1,0)</f>
        <v>0</v>
      </c>
      <c r="T422" s="9">
        <f>IF($A422=VLOOKUP(YEAR($A422),'Festive dates'!$A$2:$J$5,3,FALSE),1,0)</f>
        <v>0</v>
      </c>
      <c r="U422" s="9">
        <f>IF($A422=VLOOKUP(YEAR($A422),'Festive dates'!$A$2:$J$5,4,FALSE),1,0)</f>
        <v>0</v>
      </c>
      <c r="V422" s="9">
        <f>IF(AND($A422&gt;=VLOOKUP(YEAR($A422),'Festive dates'!$A$2:$J$5,9,FALSE),$A422&lt;=VLOOKUP(YEAR($A422),'Festive dates'!$A$2:$J$5,10,FALSE)),1,0)</f>
        <v>0</v>
      </c>
      <c r="W422" s="9">
        <f>IF($A422=VLOOKUP(YEAR($A422),'Festive dates'!$A$2:$J$5,7,FALSE),1,0)</f>
        <v>0</v>
      </c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>
      <c r="A423" s="8">
        <v>45438</v>
      </c>
      <c r="B423" s="9">
        <v>0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f>MAX(-20,MIN(10,$A423-VLOOKUP(YEAR($A423),'Festive dates'!$A$2:$J$5,8,FALSE)))</f>
        <v>-20</v>
      </c>
      <c r="R423" s="9">
        <f>IF(AND($A423&gt;VLOOKUP(YEAR($A423),'Festive dates'!$A$2:$J$5,2,FALSE),$A423&lt;VLOOKUP(YEAR($A423),'Festive dates'!$A$2:$J$5,3,FALSE)),1,0)</f>
        <v>0</v>
      </c>
      <c r="S423" s="9">
        <f>IF($A423=VLOOKUP(YEAR($A423),'Festive dates'!$A$2:$J$5,2,FALSE),1,0)</f>
        <v>0</v>
      </c>
      <c r="T423" s="9">
        <f>IF($A423=VLOOKUP(YEAR($A423),'Festive dates'!$A$2:$J$5,3,FALSE),1,0)</f>
        <v>0</v>
      </c>
      <c r="U423" s="9">
        <f>IF($A423=VLOOKUP(YEAR($A423),'Festive dates'!$A$2:$J$5,4,FALSE),1,0)</f>
        <v>0</v>
      </c>
      <c r="V423" s="9">
        <f>IF(AND($A423&gt;=VLOOKUP(YEAR($A423),'Festive dates'!$A$2:$J$5,9,FALSE),$A423&lt;=VLOOKUP(YEAR($A423),'Festive dates'!$A$2:$J$5,10,FALSE)),1,0)</f>
        <v>0</v>
      </c>
      <c r="W423" s="9">
        <f>IF($A423=VLOOKUP(YEAR($A423),'Festive dates'!$A$2:$J$5,7,FALSE),1,0)</f>
        <v>0</v>
      </c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>
      <c r="A424" s="8">
        <v>45439</v>
      </c>
      <c r="B424" s="9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f>MAX(-20,MIN(10,$A424-VLOOKUP(YEAR($A424),'Festive dates'!$A$2:$J$5,8,FALSE)))</f>
        <v>-20</v>
      </c>
      <c r="R424" s="9">
        <f>IF(AND($A424&gt;VLOOKUP(YEAR($A424),'Festive dates'!$A$2:$J$5,2,FALSE),$A424&lt;VLOOKUP(YEAR($A424),'Festive dates'!$A$2:$J$5,3,FALSE)),1,0)</f>
        <v>0</v>
      </c>
      <c r="S424" s="9">
        <f>IF($A424=VLOOKUP(YEAR($A424),'Festive dates'!$A$2:$J$5,2,FALSE),1,0)</f>
        <v>0</v>
      </c>
      <c r="T424" s="9">
        <f>IF($A424=VLOOKUP(YEAR($A424),'Festive dates'!$A$2:$J$5,3,FALSE),1,0)</f>
        <v>0</v>
      </c>
      <c r="U424" s="9">
        <f>IF($A424=VLOOKUP(YEAR($A424),'Festive dates'!$A$2:$J$5,4,FALSE),1,0)</f>
        <v>0</v>
      </c>
      <c r="V424" s="9">
        <f>IF(AND($A424&gt;=VLOOKUP(YEAR($A424),'Festive dates'!$A$2:$J$5,9,FALSE),$A424&lt;=VLOOKUP(YEAR($A424),'Festive dates'!$A$2:$J$5,10,FALSE)),1,0)</f>
        <v>0</v>
      </c>
      <c r="W424" s="9">
        <f>IF($A424=VLOOKUP(YEAR($A424),'Festive dates'!$A$2:$J$5,7,FALSE),1,0)</f>
        <v>0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>
      <c r="A425" s="8">
        <v>45440</v>
      </c>
      <c r="B425" s="9">
        <v>0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f>MAX(-20,MIN(10,$A425-VLOOKUP(YEAR($A425),'Festive dates'!$A$2:$J$5,8,FALSE)))</f>
        <v>-20</v>
      </c>
      <c r="R425" s="9">
        <f>IF(AND($A425&gt;VLOOKUP(YEAR($A425),'Festive dates'!$A$2:$J$5,2,FALSE),$A425&lt;VLOOKUP(YEAR($A425),'Festive dates'!$A$2:$J$5,3,FALSE)),1,0)</f>
        <v>0</v>
      </c>
      <c r="S425" s="9">
        <f>IF($A425=VLOOKUP(YEAR($A425),'Festive dates'!$A$2:$J$5,2,FALSE),1,0)</f>
        <v>0</v>
      </c>
      <c r="T425" s="9">
        <f>IF($A425=VLOOKUP(YEAR($A425),'Festive dates'!$A$2:$J$5,3,FALSE),1,0)</f>
        <v>0</v>
      </c>
      <c r="U425" s="9">
        <f>IF($A425=VLOOKUP(YEAR($A425),'Festive dates'!$A$2:$J$5,4,FALSE),1,0)</f>
        <v>0</v>
      </c>
      <c r="V425" s="9">
        <f>IF(AND($A425&gt;=VLOOKUP(YEAR($A425),'Festive dates'!$A$2:$J$5,9,FALSE),$A425&lt;=VLOOKUP(YEAR($A425),'Festive dates'!$A$2:$J$5,10,FALSE)),1,0)</f>
        <v>0</v>
      </c>
      <c r="W425" s="9">
        <f>IF($A425=VLOOKUP(YEAR($A425),'Festive dates'!$A$2:$J$5,7,FALSE),1,0)</f>
        <v>0</v>
      </c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>
      <c r="A426" s="8">
        <v>45441</v>
      </c>
      <c r="B426" s="9">
        <v>0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f>MAX(-20,MIN(10,$A426-VLOOKUP(YEAR($A426),'Festive dates'!$A$2:$J$5,8,FALSE)))</f>
        <v>-20</v>
      </c>
      <c r="R426" s="9">
        <f>IF(AND($A426&gt;VLOOKUP(YEAR($A426),'Festive dates'!$A$2:$J$5,2,FALSE),$A426&lt;VLOOKUP(YEAR($A426),'Festive dates'!$A$2:$J$5,3,FALSE)),1,0)</f>
        <v>0</v>
      </c>
      <c r="S426" s="9">
        <f>IF($A426=VLOOKUP(YEAR($A426),'Festive dates'!$A$2:$J$5,2,FALSE),1,0)</f>
        <v>0</v>
      </c>
      <c r="T426" s="9">
        <f>IF($A426=VLOOKUP(YEAR($A426),'Festive dates'!$A$2:$J$5,3,FALSE),1,0)</f>
        <v>0</v>
      </c>
      <c r="U426" s="9">
        <f>IF($A426=VLOOKUP(YEAR($A426),'Festive dates'!$A$2:$J$5,4,FALSE),1,0)</f>
        <v>0</v>
      </c>
      <c r="V426" s="9">
        <f>IF(AND($A426&gt;=VLOOKUP(YEAR($A426),'Festive dates'!$A$2:$J$5,9,FALSE),$A426&lt;=VLOOKUP(YEAR($A426),'Festive dates'!$A$2:$J$5,10,FALSE)),1,0)</f>
        <v>0</v>
      </c>
      <c r="W426" s="9">
        <f>IF($A426=VLOOKUP(YEAR($A426),'Festive dates'!$A$2:$J$5,7,FALSE),1,0)</f>
        <v>0</v>
      </c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>
      <c r="A427" s="8">
        <v>45442</v>
      </c>
      <c r="B427" s="9">
        <v>0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f>MAX(-20,MIN(10,$A427-VLOOKUP(YEAR($A427),'Festive dates'!$A$2:$J$5,8,FALSE)))</f>
        <v>-20</v>
      </c>
      <c r="R427" s="9">
        <f>IF(AND($A427&gt;VLOOKUP(YEAR($A427),'Festive dates'!$A$2:$J$5,2,FALSE),$A427&lt;VLOOKUP(YEAR($A427),'Festive dates'!$A$2:$J$5,3,FALSE)),1,0)</f>
        <v>0</v>
      </c>
      <c r="S427" s="9">
        <f>IF($A427=VLOOKUP(YEAR($A427),'Festive dates'!$A$2:$J$5,2,FALSE),1,0)</f>
        <v>0</v>
      </c>
      <c r="T427" s="9">
        <f>IF($A427=VLOOKUP(YEAR($A427),'Festive dates'!$A$2:$J$5,3,FALSE),1,0)</f>
        <v>0</v>
      </c>
      <c r="U427" s="9">
        <f>IF($A427=VLOOKUP(YEAR($A427),'Festive dates'!$A$2:$J$5,4,FALSE),1,0)</f>
        <v>0</v>
      </c>
      <c r="V427" s="9">
        <f>IF(AND($A427&gt;=VLOOKUP(YEAR($A427),'Festive dates'!$A$2:$J$5,9,FALSE),$A427&lt;=VLOOKUP(YEAR($A427),'Festive dates'!$A$2:$J$5,10,FALSE)),1,0)</f>
        <v>0</v>
      </c>
      <c r="W427" s="9">
        <f>IF($A427=VLOOKUP(YEAR($A427),'Festive dates'!$A$2:$J$5,7,FALSE),1,0)</f>
        <v>0</v>
      </c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>
      <c r="A428" s="8">
        <v>45443</v>
      </c>
      <c r="B428" s="9">
        <v>0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f>MAX(-20,MIN(10,$A428-VLOOKUP(YEAR($A428),'Festive dates'!$A$2:$J$5,8,FALSE)))</f>
        <v>-20</v>
      </c>
      <c r="R428" s="9">
        <f>IF(AND($A428&gt;VLOOKUP(YEAR($A428),'Festive dates'!$A$2:$J$5,2,FALSE),$A428&lt;VLOOKUP(YEAR($A428),'Festive dates'!$A$2:$J$5,3,FALSE)),1,0)</f>
        <v>0</v>
      </c>
      <c r="S428" s="9">
        <f>IF($A428=VLOOKUP(YEAR($A428),'Festive dates'!$A$2:$J$5,2,FALSE),1,0)</f>
        <v>0</v>
      </c>
      <c r="T428" s="9">
        <f>IF($A428=VLOOKUP(YEAR($A428),'Festive dates'!$A$2:$J$5,3,FALSE),1,0)</f>
        <v>0</v>
      </c>
      <c r="U428" s="9">
        <f>IF($A428=VLOOKUP(YEAR($A428),'Festive dates'!$A$2:$J$5,4,FALSE),1,0)</f>
        <v>0</v>
      </c>
      <c r="V428" s="9">
        <f>IF(AND($A428&gt;=VLOOKUP(YEAR($A428),'Festive dates'!$A$2:$J$5,9,FALSE),$A428&lt;=VLOOKUP(YEAR($A428),'Festive dates'!$A$2:$J$5,10,FALSE)),1,0)</f>
        <v>0</v>
      </c>
      <c r="W428" s="9">
        <f>IF($A428=VLOOKUP(YEAR($A428),'Festive dates'!$A$2:$J$5,7,FALSE),1,0)</f>
        <v>0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>
      <c r="A429" s="8">
        <v>45444</v>
      </c>
      <c r="B429" s="9">
        <v>0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f>MAX(-20,MIN(10,$A429-VLOOKUP(YEAR($A429),'Festive dates'!$A$2:$J$5,8,FALSE)))</f>
        <v>-20</v>
      </c>
      <c r="R429" s="9">
        <f>IF(AND($A429&gt;VLOOKUP(YEAR($A429),'Festive dates'!$A$2:$J$5,2,FALSE),$A429&lt;VLOOKUP(YEAR($A429),'Festive dates'!$A$2:$J$5,3,FALSE)),1,0)</f>
        <v>0</v>
      </c>
      <c r="S429" s="9">
        <f>IF($A429=VLOOKUP(YEAR($A429),'Festive dates'!$A$2:$J$5,2,FALSE),1,0)</f>
        <v>0</v>
      </c>
      <c r="T429" s="9">
        <f>IF($A429=VLOOKUP(YEAR($A429),'Festive dates'!$A$2:$J$5,3,FALSE),1,0)</f>
        <v>0</v>
      </c>
      <c r="U429" s="9">
        <f>IF($A429=VLOOKUP(YEAR($A429),'Festive dates'!$A$2:$J$5,4,FALSE),1,0)</f>
        <v>0</v>
      </c>
      <c r="V429" s="9">
        <f>IF(AND($A429&gt;=VLOOKUP(YEAR($A429),'Festive dates'!$A$2:$J$5,9,FALSE),$A429&lt;=VLOOKUP(YEAR($A429),'Festive dates'!$A$2:$J$5,10,FALSE)),1,0)</f>
        <v>0</v>
      </c>
      <c r="W429" s="9">
        <f>IF($A429=VLOOKUP(YEAR($A429),'Festive dates'!$A$2:$J$5,7,FALSE),1,0)</f>
        <v>0</v>
      </c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>
      <c r="A430" s="8">
        <v>45445</v>
      </c>
      <c r="B430" s="9">
        <v>0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f>MAX(-20,MIN(10,$A430-VLOOKUP(YEAR($A430),'Festive dates'!$A$2:$J$5,8,FALSE)))</f>
        <v>-20</v>
      </c>
      <c r="R430" s="9">
        <f>IF(AND($A430&gt;VLOOKUP(YEAR($A430),'Festive dates'!$A$2:$J$5,2,FALSE),$A430&lt;VLOOKUP(YEAR($A430),'Festive dates'!$A$2:$J$5,3,FALSE)),1,0)</f>
        <v>0</v>
      </c>
      <c r="S430" s="9">
        <f>IF($A430=VLOOKUP(YEAR($A430),'Festive dates'!$A$2:$J$5,2,FALSE),1,0)</f>
        <v>0</v>
      </c>
      <c r="T430" s="9">
        <f>IF($A430=VLOOKUP(YEAR($A430),'Festive dates'!$A$2:$J$5,3,FALSE),1,0)</f>
        <v>0</v>
      </c>
      <c r="U430" s="9">
        <f>IF($A430=VLOOKUP(YEAR($A430),'Festive dates'!$A$2:$J$5,4,FALSE),1,0)</f>
        <v>0</v>
      </c>
      <c r="V430" s="9">
        <f>IF(AND($A430&gt;=VLOOKUP(YEAR($A430),'Festive dates'!$A$2:$J$5,9,FALSE),$A430&lt;=VLOOKUP(YEAR($A430),'Festive dates'!$A$2:$J$5,10,FALSE)),1,0)</f>
        <v>0</v>
      </c>
      <c r="W430" s="9">
        <f>IF($A430=VLOOKUP(YEAR($A430),'Festive dates'!$A$2:$J$5,7,FALSE),1,0)</f>
        <v>0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>
      <c r="A431" s="8">
        <v>45446</v>
      </c>
      <c r="B431" s="9">
        <v>0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f>MAX(-20,MIN(10,$A431-VLOOKUP(YEAR($A431),'Festive dates'!$A$2:$J$5,8,FALSE)))</f>
        <v>-20</v>
      </c>
      <c r="R431" s="9">
        <f>IF(AND($A431&gt;VLOOKUP(YEAR($A431),'Festive dates'!$A$2:$J$5,2,FALSE),$A431&lt;VLOOKUP(YEAR($A431),'Festive dates'!$A$2:$J$5,3,FALSE)),1,0)</f>
        <v>0</v>
      </c>
      <c r="S431" s="9">
        <f>IF($A431=VLOOKUP(YEAR($A431),'Festive dates'!$A$2:$J$5,2,FALSE),1,0)</f>
        <v>0</v>
      </c>
      <c r="T431" s="9">
        <f>IF($A431=VLOOKUP(YEAR($A431),'Festive dates'!$A$2:$J$5,3,FALSE),1,0)</f>
        <v>0</v>
      </c>
      <c r="U431" s="9">
        <f>IF($A431=VLOOKUP(YEAR($A431),'Festive dates'!$A$2:$J$5,4,FALSE),1,0)</f>
        <v>0</v>
      </c>
      <c r="V431" s="9">
        <f>IF(AND($A431&gt;=VLOOKUP(YEAR($A431),'Festive dates'!$A$2:$J$5,9,FALSE),$A431&lt;=VLOOKUP(YEAR($A431),'Festive dates'!$A$2:$J$5,10,FALSE)),1,0)</f>
        <v>0</v>
      </c>
      <c r="W431" s="9">
        <f>IF($A431=VLOOKUP(YEAR($A431),'Festive dates'!$A$2:$J$5,7,FALSE),1,0)</f>
        <v>0</v>
      </c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>
      <c r="A432" s="8">
        <v>45447</v>
      </c>
      <c r="B432" s="9">
        <v>0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f>MAX(-20,MIN(10,$A432-VLOOKUP(YEAR($A432),'Festive dates'!$A$2:$J$5,8,FALSE)))</f>
        <v>-20</v>
      </c>
      <c r="R432" s="9">
        <f>IF(AND($A432&gt;VLOOKUP(YEAR($A432),'Festive dates'!$A$2:$J$5,2,FALSE),$A432&lt;VLOOKUP(YEAR($A432),'Festive dates'!$A$2:$J$5,3,FALSE)),1,0)</f>
        <v>0</v>
      </c>
      <c r="S432" s="9">
        <f>IF($A432=VLOOKUP(YEAR($A432),'Festive dates'!$A$2:$J$5,2,FALSE),1,0)</f>
        <v>0</v>
      </c>
      <c r="T432" s="9">
        <f>IF($A432=VLOOKUP(YEAR($A432),'Festive dates'!$A$2:$J$5,3,FALSE),1,0)</f>
        <v>0</v>
      </c>
      <c r="U432" s="9">
        <f>IF($A432=VLOOKUP(YEAR($A432),'Festive dates'!$A$2:$J$5,4,FALSE),1,0)</f>
        <v>0</v>
      </c>
      <c r="V432" s="9">
        <f>IF(AND($A432&gt;=VLOOKUP(YEAR($A432),'Festive dates'!$A$2:$J$5,9,FALSE),$A432&lt;=VLOOKUP(YEAR($A432),'Festive dates'!$A$2:$J$5,10,FALSE)),1,0)</f>
        <v>0</v>
      </c>
      <c r="W432" s="9">
        <f>IF($A432=VLOOKUP(YEAR($A432),'Festive dates'!$A$2:$J$5,7,FALSE),1,0)</f>
        <v>0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>
      <c r="A433" s="8">
        <v>45448</v>
      </c>
      <c r="B433" s="9">
        <v>0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f>MAX(-20,MIN(10,$A433-VLOOKUP(YEAR($A433),'Festive dates'!$A$2:$J$5,8,FALSE)))</f>
        <v>-20</v>
      </c>
      <c r="R433" s="9">
        <f>IF(AND($A433&gt;VLOOKUP(YEAR($A433),'Festive dates'!$A$2:$J$5,2,FALSE),$A433&lt;VLOOKUP(YEAR($A433),'Festive dates'!$A$2:$J$5,3,FALSE)),1,0)</f>
        <v>0</v>
      </c>
      <c r="S433" s="9">
        <f>IF($A433=VLOOKUP(YEAR($A433),'Festive dates'!$A$2:$J$5,2,FALSE),1,0)</f>
        <v>0</v>
      </c>
      <c r="T433" s="9">
        <f>IF($A433=VLOOKUP(YEAR($A433),'Festive dates'!$A$2:$J$5,3,FALSE),1,0)</f>
        <v>0</v>
      </c>
      <c r="U433" s="9">
        <f>IF($A433=VLOOKUP(YEAR($A433),'Festive dates'!$A$2:$J$5,4,FALSE),1,0)</f>
        <v>0</v>
      </c>
      <c r="V433" s="9">
        <f>IF(AND($A433&gt;=VLOOKUP(YEAR($A433),'Festive dates'!$A$2:$J$5,9,FALSE),$A433&lt;=VLOOKUP(YEAR($A433),'Festive dates'!$A$2:$J$5,10,FALSE)),1,0)</f>
        <v>0</v>
      </c>
      <c r="W433" s="9">
        <f>IF($A433=VLOOKUP(YEAR($A433),'Festive dates'!$A$2:$J$5,7,FALSE),1,0)</f>
        <v>0</v>
      </c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>
      <c r="A434" s="8">
        <v>45449</v>
      </c>
      <c r="B434" s="9">
        <v>0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f>MAX(-20,MIN(10,$A434-VLOOKUP(YEAR($A434),'Festive dates'!$A$2:$J$5,8,FALSE)))</f>
        <v>-20</v>
      </c>
      <c r="R434" s="9">
        <f>IF(AND($A434&gt;VLOOKUP(YEAR($A434),'Festive dates'!$A$2:$J$5,2,FALSE),$A434&lt;VLOOKUP(YEAR($A434),'Festive dates'!$A$2:$J$5,3,FALSE)),1,0)</f>
        <v>0</v>
      </c>
      <c r="S434" s="9">
        <f>IF($A434=VLOOKUP(YEAR($A434),'Festive dates'!$A$2:$J$5,2,FALSE),1,0)</f>
        <v>0</v>
      </c>
      <c r="T434" s="9">
        <f>IF($A434=VLOOKUP(YEAR($A434),'Festive dates'!$A$2:$J$5,3,FALSE),1,0)</f>
        <v>0</v>
      </c>
      <c r="U434" s="9">
        <f>IF($A434=VLOOKUP(YEAR($A434),'Festive dates'!$A$2:$J$5,4,FALSE),1,0)</f>
        <v>0</v>
      </c>
      <c r="V434" s="9">
        <f>IF(AND($A434&gt;=VLOOKUP(YEAR($A434),'Festive dates'!$A$2:$J$5,9,FALSE),$A434&lt;=VLOOKUP(YEAR($A434),'Festive dates'!$A$2:$J$5,10,FALSE)),1,0)</f>
        <v>0</v>
      </c>
      <c r="W434" s="9">
        <f>IF($A434=VLOOKUP(YEAR($A434),'Festive dates'!$A$2:$J$5,7,FALSE),1,0)</f>
        <v>0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>
      <c r="A435" s="8">
        <v>45450</v>
      </c>
      <c r="B435" s="9">
        <v>0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f>MAX(-20,MIN(10,$A435-VLOOKUP(YEAR($A435),'Festive dates'!$A$2:$J$5,8,FALSE)))</f>
        <v>-20</v>
      </c>
      <c r="R435" s="9">
        <f>IF(AND($A435&gt;VLOOKUP(YEAR($A435),'Festive dates'!$A$2:$J$5,2,FALSE),$A435&lt;VLOOKUP(YEAR($A435),'Festive dates'!$A$2:$J$5,3,FALSE)),1,0)</f>
        <v>0</v>
      </c>
      <c r="S435" s="9">
        <f>IF($A435=VLOOKUP(YEAR($A435),'Festive dates'!$A$2:$J$5,2,FALSE),1,0)</f>
        <v>0</v>
      </c>
      <c r="T435" s="9">
        <f>IF($A435=VLOOKUP(YEAR($A435),'Festive dates'!$A$2:$J$5,3,FALSE),1,0)</f>
        <v>0</v>
      </c>
      <c r="U435" s="9">
        <f>IF($A435=VLOOKUP(YEAR($A435),'Festive dates'!$A$2:$J$5,4,FALSE),1,0)</f>
        <v>0</v>
      </c>
      <c r="V435" s="9">
        <f>IF(AND($A435&gt;=VLOOKUP(YEAR($A435),'Festive dates'!$A$2:$J$5,9,FALSE),$A435&lt;=VLOOKUP(YEAR($A435),'Festive dates'!$A$2:$J$5,10,FALSE)),1,0)</f>
        <v>0</v>
      </c>
      <c r="W435" s="9">
        <f>IF($A435=VLOOKUP(YEAR($A435),'Festive dates'!$A$2:$J$5,7,FALSE),1,0)</f>
        <v>0</v>
      </c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>
      <c r="A436" s="8">
        <v>45451</v>
      </c>
      <c r="B436" s="9">
        <v>0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f>MAX(-20,MIN(10,$A436-VLOOKUP(YEAR($A436),'Festive dates'!$A$2:$J$5,8,FALSE)))</f>
        <v>-20</v>
      </c>
      <c r="R436" s="9">
        <f>IF(AND($A436&gt;VLOOKUP(YEAR($A436),'Festive dates'!$A$2:$J$5,2,FALSE),$A436&lt;VLOOKUP(YEAR($A436),'Festive dates'!$A$2:$J$5,3,FALSE)),1,0)</f>
        <v>0</v>
      </c>
      <c r="S436" s="9">
        <f>IF($A436=VLOOKUP(YEAR($A436),'Festive dates'!$A$2:$J$5,2,FALSE),1,0)</f>
        <v>0</v>
      </c>
      <c r="T436" s="9">
        <f>IF($A436=VLOOKUP(YEAR($A436),'Festive dates'!$A$2:$J$5,3,FALSE),1,0)</f>
        <v>0</v>
      </c>
      <c r="U436" s="9">
        <f>IF($A436=VLOOKUP(YEAR($A436),'Festive dates'!$A$2:$J$5,4,FALSE),1,0)</f>
        <v>0</v>
      </c>
      <c r="V436" s="9">
        <f>IF(AND($A436&gt;=VLOOKUP(YEAR($A436),'Festive dates'!$A$2:$J$5,9,FALSE),$A436&lt;=VLOOKUP(YEAR($A436),'Festive dates'!$A$2:$J$5,10,FALSE)),1,0)</f>
        <v>0</v>
      </c>
      <c r="W436" s="9">
        <f>IF($A436=VLOOKUP(YEAR($A436),'Festive dates'!$A$2:$J$5,7,FALSE),1,0)</f>
        <v>0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>
      <c r="A437" s="8">
        <v>45452</v>
      </c>
      <c r="B437" s="9">
        <v>0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f>MAX(-20,MIN(10,$A437-VLOOKUP(YEAR($A437),'Festive dates'!$A$2:$J$5,8,FALSE)))</f>
        <v>-20</v>
      </c>
      <c r="R437" s="9">
        <f>IF(AND($A437&gt;VLOOKUP(YEAR($A437),'Festive dates'!$A$2:$J$5,2,FALSE),$A437&lt;VLOOKUP(YEAR($A437),'Festive dates'!$A$2:$J$5,3,FALSE)),1,0)</f>
        <v>0</v>
      </c>
      <c r="S437" s="9">
        <f>IF($A437=VLOOKUP(YEAR($A437),'Festive dates'!$A$2:$J$5,2,FALSE),1,0)</f>
        <v>0</v>
      </c>
      <c r="T437" s="9">
        <f>IF($A437=VLOOKUP(YEAR($A437),'Festive dates'!$A$2:$J$5,3,FALSE),1,0)</f>
        <v>0</v>
      </c>
      <c r="U437" s="9">
        <f>IF($A437=VLOOKUP(YEAR($A437),'Festive dates'!$A$2:$J$5,4,FALSE),1,0)</f>
        <v>0</v>
      </c>
      <c r="V437" s="9">
        <f>IF(AND($A437&gt;=VLOOKUP(YEAR($A437),'Festive dates'!$A$2:$J$5,9,FALSE),$A437&lt;=VLOOKUP(YEAR($A437),'Festive dates'!$A$2:$J$5,10,FALSE)),1,0)</f>
        <v>0</v>
      </c>
      <c r="W437" s="9">
        <f>IF($A437=VLOOKUP(YEAR($A437),'Festive dates'!$A$2:$J$5,7,FALSE),1,0)</f>
        <v>0</v>
      </c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>
      <c r="A438" s="8">
        <v>45453</v>
      </c>
      <c r="B438" s="9">
        <v>0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f>MAX(-20,MIN(10,$A438-VLOOKUP(YEAR($A438),'Festive dates'!$A$2:$J$5,8,FALSE)))</f>
        <v>-20</v>
      </c>
      <c r="R438" s="9">
        <f>IF(AND($A438&gt;VLOOKUP(YEAR($A438),'Festive dates'!$A$2:$J$5,2,FALSE),$A438&lt;VLOOKUP(YEAR($A438),'Festive dates'!$A$2:$J$5,3,FALSE)),1,0)</f>
        <v>0</v>
      </c>
      <c r="S438" s="9">
        <f>IF($A438=VLOOKUP(YEAR($A438),'Festive dates'!$A$2:$J$5,2,FALSE),1,0)</f>
        <v>0</v>
      </c>
      <c r="T438" s="9">
        <f>IF($A438=VLOOKUP(YEAR($A438),'Festive dates'!$A$2:$J$5,3,FALSE),1,0)</f>
        <v>0</v>
      </c>
      <c r="U438" s="9">
        <f>IF($A438=VLOOKUP(YEAR($A438),'Festive dates'!$A$2:$J$5,4,FALSE),1,0)</f>
        <v>0</v>
      </c>
      <c r="V438" s="9">
        <f>IF(AND($A438&gt;=VLOOKUP(YEAR($A438),'Festive dates'!$A$2:$J$5,9,FALSE),$A438&lt;=VLOOKUP(YEAR($A438),'Festive dates'!$A$2:$J$5,10,FALSE)),1,0)</f>
        <v>0</v>
      </c>
      <c r="W438" s="9">
        <f>IF($A438=VLOOKUP(YEAR($A438),'Festive dates'!$A$2:$J$5,7,FALSE),1,0)</f>
        <v>0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>
      <c r="A439" s="8">
        <v>45454</v>
      </c>
      <c r="B439" s="9">
        <v>0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f>MAX(-20,MIN(10,$A439-VLOOKUP(YEAR($A439),'Festive dates'!$A$2:$J$5,8,FALSE)))</f>
        <v>-20</v>
      </c>
      <c r="R439" s="9">
        <f>IF(AND($A439&gt;VLOOKUP(YEAR($A439),'Festive dates'!$A$2:$J$5,2,FALSE),$A439&lt;VLOOKUP(YEAR($A439),'Festive dates'!$A$2:$J$5,3,FALSE)),1,0)</f>
        <v>0</v>
      </c>
      <c r="S439" s="9">
        <f>IF($A439=VLOOKUP(YEAR($A439),'Festive dates'!$A$2:$J$5,2,FALSE),1,0)</f>
        <v>0</v>
      </c>
      <c r="T439" s="9">
        <f>IF($A439=VLOOKUP(YEAR($A439),'Festive dates'!$A$2:$J$5,3,FALSE),1,0)</f>
        <v>0</v>
      </c>
      <c r="U439" s="9">
        <f>IF($A439=VLOOKUP(YEAR($A439),'Festive dates'!$A$2:$J$5,4,FALSE),1,0)</f>
        <v>0</v>
      </c>
      <c r="V439" s="9">
        <f>IF(AND($A439&gt;=VLOOKUP(YEAR($A439),'Festive dates'!$A$2:$J$5,9,FALSE),$A439&lt;=VLOOKUP(YEAR($A439),'Festive dates'!$A$2:$J$5,10,FALSE)),1,0)</f>
        <v>0</v>
      </c>
      <c r="W439" s="9">
        <f>IF($A439=VLOOKUP(YEAR($A439),'Festive dates'!$A$2:$J$5,7,FALSE),1,0)</f>
        <v>0</v>
      </c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>
      <c r="A440" s="8">
        <v>45455</v>
      </c>
      <c r="B440" s="9">
        <v>0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f>MAX(-20,MIN(10,$A440-VLOOKUP(YEAR($A440),'Festive dates'!$A$2:$J$5,8,FALSE)))</f>
        <v>-20</v>
      </c>
      <c r="R440" s="9">
        <f>IF(AND($A440&gt;VLOOKUP(YEAR($A440),'Festive dates'!$A$2:$J$5,2,FALSE),$A440&lt;VLOOKUP(YEAR($A440),'Festive dates'!$A$2:$J$5,3,FALSE)),1,0)</f>
        <v>0</v>
      </c>
      <c r="S440" s="9">
        <f>IF($A440=VLOOKUP(YEAR($A440),'Festive dates'!$A$2:$J$5,2,FALSE),1,0)</f>
        <v>0</v>
      </c>
      <c r="T440" s="9">
        <f>IF($A440=VLOOKUP(YEAR($A440),'Festive dates'!$A$2:$J$5,3,FALSE),1,0)</f>
        <v>0</v>
      </c>
      <c r="U440" s="9">
        <f>IF($A440=VLOOKUP(YEAR($A440),'Festive dates'!$A$2:$J$5,4,FALSE),1,0)</f>
        <v>0</v>
      </c>
      <c r="V440" s="9">
        <f>IF(AND($A440&gt;=VLOOKUP(YEAR($A440),'Festive dates'!$A$2:$J$5,9,FALSE),$A440&lt;=VLOOKUP(YEAR($A440),'Festive dates'!$A$2:$J$5,10,FALSE)),1,0)</f>
        <v>0</v>
      </c>
      <c r="W440" s="9">
        <f>IF($A440=VLOOKUP(YEAR($A440),'Festive dates'!$A$2:$J$5,7,FALSE),1,0)</f>
        <v>0</v>
      </c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>
      <c r="A441" s="8">
        <v>45456</v>
      </c>
      <c r="B441" s="9">
        <v>0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f>MAX(-20,MIN(10,$A441-VLOOKUP(YEAR($A441),'Festive dates'!$A$2:$J$5,8,FALSE)))</f>
        <v>-20</v>
      </c>
      <c r="R441" s="9">
        <f>IF(AND($A441&gt;VLOOKUP(YEAR($A441),'Festive dates'!$A$2:$J$5,2,FALSE),$A441&lt;VLOOKUP(YEAR($A441),'Festive dates'!$A$2:$J$5,3,FALSE)),1,0)</f>
        <v>0</v>
      </c>
      <c r="S441" s="9">
        <f>IF($A441=VLOOKUP(YEAR($A441),'Festive dates'!$A$2:$J$5,2,FALSE),1,0)</f>
        <v>0</v>
      </c>
      <c r="T441" s="9">
        <f>IF($A441=VLOOKUP(YEAR($A441),'Festive dates'!$A$2:$J$5,3,FALSE),1,0)</f>
        <v>0</v>
      </c>
      <c r="U441" s="9">
        <f>IF($A441=VLOOKUP(YEAR($A441),'Festive dates'!$A$2:$J$5,4,FALSE),1,0)</f>
        <v>0</v>
      </c>
      <c r="V441" s="9">
        <f>IF(AND($A441&gt;=VLOOKUP(YEAR($A441),'Festive dates'!$A$2:$J$5,9,FALSE),$A441&lt;=VLOOKUP(YEAR($A441),'Festive dates'!$A$2:$J$5,10,FALSE)),1,0)</f>
        <v>0</v>
      </c>
      <c r="W441" s="9">
        <f>IF($A441=VLOOKUP(YEAR($A441),'Festive dates'!$A$2:$J$5,7,FALSE),1,0)</f>
        <v>0</v>
      </c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>
      <c r="A442" s="8">
        <v>45457</v>
      </c>
      <c r="B442" s="9">
        <v>0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f>MAX(-20,MIN(10,$A442-VLOOKUP(YEAR($A442),'Festive dates'!$A$2:$J$5,8,FALSE)))</f>
        <v>-20</v>
      </c>
      <c r="R442" s="9">
        <f>IF(AND($A442&gt;VLOOKUP(YEAR($A442),'Festive dates'!$A$2:$J$5,2,FALSE),$A442&lt;VLOOKUP(YEAR($A442),'Festive dates'!$A$2:$J$5,3,FALSE)),1,0)</f>
        <v>0</v>
      </c>
      <c r="S442" s="9">
        <f>IF($A442=VLOOKUP(YEAR($A442),'Festive dates'!$A$2:$J$5,2,FALSE),1,0)</f>
        <v>0</v>
      </c>
      <c r="T442" s="9">
        <f>IF($A442=VLOOKUP(YEAR($A442),'Festive dates'!$A$2:$J$5,3,FALSE),1,0)</f>
        <v>0</v>
      </c>
      <c r="U442" s="9">
        <f>IF($A442=VLOOKUP(YEAR($A442),'Festive dates'!$A$2:$J$5,4,FALSE),1,0)</f>
        <v>0</v>
      </c>
      <c r="V442" s="9">
        <f>IF(AND($A442&gt;=VLOOKUP(YEAR($A442),'Festive dates'!$A$2:$J$5,9,FALSE),$A442&lt;=VLOOKUP(YEAR($A442),'Festive dates'!$A$2:$J$5,10,FALSE)),1,0)</f>
        <v>0</v>
      </c>
      <c r="W442" s="9">
        <f>IF($A442=VLOOKUP(YEAR($A442),'Festive dates'!$A$2:$J$5,7,FALSE),1,0)</f>
        <v>0</v>
      </c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>
      <c r="A443" s="8">
        <v>45458</v>
      </c>
      <c r="B443" s="9">
        <v>0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f>MAX(-20,MIN(10,$A443-VLOOKUP(YEAR($A443),'Festive dates'!$A$2:$J$5,8,FALSE)))</f>
        <v>-20</v>
      </c>
      <c r="R443" s="9">
        <f>IF(AND($A443&gt;VLOOKUP(YEAR($A443),'Festive dates'!$A$2:$J$5,2,FALSE),$A443&lt;VLOOKUP(YEAR($A443),'Festive dates'!$A$2:$J$5,3,FALSE)),1,0)</f>
        <v>0</v>
      </c>
      <c r="S443" s="9">
        <f>IF($A443=VLOOKUP(YEAR($A443),'Festive dates'!$A$2:$J$5,2,FALSE),1,0)</f>
        <v>0</v>
      </c>
      <c r="T443" s="9">
        <f>IF($A443=VLOOKUP(YEAR($A443),'Festive dates'!$A$2:$J$5,3,FALSE),1,0)</f>
        <v>0</v>
      </c>
      <c r="U443" s="9">
        <f>IF($A443=VLOOKUP(YEAR($A443),'Festive dates'!$A$2:$J$5,4,FALSE),1,0)</f>
        <v>0</v>
      </c>
      <c r="V443" s="9">
        <f>IF(AND($A443&gt;=VLOOKUP(YEAR($A443),'Festive dates'!$A$2:$J$5,9,FALSE),$A443&lt;=VLOOKUP(YEAR($A443),'Festive dates'!$A$2:$J$5,10,FALSE)),1,0)</f>
        <v>0</v>
      </c>
      <c r="W443" s="9">
        <f>IF($A443=VLOOKUP(YEAR($A443),'Festive dates'!$A$2:$J$5,7,FALSE),1,0)</f>
        <v>0</v>
      </c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>
      <c r="A444" s="8">
        <v>45459</v>
      </c>
      <c r="B444" s="9">
        <v>0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1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f>MAX(-20,MIN(10,$A444-VLOOKUP(YEAR($A444),'Festive dates'!$A$2:$J$5,8,FALSE)))</f>
        <v>-20</v>
      </c>
      <c r="R444" s="9">
        <f>IF(AND($A444&gt;VLOOKUP(YEAR($A444),'Festive dates'!$A$2:$J$5,2,FALSE),$A444&lt;VLOOKUP(YEAR($A444),'Festive dates'!$A$2:$J$5,3,FALSE)),1,0)</f>
        <v>0</v>
      </c>
      <c r="S444" s="9">
        <f>IF($A444=VLOOKUP(YEAR($A444),'Festive dates'!$A$2:$J$5,2,FALSE),1,0)</f>
        <v>0</v>
      </c>
      <c r="T444" s="9">
        <f>IF($A444=VLOOKUP(YEAR($A444),'Festive dates'!$A$2:$J$5,3,FALSE),1,0)</f>
        <v>0</v>
      </c>
      <c r="U444" s="9">
        <f>IF($A444=VLOOKUP(YEAR($A444),'Festive dates'!$A$2:$J$5,4,FALSE),1,0)</f>
        <v>0</v>
      </c>
      <c r="V444" s="9">
        <f>IF(AND($A444&gt;=VLOOKUP(YEAR($A444),'Festive dates'!$A$2:$J$5,9,FALSE),$A444&lt;=VLOOKUP(YEAR($A444),'Festive dates'!$A$2:$J$5,10,FALSE)),1,0)</f>
        <v>0</v>
      </c>
      <c r="W444" s="9">
        <f>IF($A444=VLOOKUP(YEAR($A444),'Festive dates'!$A$2:$J$5,7,FALSE),1,0)</f>
        <v>0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>
      <c r="A445" s="8">
        <v>45460</v>
      </c>
      <c r="B445" s="9">
        <v>0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f>MAX(-20,MIN(10,$A445-VLOOKUP(YEAR($A445),'Festive dates'!$A$2:$J$5,8,FALSE)))</f>
        <v>-20</v>
      </c>
      <c r="R445" s="9">
        <f>IF(AND($A445&gt;VLOOKUP(YEAR($A445),'Festive dates'!$A$2:$J$5,2,FALSE),$A445&lt;VLOOKUP(YEAR($A445),'Festive dates'!$A$2:$J$5,3,FALSE)),1,0)</f>
        <v>0</v>
      </c>
      <c r="S445" s="9">
        <f>IF($A445=VLOOKUP(YEAR($A445),'Festive dates'!$A$2:$J$5,2,FALSE),1,0)</f>
        <v>0</v>
      </c>
      <c r="T445" s="9">
        <f>IF($A445=VLOOKUP(YEAR($A445),'Festive dates'!$A$2:$J$5,3,FALSE),1,0)</f>
        <v>0</v>
      </c>
      <c r="U445" s="9">
        <f>IF($A445=VLOOKUP(YEAR($A445),'Festive dates'!$A$2:$J$5,4,FALSE),1,0)</f>
        <v>0</v>
      </c>
      <c r="V445" s="9">
        <f>IF(AND($A445&gt;=VLOOKUP(YEAR($A445),'Festive dates'!$A$2:$J$5,9,FALSE),$A445&lt;=VLOOKUP(YEAR($A445),'Festive dates'!$A$2:$J$5,10,FALSE)),1,0)</f>
        <v>0</v>
      </c>
      <c r="W445" s="9">
        <f>IF($A445=VLOOKUP(YEAR($A445),'Festive dates'!$A$2:$J$5,7,FALSE),1,0)</f>
        <v>0</v>
      </c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>
      <c r="A446" s="8">
        <v>45461</v>
      </c>
      <c r="B446" s="9">
        <v>0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f>MAX(-20,MIN(10,$A446-VLOOKUP(YEAR($A446),'Festive dates'!$A$2:$J$5,8,FALSE)))</f>
        <v>-20</v>
      </c>
      <c r="R446" s="9">
        <f>IF(AND($A446&gt;VLOOKUP(YEAR($A446),'Festive dates'!$A$2:$J$5,2,FALSE),$A446&lt;VLOOKUP(YEAR($A446),'Festive dates'!$A$2:$J$5,3,FALSE)),1,0)</f>
        <v>0</v>
      </c>
      <c r="S446" s="9">
        <f>IF($A446=VLOOKUP(YEAR($A446),'Festive dates'!$A$2:$J$5,2,FALSE),1,0)</f>
        <v>0</v>
      </c>
      <c r="T446" s="9">
        <f>IF($A446=VLOOKUP(YEAR($A446),'Festive dates'!$A$2:$J$5,3,FALSE),1,0)</f>
        <v>0</v>
      </c>
      <c r="U446" s="9">
        <f>IF($A446=VLOOKUP(YEAR($A446),'Festive dates'!$A$2:$J$5,4,FALSE),1,0)</f>
        <v>0</v>
      </c>
      <c r="V446" s="9">
        <f>IF(AND($A446&gt;=VLOOKUP(YEAR($A446),'Festive dates'!$A$2:$J$5,9,FALSE),$A446&lt;=VLOOKUP(YEAR($A446),'Festive dates'!$A$2:$J$5,10,FALSE)),1,0)</f>
        <v>0</v>
      </c>
      <c r="W446" s="9">
        <f>IF($A446=VLOOKUP(YEAR($A446),'Festive dates'!$A$2:$J$5,7,FALSE),1,0)</f>
        <v>0</v>
      </c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>
      <c r="A447" s="8">
        <v>45462</v>
      </c>
      <c r="B447" s="9">
        <v>0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f>MAX(-20,MIN(10,$A447-VLOOKUP(YEAR($A447),'Festive dates'!$A$2:$J$5,8,FALSE)))</f>
        <v>-20</v>
      </c>
      <c r="R447" s="9">
        <f>IF(AND($A447&gt;VLOOKUP(YEAR($A447),'Festive dates'!$A$2:$J$5,2,FALSE),$A447&lt;VLOOKUP(YEAR($A447),'Festive dates'!$A$2:$J$5,3,FALSE)),1,0)</f>
        <v>0</v>
      </c>
      <c r="S447" s="9">
        <f>IF($A447=VLOOKUP(YEAR($A447),'Festive dates'!$A$2:$J$5,2,FALSE),1,0)</f>
        <v>0</v>
      </c>
      <c r="T447" s="9">
        <f>IF($A447=VLOOKUP(YEAR($A447),'Festive dates'!$A$2:$J$5,3,FALSE),1,0)</f>
        <v>0</v>
      </c>
      <c r="U447" s="9">
        <f>IF($A447=VLOOKUP(YEAR($A447),'Festive dates'!$A$2:$J$5,4,FALSE),1,0)</f>
        <v>0</v>
      </c>
      <c r="V447" s="9">
        <f>IF(AND($A447&gt;=VLOOKUP(YEAR($A447),'Festive dates'!$A$2:$J$5,9,FALSE),$A447&lt;=VLOOKUP(YEAR($A447),'Festive dates'!$A$2:$J$5,10,FALSE)),1,0)</f>
        <v>0</v>
      </c>
      <c r="W447" s="9">
        <f>IF($A447=VLOOKUP(YEAR($A447),'Festive dates'!$A$2:$J$5,7,FALSE),1,0)</f>
        <v>0</v>
      </c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>
      <c r="A448" s="8">
        <v>45463</v>
      </c>
      <c r="B448" s="9">
        <v>0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f>MAX(-20,MIN(10,$A448-VLOOKUP(YEAR($A448),'Festive dates'!$A$2:$J$5,8,FALSE)))</f>
        <v>-20</v>
      </c>
      <c r="R448" s="9">
        <f>IF(AND($A448&gt;VLOOKUP(YEAR($A448),'Festive dates'!$A$2:$J$5,2,FALSE),$A448&lt;VLOOKUP(YEAR($A448),'Festive dates'!$A$2:$J$5,3,FALSE)),1,0)</f>
        <v>0</v>
      </c>
      <c r="S448" s="9">
        <f>IF($A448=VLOOKUP(YEAR($A448),'Festive dates'!$A$2:$J$5,2,FALSE),1,0)</f>
        <v>0</v>
      </c>
      <c r="T448" s="9">
        <f>IF($A448=VLOOKUP(YEAR($A448),'Festive dates'!$A$2:$J$5,3,FALSE),1,0)</f>
        <v>0</v>
      </c>
      <c r="U448" s="9">
        <f>IF($A448=VLOOKUP(YEAR($A448),'Festive dates'!$A$2:$J$5,4,FALSE),1,0)</f>
        <v>0</v>
      </c>
      <c r="V448" s="9">
        <f>IF(AND($A448&gt;=VLOOKUP(YEAR($A448),'Festive dates'!$A$2:$J$5,9,FALSE),$A448&lt;=VLOOKUP(YEAR($A448),'Festive dates'!$A$2:$J$5,10,FALSE)),1,0)</f>
        <v>0</v>
      </c>
      <c r="W448" s="9">
        <f>IF($A448=VLOOKUP(YEAR($A448),'Festive dates'!$A$2:$J$5,7,FALSE),1,0)</f>
        <v>0</v>
      </c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>
      <c r="A449" s="8">
        <v>45464</v>
      </c>
      <c r="B449" s="9">
        <v>0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f>MAX(-20,MIN(10,$A449-VLOOKUP(YEAR($A449),'Festive dates'!$A$2:$J$5,8,FALSE)))</f>
        <v>-20</v>
      </c>
      <c r="R449" s="9">
        <f>IF(AND($A449&gt;VLOOKUP(YEAR($A449),'Festive dates'!$A$2:$J$5,2,FALSE),$A449&lt;VLOOKUP(YEAR($A449),'Festive dates'!$A$2:$J$5,3,FALSE)),1,0)</f>
        <v>0</v>
      </c>
      <c r="S449" s="9">
        <f>IF($A449=VLOOKUP(YEAR($A449),'Festive dates'!$A$2:$J$5,2,FALSE),1,0)</f>
        <v>0</v>
      </c>
      <c r="T449" s="9">
        <f>IF($A449=VLOOKUP(YEAR($A449),'Festive dates'!$A$2:$J$5,3,FALSE),1,0)</f>
        <v>0</v>
      </c>
      <c r="U449" s="9">
        <f>IF($A449=VLOOKUP(YEAR($A449),'Festive dates'!$A$2:$J$5,4,FALSE),1,0)</f>
        <v>0</v>
      </c>
      <c r="V449" s="9">
        <f>IF(AND($A449&gt;=VLOOKUP(YEAR($A449),'Festive dates'!$A$2:$J$5,9,FALSE),$A449&lt;=VLOOKUP(YEAR($A449),'Festive dates'!$A$2:$J$5,10,FALSE)),1,0)</f>
        <v>0</v>
      </c>
      <c r="W449" s="9">
        <f>IF($A449=VLOOKUP(YEAR($A449),'Festive dates'!$A$2:$J$5,7,FALSE),1,0)</f>
        <v>0</v>
      </c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>
      <c r="A450" s="8">
        <v>45465</v>
      </c>
      <c r="B450" s="9">
        <v>0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f>MAX(-20,MIN(10,$A450-VLOOKUP(YEAR($A450),'Festive dates'!$A$2:$J$5,8,FALSE)))</f>
        <v>-20</v>
      </c>
      <c r="R450" s="9">
        <f>IF(AND($A450&gt;VLOOKUP(YEAR($A450),'Festive dates'!$A$2:$J$5,2,FALSE),$A450&lt;VLOOKUP(YEAR($A450),'Festive dates'!$A$2:$J$5,3,FALSE)),1,0)</f>
        <v>0</v>
      </c>
      <c r="S450" s="9">
        <f>IF($A450=VLOOKUP(YEAR($A450),'Festive dates'!$A$2:$J$5,2,FALSE),1,0)</f>
        <v>0</v>
      </c>
      <c r="T450" s="9">
        <f>IF($A450=VLOOKUP(YEAR($A450),'Festive dates'!$A$2:$J$5,3,FALSE),1,0)</f>
        <v>0</v>
      </c>
      <c r="U450" s="9">
        <f>IF($A450=VLOOKUP(YEAR($A450),'Festive dates'!$A$2:$J$5,4,FALSE),1,0)</f>
        <v>0</v>
      </c>
      <c r="V450" s="9">
        <f>IF(AND($A450&gt;=VLOOKUP(YEAR($A450),'Festive dates'!$A$2:$J$5,9,FALSE),$A450&lt;=VLOOKUP(YEAR($A450),'Festive dates'!$A$2:$J$5,10,FALSE)),1,0)</f>
        <v>0</v>
      </c>
      <c r="W450" s="9">
        <f>IF($A450=VLOOKUP(YEAR($A450),'Festive dates'!$A$2:$J$5,7,FALSE),1,0)</f>
        <v>0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>
      <c r="A451" s="8">
        <v>45466</v>
      </c>
      <c r="B451" s="9">
        <v>0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f>MAX(-20,MIN(10,$A451-VLOOKUP(YEAR($A451),'Festive dates'!$A$2:$J$5,8,FALSE)))</f>
        <v>-20</v>
      </c>
      <c r="R451" s="9">
        <f>IF(AND($A451&gt;VLOOKUP(YEAR($A451),'Festive dates'!$A$2:$J$5,2,FALSE),$A451&lt;VLOOKUP(YEAR($A451),'Festive dates'!$A$2:$J$5,3,FALSE)),1,0)</f>
        <v>0</v>
      </c>
      <c r="S451" s="9">
        <f>IF($A451=VLOOKUP(YEAR($A451),'Festive dates'!$A$2:$J$5,2,FALSE),1,0)</f>
        <v>0</v>
      </c>
      <c r="T451" s="9">
        <f>IF($A451=VLOOKUP(YEAR($A451),'Festive dates'!$A$2:$J$5,3,FALSE),1,0)</f>
        <v>0</v>
      </c>
      <c r="U451" s="9">
        <f>IF($A451=VLOOKUP(YEAR($A451),'Festive dates'!$A$2:$J$5,4,FALSE),1,0)</f>
        <v>0</v>
      </c>
      <c r="V451" s="9">
        <f>IF(AND($A451&gt;=VLOOKUP(YEAR($A451),'Festive dates'!$A$2:$J$5,9,FALSE),$A451&lt;=VLOOKUP(YEAR($A451),'Festive dates'!$A$2:$J$5,10,FALSE)),1,0)</f>
        <v>0</v>
      </c>
      <c r="W451" s="9">
        <f>IF($A451=VLOOKUP(YEAR($A451),'Festive dates'!$A$2:$J$5,7,FALSE),1,0)</f>
        <v>0</v>
      </c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>
      <c r="A452" s="8">
        <v>45467</v>
      </c>
      <c r="B452" s="9">
        <v>0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f>MAX(-20,MIN(10,$A452-VLOOKUP(YEAR($A452),'Festive dates'!$A$2:$J$5,8,FALSE)))</f>
        <v>-20</v>
      </c>
      <c r="R452" s="9">
        <f>IF(AND($A452&gt;VLOOKUP(YEAR($A452),'Festive dates'!$A$2:$J$5,2,FALSE),$A452&lt;VLOOKUP(YEAR($A452),'Festive dates'!$A$2:$J$5,3,FALSE)),1,0)</f>
        <v>0</v>
      </c>
      <c r="S452" s="9">
        <f>IF($A452=VLOOKUP(YEAR($A452),'Festive dates'!$A$2:$J$5,2,FALSE),1,0)</f>
        <v>0</v>
      </c>
      <c r="T452" s="9">
        <f>IF($A452=VLOOKUP(YEAR($A452),'Festive dates'!$A$2:$J$5,3,FALSE),1,0)</f>
        <v>0</v>
      </c>
      <c r="U452" s="9">
        <f>IF($A452=VLOOKUP(YEAR($A452),'Festive dates'!$A$2:$J$5,4,FALSE),1,0)</f>
        <v>0</v>
      </c>
      <c r="V452" s="9">
        <f>IF(AND($A452&gt;=VLOOKUP(YEAR($A452),'Festive dates'!$A$2:$J$5,9,FALSE),$A452&lt;=VLOOKUP(YEAR($A452),'Festive dates'!$A$2:$J$5,10,FALSE)),1,0)</f>
        <v>0</v>
      </c>
      <c r="W452" s="9">
        <f>IF($A452=VLOOKUP(YEAR($A452),'Festive dates'!$A$2:$J$5,7,FALSE),1,0)</f>
        <v>0</v>
      </c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>
      <c r="A453" s="8">
        <v>45468</v>
      </c>
      <c r="B453" s="9">
        <v>0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f>MAX(-20,MIN(10,$A453-VLOOKUP(YEAR($A453),'Festive dates'!$A$2:$J$5,8,FALSE)))</f>
        <v>-20</v>
      </c>
      <c r="R453" s="9">
        <f>IF(AND($A453&gt;VLOOKUP(YEAR($A453),'Festive dates'!$A$2:$J$5,2,FALSE),$A453&lt;VLOOKUP(YEAR($A453),'Festive dates'!$A$2:$J$5,3,FALSE)),1,0)</f>
        <v>0</v>
      </c>
      <c r="S453" s="9">
        <f>IF($A453=VLOOKUP(YEAR($A453),'Festive dates'!$A$2:$J$5,2,FALSE),1,0)</f>
        <v>0</v>
      </c>
      <c r="T453" s="9">
        <f>IF($A453=VLOOKUP(YEAR($A453),'Festive dates'!$A$2:$J$5,3,FALSE),1,0)</f>
        <v>0</v>
      </c>
      <c r="U453" s="9">
        <f>IF($A453=VLOOKUP(YEAR($A453),'Festive dates'!$A$2:$J$5,4,FALSE),1,0)</f>
        <v>0</v>
      </c>
      <c r="V453" s="9">
        <f>IF(AND($A453&gt;=VLOOKUP(YEAR($A453),'Festive dates'!$A$2:$J$5,9,FALSE),$A453&lt;=VLOOKUP(YEAR($A453),'Festive dates'!$A$2:$J$5,10,FALSE)),1,0)</f>
        <v>0</v>
      </c>
      <c r="W453" s="9">
        <f>IF($A453=VLOOKUP(YEAR($A453),'Festive dates'!$A$2:$J$5,7,FALSE),1,0)</f>
        <v>0</v>
      </c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>
      <c r="A454" s="8">
        <v>45469</v>
      </c>
      <c r="B454" s="9">
        <v>0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f>MAX(-20,MIN(10,$A454-VLOOKUP(YEAR($A454),'Festive dates'!$A$2:$J$5,8,FALSE)))</f>
        <v>-20</v>
      </c>
      <c r="R454" s="9">
        <f>IF(AND($A454&gt;VLOOKUP(YEAR($A454),'Festive dates'!$A$2:$J$5,2,FALSE),$A454&lt;VLOOKUP(YEAR($A454),'Festive dates'!$A$2:$J$5,3,FALSE)),1,0)</f>
        <v>0</v>
      </c>
      <c r="S454" s="9">
        <f>IF($A454=VLOOKUP(YEAR($A454),'Festive dates'!$A$2:$J$5,2,FALSE),1,0)</f>
        <v>0</v>
      </c>
      <c r="T454" s="9">
        <f>IF($A454=VLOOKUP(YEAR($A454),'Festive dates'!$A$2:$J$5,3,FALSE),1,0)</f>
        <v>0</v>
      </c>
      <c r="U454" s="9">
        <f>IF($A454=VLOOKUP(YEAR($A454),'Festive dates'!$A$2:$J$5,4,FALSE),1,0)</f>
        <v>0</v>
      </c>
      <c r="V454" s="9">
        <f>IF(AND($A454&gt;=VLOOKUP(YEAR($A454),'Festive dates'!$A$2:$J$5,9,FALSE),$A454&lt;=VLOOKUP(YEAR($A454),'Festive dates'!$A$2:$J$5,10,FALSE)),1,0)</f>
        <v>0</v>
      </c>
      <c r="W454" s="9">
        <f>IF($A454=VLOOKUP(YEAR($A454),'Festive dates'!$A$2:$J$5,7,FALSE),1,0)</f>
        <v>0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>
      <c r="A455" s="8">
        <v>45470</v>
      </c>
      <c r="B455" s="9">
        <v>0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f>MAX(-20,MIN(10,$A455-VLOOKUP(YEAR($A455),'Festive dates'!$A$2:$J$5,8,FALSE)))</f>
        <v>-20</v>
      </c>
      <c r="R455" s="9">
        <f>IF(AND($A455&gt;VLOOKUP(YEAR($A455),'Festive dates'!$A$2:$J$5,2,FALSE),$A455&lt;VLOOKUP(YEAR($A455),'Festive dates'!$A$2:$J$5,3,FALSE)),1,0)</f>
        <v>0</v>
      </c>
      <c r="S455" s="9">
        <f>IF($A455=VLOOKUP(YEAR($A455),'Festive dates'!$A$2:$J$5,2,FALSE),1,0)</f>
        <v>0</v>
      </c>
      <c r="T455" s="9">
        <f>IF($A455=VLOOKUP(YEAR($A455),'Festive dates'!$A$2:$J$5,3,FALSE),1,0)</f>
        <v>0</v>
      </c>
      <c r="U455" s="9">
        <f>IF($A455=VLOOKUP(YEAR($A455),'Festive dates'!$A$2:$J$5,4,FALSE),1,0)</f>
        <v>0</v>
      </c>
      <c r="V455" s="9">
        <f>IF(AND($A455&gt;=VLOOKUP(YEAR($A455),'Festive dates'!$A$2:$J$5,9,FALSE),$A455&lt;=VLOOKUP(YEAR($A455),'Festive dates'!$A$2:$J$5,10,FALSE)),1,0)</f>
        <v>0</v>
      </c>
      <c r="W455" s="9">
        <f>IF($A455=VLOOKUP(YEAR($A455),'Festive dates'!$A$2:$J$5,7,FALSE),1,0)</f>
        <v>0</v>
      </c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>
      <c r="A456" s="8">
        <v>45471</v>
      </c>
      <c r="B456" s="9">
        <v>0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f>MAX(-20,MIN(10,$A456-VLOOKUP(YEAR($A456),'Festive dates'!$A$2:$J$5,8,FALSE)))</f>
        <v>-20</v>
      </c>
      <c r="R456" s="9">
        <f>IF(AND($A456&gt;VLOOKUP(YEAR($A456),'Festive dates'!$A$2:$J$5,2,FALSE),$A456&lt;VLOOKUP(YEAR($A456),'Festive dates'!$A$2:$J$5,3,FALSE)),1,0)</f>
        <v>0</v>
      </c>
      <c r="S456" s="9">
        <f>IF($A456=VLOOKUP(YEAR($A456),'Festive dates'!$A$2:$J$5,2,FALSE),1,0)</f>
        <v>0</v>
      </c>
      <c r="T456" s="9">
        <f>IF($A456=VLOOKUP(YEAR($A456),'Festive dates'!$A$2:$J$5,3,FALSE),1,0)</f>
        <v>0</v>
      </c>
      <c r="U456" s="9">
        <f>IF($A456=VLOOKUP(YEAR($A456),'Festive dates'!$A$2:$J$5,4,FALSE),1,0)</f>
        <v>0</v>
      </c>
      <c r="V456" s="9">
        <f>IF(AND($A456&gt;=VLOOKUP(YEAR($A456),'Festive dates'!$A$2:$J$5,9,FALSE),$A456&lt;=VLOOKUP(YEAR($A456),'Festive dates'!$A$2:$J$5,10,FALSE)),1,0)</f>
        <v>0</v>
      </c>
      <c r="W456" s="9">
        <f>IF($A456=VLOOKUP(YEAR($A456),'Festive dates'!$A$2:$J$5,7,FALSE),1,0)</f>
        <v>0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>
      <c r="A457" s="8">
        <v>45472</v>
      </c>
      <c r="B457" s="9">
        <v>0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f>MAX(-20,MIN(10,$A457-VLOOKUP(YEAR($A457),'Festive dates'!$A$2:$J$5,8,FALSE)))</f>
        <v>-20</v>
      </c>
      <c r="R457" s="9">
        <f>IF(AND($A457&gt;VLOOKUP(YEAR($A457),'Festive dates'!$A$2:$J$5,2,FALSE),$A457&lt;VLOOKUP(YEAR($A457),'Festive dates'!$A$2:$J$5,3,FALSE)),1,0)</f>
        <v>0</v>
      </c>
      <c r="S457" s="9">
        <f>IF($A457=VLOOKUP(YEAR($A457),'Festive dates'!$A$2:$J$5,2,FALSE),1,0)</f>
        <v>0</v>
      </c>
      <c r="T457" s="9">
        <f>IF($A457=VLOOKUP(YEAR($A457),'Festive dates'!$A$2:$J$5,3,FALSE),1,0)</f>
        <v>0</v>
      </c>
      <c r="U457" s="9">
        <f>IF($A457=VLOOKUP(YEAR($A457),'Festive dates'!$A$2:$J$5,4,FALSE),1,0)</f>
        <v>0</v>
      </c>
      <c r="V457" s="9">
        <f>IF(AND($A457&gt;=VLOOKUP(YEAR($A457),'Festive dates'!$A$2:$J$5,9,FALSE),$A457&lt;=VLOOKUP(YEAR($A457),'Festive dates'!$A$2:$J$5,10,FALSE)),1,0)</f>
        <v>0</v>
      </c>
      <c r="W457" s="9">
        <f>IF($A457=VLOOKUP(YEAR($A457),'Festive dates'!$A$2:$J$5,7,FALSE),1,0)</f>
        <v>0</v>
      </c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>
      <c r="A458" s="8">
        <v>45473</v>
      </c>
      <c r="B458" s="9">
        <v>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f>MAX(-20,MIN(10,$A458-VLOOKUP(YEAR($A458),'Festive dates'!$A$2:$J$5,8,FALSE)))</f>
        <v>-20</v>
      </c>
      <c r="R458" s="9">
        <f>IF(AND($A458&gt;VLOOKUP(YEAR($A458),'Festive dates'!$A$2:$J$5,2,FALSE),$A458&lt;VLOOKUP(YEAR($A458),'Festive dates'!$A$2:$J$5,3,FALSE)),1,0)</f>
        <v>0</v>
      </c>
      <c r="S458" s="9">
        <f>IF($A458=VLOOKUP(YEAR($A458),'Festive dates'!$A$2:$J$5,2,FALSE),1,0)</f>
        <v>0</v>
      </c>
      <c r="T458" s="9">
        <f>IF($A458=VLOOKUP(YEAR($A458),'Festive dates'!$A$2:$J$5,3,FALSE),1,0)</f>
        <v>0</v>
      </c>
      <c r="U458" s="9">
        <f>IF($A458=VLOOKUP(YEAR($A458),'Festive dates'!$A$2:$J$5,4,FALSE),1,0)</f>
        <v>0</v>
      </c>
      <c r="V458" s="9">
        <f>IF(AND($A458&gt;=VLOOKUP(YEAR($A458),'Festive dates'!$A$2:$J$5,9,FALSE),$A458&lt;=VLOOKUP(YEAR($A458),'Festive dates'!$A$2:$J$5,10,FALSE)),1,0)</f>
        <v>0</v>
      </c>
      <c r="W458" s="9">
        <f>IF($A458=VLOOKUP(YEAR($A458),'Festive dates'!$A$2:$J$5,7,FALSE),1,0)</f>
        <v>0</v>
      </c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>
      <c r="A459" s="8">
        <v>45474</v>
      </c>
      <c r="B459" s="9">
        <v>0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f>MAX(-20,MIN(10,$A459-VLOOKUP(YEAR($A459),'Festive dates'!$A$2:$J$5,8,FALSE)))</f>
        <v>-20</v>
      </c>
      <c r="R459" s="9">
        <f>IF(AND($A459&gt;VLOOKUP(YEAR($A459),'Festive dates'!$A$2:$J$5,2,FALSE),$A459&lt;VLOOKUP(YEAR($A459),'Festive dates'!$A$2:$J$5,3,FALSE)),1,0)</f>
        <v>0</v>
      </c>
      <c r="S459" s="9">
        <f>IF($A459=VLOOKUP(YEAR($A459),'Festive dates'!$A$2:$J$5,2,FALSE),1,0)</f>
        <v>0</v>
      </c>
      <c r="T459" s="9">
        <f>IF($A459=VLOOKUP(YEAR($A459),'Festive dates'!$A$2:$J$5,3,FALSE),1,0)</f>
        <v>0</v>
      </c>
      <c r="U459" s="9">
        <f>IF($A459=VLOOKUP(YEAR($A459),'Festive dates'!$A$2:$J$5,4,FALSE),1,0)</f>
        <v>0</v>
      </c>
      <c r="V459" s="9">
        <f>IF(AND($A459&gt;=VLOOKUP(YEAR($A459),'Festive dates'!$A$2:$J$5,9,FALSE),$A459&lt;=VLOOKUP(YEAR($A459),'Festive dates'!$A$2:$J$5,10,FALSE)),1,0)</f>
        <v>0</v>
      </c>
      <c r="W459" s="9">
        <f>IF($A459=VLOOKUP(YEAR($A459),'Festive dates'!$A$2:$J$5,7,FALSE),1,0)</f>
        <v>0</v>
      </c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>
      <c r="A460" s="8">
        <v>45475</v>
      </c>
      <c r="B460" s="9">
        <v>0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1</v>
      </c>
      <c r="Q460" s="9">
        <f>MAX(-20,MIN(10,$A460-VLOOKUP(YEAR($A460),'Festive dates'!$A$2:$J$5,8,FALSE)))</f>
        <v>-20</v>
      </c>
      <c r="R460" s="9">
        <f>IF(AND($A460&gt;VLOOKUP(YEAR($A460),'Festive dates'!$A$2:$J$5,2,FALSE),$A460&lt;VLOOKUP(YEAR($A460),'Festive dates'!$A$2:$J$5,3,FALSE)),1,0)</f>
        <v>0</v>
      </c>
      <c r="S460" s="9">
        <f>IF($A460=VLOOKUP(YEAR($A460),'Festive dates'!$A$2:$J$5,2,FALSE),1,0)</f>
        <v>0</v>
      </c>
      <c r="T460" s="9">
        <f>IF($A460=VLOOKUP(YEAR($A460),'Festive dates'!$A$2:$J$5,3,FALSE),1,0)</f>
        <v>0</v>
      </c>
      <c r="U460" s="9">
        <f>IF($A460=VLOOKUP(YEAR($A460),'Festive dates'!$A$2:$J$5,4,FALSE),1,0)</f>
        <v>0</v>
      </c>
      <c r="V460" s="9">
        <f>IF(AND($A460&gt;=VLOOKUP(YEAR($A460),'Festive dates'!$A$2:$J$5,9,FALSE),$A460&lt;=VLOOKUP(YEAR($A460),'Festive dates'!$A$2:$J$5,10,FALSE)),1,0)</f>
        <v>0</v>
      </c>
      <c r="W460" s="9">
        <f>IF($A460=VLOOKUP(YEAR($A460),'Festive dates'!$A$2:$J$5,7,FALSE),1,0)</f>
        <v>0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>
      <c r="A461" s="8">
        <v>45476</v>
      </c>
      <c r="B461" s="9">
        <v>0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f>MAX(-20,MIN(10,$A461-VLOOKUP(YEAR($A461),'Festive dates'!$A$2:$J$5,8,FALSE)))</f>
        <v>-20</v>
      </c>
      <c r="R461" s="9">
        <f>IF(AND($A461&gt;VLOOKUP(YEAR($A461),'Festive dates'!$A$2:$J$5,2,FALSE),$A461&lt;VLOOKUP(YEAR($A461),'Festive dates'!$A$2:$J$5,3,FALSE)),1,0)</f>
        <v>0</v>
      </c>
      <c r="S461" s="9">
        <f>IF($A461=VLOOKUP(YEAR($A461),'Festive dates'!$A$2:$J$5,2,FALSE),1,0)</f>
        <v>0</v>
      </c>
      <c r="T461" s="9">
        <f>IF($A461=VLOOKUP(YEAR($A461),'Festive dates'!$A$2:$J$5,3,FALSE),1,0)</f>
        <v>0</v>
      </c>
      <c r="U461" s="9">
        <f>IF($A461=VLOOKUP(YEAR($A461),'Festive dates'!$A$2:$J$5,4,FALSE),1,0)</f>
        <v>0</v>
      </c>
      <c r="V461" s="9">
        <f>IF(AND($A461&gt;=VLOOKUP(YEAR($A461),'Festive dates'!$A$2:$J$5,9,FALSE),$A461&lt;=VLOOKUP(YEAR($A461),'Festive dates'!$A$2:$J$5,10,FALSE)),1,0)</f>
        <v>0</v>
      </c>
      <c r="W461" s="9">
        <f>IF($A461=VLOOKUP(YEAR($A461),'Festive dates'!$A$2:$J$5,7,FALSE),1,0)</f>
        <v>0</v>
      </c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>
      <c r="A462" s="8">
        <v>45477</v>
      </c>
      <c r="B462" s="9">
        <v>0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1</v>
      </c>
      <c r="Q462" s="9">
        <f>MAX(-20,MIN(10,$A462-VLOOKUP(YEAR($A462),'Festive dates'!$A$2:$J$5,8,FALSE)))</f>
        <v>-20</v>
      </c>
      <c r="R462" s="9">
        <f>IF(AND($A462&gt;VLOOKUP(YEAR($A462),'Festive dates'!$A$2:$J$5,2,FALSE),$A462&lt;VLOOKUP(YEAR($A462),'Festive dates'!$A$2:$J$5,3,FALSE)),1,0)</f>
        <v>0</v>
      </c>
      <c r="S462" s="9">
        <f>IF($A462=VLOOKUP(YEAR($A462),'Festive dates'!$A$2:$J$5,2,FALSE),1,0)</f>
        <v>0</v>
      </c>
      <c r="T462" s="9">
        <f>IF($A462=VLOOKUP(YEAR($A462),'Festive dates'!$A$2:$J$5,3,FALSE),1,0)</f>
        <v>0</v>
      </c>
      <c r="U462" s="9">
        <f>IF($A462=VLOOKUP(YEAR($A462),'Festive dates'!$A$2:$J$5,4,FALSE),1,0)</f>
        <v>0</v>
      </c>
      <c r="V462" s="9">
        <f>IF(AND($A462&gt;=VLOOKUP(YEAR($A462),'Festive dates'!$A$2:$J$5,9,FALSE),$A462&lt;=VLOOKUP(YEAR($A462),'Festive dates'!$A$2:$J$5,10,FALSE)),1,0)</f>
        <v>0</v>
      </c>
      <c r="W462" s="9">
        <f>IF($A462=VLOOKUP(YEAR($A462),'Festive dates'!$A$2:$J$5,7,FALSE),1,0)</f>
        <v>0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>
      <c r="A463" s="8">
        <v>45478</v>
      </c>
      <c r="B463" s="9">
        <v>0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f>MAX(-20,MIN(10,$A463-VLOOKUP(YEAR($A463),'Festive dates'!$A$2:$J$5,8,FALSE)))</f>
        <v>-20</v>
      </c>
      <c r="R463" s="9">
        <f>IF(AND($A463&gt;VLOOKUP(YEAR($A463),'Festive dates'!$A$2:$J$5,2,FALSE),$A463&lt;VLOOKUP(YEAR($A463),'Festive dates'!$A$2:$J$5,3,FALSE)),1,0)</f>
        <v>0</v>
      </c>
      <c r="S463" s="9">
        <f>IF($A463=VLOOKUP(YEAR($A463),'Festive dates'!$A$2:$J$5,2,FALSE),1,0)</f>
        <v>0</v>
      </c>
      <c r="T463" s="9">
        <f>IF($A463=VLOOKUP(YEAR($A463),'Festive dates'!$A$2:$J$5,3,FALSE),1,0)</f>
        <v>0</v>
      </c>
      <c r="U463" s="9">
        <f>IF($A463=VLOOKUP(YEAR($A463),'Festive dates'!$A$2:$J$5,4,FALSE),1,0)</f>
        <v>0</v>
      </c>
      <c r="V463" s="9">
        <f>IF(AND($A463&gt;=VLOOKUP(YEAR($A463),'Festive dates'!$A$2:$J$5,9,FALSE),$A463&lt;=VLOOKUP(YEAR($A463),'Festive dates'!$A$2:$J$5,10,FALSE)),1,0)</f>
        <v>0</v>
      </c>
      <c r="W463" s="9">
        <f>IF($A463=VLOOKUP(YEAR($A463),'Festive dates'!$A$2:$J$5,7,FALSE),1,0)</f>
        <v>0</v>
      </c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>
      <c r="A464" s="8">
        <v>45479</v>
      </c>
      <c r="B464" s="9">
        <v>0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1</v>
      </c>
      <c r="Q464" s="9">
        <f>MAX(-20,MIN(10,$A464-VLOOKUP(YEAR($A464),'Festive dates'!$A$2:$J$5,8,FALSE)))</f>
        <v>-20</v>
      </c>
      <c r="R464" s="9">
        <f>IF(AND($A464&gt;VLOOKUP(YEAR($A464),'Festive dates'!$A$2:$J$5,2,FALSE),$A464&lt;VLOOKUP(YEAR($A464),'Festive dates'!$A$2:$J$5,3,FALSE)),1,0)</f>
        <v>0</v>
      </c>
      <c r="S464" s="9">
        <f>IF($A464=VLOOKUP(YEAR($A464),'Festive dates'!$A$2:$J$5,2,FALSE),1,0)</f>
        <v>0</v>
      </c>
      <c r="T464" s="9">
        <f>IF($A464=VLOOKUP(YEAR($A464),'Festive dates'!$A$2:$J$5,3,FALSE),1,0)</f>
        <v>0</v>
      </c>
      <c r="U464" s="9">
        <f>IF($A464=VLOOKUP(YEAR($A464),'Festive dates'!$A$2:$J$5,4,FALSE),1,0)</f>
        <v>0</v>
      </c>
      <c r="V464" s="9">
        <f>IF(AND($A464&gt;=VLOOKUP(YEAR($A464),'Festive dates'!$A$2:$J$5,9,FALSE),$A464&lt;=VLOOKUP(YEAR($A464),'Festive dates'!$A$2:$J$5,10,FALSE)),1,0)</f>
        <v>0</v>
      </c>
      <c r="W464" s="9">
        <f>IF($A464=VLOOKUP(YEAR($A464),'Festive dates'!$A$2:$J$5,7,FALSE),1,0)</f>
        <v>0</v>
      </c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>
      <c r="A465" s="8">
        <v>45480</v>
      </c>
      <c r="B465" s="9">
        <v>0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1</v>
      </c>
      <c r="M465" s="9">
        <v>0</v>
      </c>
      <c r="N465" s="9">
        <v>0</v>
      </c>
      <c r="O465" s="9">
        <v>0</v>
      </c>
      <c r="P465" s="9">
        <v>1</v>
      </c>
      <c r="Q465" s="9">
        <f>MAX(-20,MIN(10,$A465-VLOOKUP(YEAR($A465),'Festive dates'!$A$2:$J$5,8,FALSE)))</f>
        <v>-20</v>
      </c>
      <c r="R465" s="9">
        <f>IF(AND($A465&gt;VLOOKUP(YEAR($A465),'Festive dates'!$A$2:$J$5,2,FALSE),$A465&lt;VLOOKUP(YEAR($A465),'Festive dates'!$A$2:$J$5,3,FALSE)),1,0)</f>
        <v>0</v>
      </c>
      <c r="S465" s="9">
        <f>IF($A465=VLOOKUP(YEAR($A465),'Festive dates'!$A$2:$J$5,2,FALSE),1,0)</f>
        <v>0</v>
      </c>
      <c r="T465" s="9">
        <f>IF($A465=VLOOKUP(YEAR($A465),'Festive dates'!$A$2:$J$5,3,FALSE),1,0)</f>
        <v>0</v>
      </c>
      <c r="U465" s="9">
        <f>IF($A465=VLOOKUP(YEAR($A465),'Festive dates'!$A$2:$J$5,4,FALSE),1,0)</f>
        <v>0</v>
      </c>
      <c r="V465" s="9">
        <f>IF(AND($A465&gt;=VLOOKUP(YEAR($A465),'Festive dates'!$A$2:$J$5,9,FALSE),$A465&lt;=VLOOKUP(YEAR($A465),'Festive dates'!$A$2:$J$5,10,FALSE)),1,0)</f>
        <v>0</v>
      </c>
      <c r="W465" s="9">
        <f>IF($A465=VLOOKUP(YEAR($A465),'Festive dates'!$A$2:$J$5,7,FALSE),1,0)</f>
        <v>0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>
      <c r="A466" s="8">
        <v>45481</v>
      </c>
      <c r="B466" s="9">
        <v>0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1</v>
      </c>
      <c r="Q466" s="9">
        <f>MAX(-20,MIN(10,$A466-VLOOKUP(YEAR($A466),'Festive dates'!$A$2:$J$5,8,FALSE)))</f>
        <v>-20</v>
      </c>
      <c r="R466" s="9">
        <f>IF(AND($A466&gt;VLOOKUP(YEAR($A466),'Festive dates'!$A$2:$J$5,2,FALSE),$A466&lt;VLOOKUP(YEAR($A466),'Festive dates'!$A$2:$J$5,3,FALSE)),1,0)</f>
        <v>0</v>
      </c>
      <c r="S466" s="9">
        <f>IF($A466=VLOOKUP(YEAR($A466),'Festive dates'!$A$2:$J$5,2,FALSE),1,0)</f>
        <v>0</v>
      </c>
      <c r="T466" s="9">
        <f>IF($A466=VLOOKUP(YEAR($A466),'Festive dates'!$A$2:$J$5,3,FALSE),1,0)</f>
        <v>0</v>
      </c>
      <c r="U466" s="9">
        <f>IF($A466=VLOOKUP(YEAR($A466),'Festive dates'!$A$2:$J$5,4,FALSE),1,0)</f>
        <v>0</v>
      </c>
      <c r="V466" s="9">
        <f>IF(AND($A466&gt;=VLOOKUP(YEAR($A466),'Festive dates'!$A$2:$J$5,9,FALSE),$A466&lt;=VLOOKUP(YEAR($A466),'Festive dates'!$A$2:$J$5,10,FALSE)),1,0)</f>
        <v>0</v>
      </c>
      <c r="W466" s="9">
        <f>IF($A466=VLOOKUP(YEAR($A466),'Festive dates'!$A$2:$J$5,7,FALSE),1,0)</f>
        <v>0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>
      <c r="A467" s="8">
        <v>45482</v>
      </c>
      <c r="B467" s="9">
        <v>0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f>MAX(-20,MIN(10,$A467-VLOOKUP(YEAR($A467),'Festive dates'!$A$2:$J$5,8,FALSE)))</f>
        <v>-20</v>
      </c>
      <c r="R467" s="9">
        <f>IF(AND($A467&gt;VLOOKUP(YEAR($A467),'Festive dates'!$A$2:$J$5,2,FALSE),$A467&lt;VLOOKUP(YEAR($A467),'Festive dates'!$A$2:$J$5,3,FALSE)),1,0)</f>
        <v>0</v>
      </c>
      <c r="S467" s="9">
        <f>IF($A467=VLOOKUP(YEAR($A467),'Festive dates'!$A$2:$J$5,2,FALSE),1,0)</f>
        <v>0</v>
      </c>
      <c r="T467" s="9">
        <f>IF($A467=VLOOKUP(YEAR($A467),'Festive dates'!$A$2:$J$5,3,FALSE),1,0)</f>
        <v>0</v>
      </c>
      <c r="U467" s="9">
        <f>IF($A467=VLOOKUP(YEAR($A467),'Festive dates'!$A$2:$J$5,4,FALSE),1,0)</f>
        <v>0</v>
      </c>
      <c r="V467" s="9">
        <f>IF(AND($A467&gt;=VLOOKUP(YEAR($A467),'Festive dates'!$A$2:$J$5,9,FALSE),$A467&lt;=VLOOKUP(YEAR($A467),'Festive dates'!$A$2:$J$5,10,FALSE)),1,0)</f>
        <v>0</v>
      </c>
      <c r="W467" s="9">
        <f>IF($A467=VLOOKUP(YEAR($A467),'Festive dates'!$A$2:$J$5,7,FALSE),1,0)</f>
        <v>0</v>
      </c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>
      <c r="A468" s="8">
        <v>45483</v>
      </c>
      <c r="B468" s="9">
        <v>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f>MAX(-20,MIN(10,$A468-VLOOKUP(YEAR($A468),'Festive dates'!$A$2:$J$5,8,FALSE)))</f>
        <v>-20</v>
      </c>
      <c r="R468" s="9">
        <f>IF(AND($A468&gt;VLOOKUP(YEAR($A468),'Festive dates'!$A$2:$J$5,2,FALSE),$A468&lt;VLOOKUP(YEAR($A468),'Festive dates'!$A$2:$J$5,3,FALSE)),1,0)</f>
        <v>0</v>
      </c>
      <c r="S468" s="9">
        <f>IF($A468=VLOOKUP(YEAR($A468),'Festive dates'!$A$2:$J$5,2,FALSE),1,0)</f>
        <v>0</v>
      </c>
      <c r="T468" s="9">
        <f>IF($A468=VLOOKUP(YEAR($A468),'Festive dates'!$A$2:$J$5,3,FALSE),1,0)</f>
        <v>0</v>
      </c>
      <c r="U468" s="9">
        <f>IF($A468=VLOOKUP(YEAR($A468),'Festive dates'!$A$2:$J$5,4,FALSE),1,0)</f>
        <v>0</v>
      </c>
      <c r="V468" s="9">
        <f>IF(AND($A468&gt;=VLOOKUP(YEAR($A468),'Festive dates'!$A$2:$J$5,9,FALSE),$A468&lt;=VLOOKUP(YEAR($A468),'Festive dates'!$A$2:$J$5,10,FALSE)),1,0)</f>
        <v>0</v>
      </c>
      <c r="W468" s="9">
        <f>IF($A468=VLOOKUP(YEAR($A468),'Festive dates'!$A$2:$J$5,7,FALSE),1,0)</f>
        <v>0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>
      <c r="A469" s="8">
        <v>45484</v>
      </c>
      <c r="B469" s="9">
        <v>0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f>MAX(-20,MIN(10,$A469-VLOOKUP(YEAR($A469),'Festive dates'!$A$2:$J$5,8,FALSE)))</f>
        <v>-20</v>
      </c>
      <c r="R469" s="9">
        <f>IF(AND($A469&gt;VLOOKUP(YEAR($A469),'Festive dates'!$A$2:$J$5,2,FALSE),$A469&lt;VLOOKUP(YEAR($A469),'Festive dates'!$A$2:$J$5,3,FALSE)),1,0)</f>
        <v>0</v>
      </c>
      <c r="S469" s="9">
        <f>IF($A469=VLOOKUP(YEAR($A469),'Festive dates'!$A$2:$J$5,2,FALSE),1,0)</f>
        <v>0</v>
      </c>
      <c r="T469" s="9">
        <f>IF($A469=VLOOKUP(YEAR($A469),'Festive dates'!$A$2:$J$5,3,FALSE),1,0)</f>
        <v>0</v>
      </c>
      <c r="U469" s="9">
        <f>IF($A469=VLOOKUP(YEAR($A469),'Festive dates'!$A$2:$J$5,4,FALSE),1,0)</f>
        <v>0</v>
      </c>
      <c r="V469" s="9">
        <f>IF(AND($A469&gt;=VLOOKUP(YEAR($A469),'Festive dates'!$A$2:$J$5,9,FALSE),$A469&lt;=VLOOKUP(YEAR($A469),'Festive dates'!$A$2:$J$5,10,FALSE)),1,0)</f>
        <v>0</v>
      </c>
      <c r="W469" s="9">
        <f>IF($A469=VLOOKUP(YEAR($A469),'Festive dates'!$A$2:$J$5,7,FALSE),1,0)</f>
        <v>0</v>
      </c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>
      <c r="A470" s="8">
        <v>45485</v>
      </c>
      <c r="B470" s="9">
        <v>0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f>MAX(-20,MIN(10,$A470-VLOOKUP(YEAR($A470),'Festive dates'!$A$2:$J$5,8,FALSE)))</f>
        <v>-20</v>
      </c>
      <c r="R470" s="9">
        <f>IF(AND($A470&gt;VLOOKUP(YEAR($A470),'Festive dates'!$A$2:$J$5,2,FALSE),$A470&lt;VLOOKUP(YEAR($A470),'Festive dates'!$A$2:$J$5,3,FALSE)),1,0)</f>
        <v>0</v>
      </c>
      <c r="S470" s="9">
        <f>IF($A470=VLOOKUP(YEAR($A470),'Festive dates'!$A$2:$J$5,2,FALSE),1,0)</f>
        <v>0</v>
      </c>
      <c r="T470" s="9">
        <f>IF($A470=VLOOKUP(YEAR($A470),'Festive dates'!$A$2:$J$5,3,FALSE),1,0)</f>
        <v>0</v>
      </c>
      <c r="U470" s="9">
        <f>IF($A470=VLOOKUP(YEAR($A470),'Festive dates'!$A$2:$J$5,4,FALSE),1,0)</f>
        <v>0</v>
      </c>
      <c r="V470" s="9">
        <f>IF(AND($A470&gt;=VLOOKUP(YEAR($A470),'Festive dates'!$A$2:$J$5,9,FALSE),$A470&lt;=VLOOKUP(YEAR($A470),'Festive dates'!$A$2:$J$5,10,FALSE)),1,0)</f>
        <v>0</v>
      </c>
      <c r="W470" s="9">
        <f>IF($A470=VLOOKUP(YEAR($A470),'Festive dates'!$A$2:$J$5,7,FALSE),1,0)</f>
        <v>0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>
      <c r="A471" s="8">
        <v>45486</v>
      </c>
      <c r="B471" s="9">
        <v>0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f>MAX(-20,MIN(10,$A471-VLOOKUP(YEAR($A471),'Festive dates'!$A$2:$J$5,8,FALSE)))</f>
        <v>-20</v>
      </c>
      <c r="R471" s="9">
        <f>IF(AND($A471&gt;VLOOKUP(YEAR($A471),'Festive dates'!$A$2:$J$5,2,FALSE),$A471&lt;VLOOKUP(YEAR($A471),'Festive dates'!$A$2:$J$5,3,FALSE)),1,0)</f>
        <v>0</v>
      </c>
      <c r="S471" s="9">
        <f>IF($A471=VLOOKUP(YEAR($A471),'Festive dates'!$A$2:$J$5,2,FALSE),1,0)</f>
        <v>0</v>
      </c>
      <c r="T471" s="9">
        <f>IF($A471=VLOOKUP(YEAR($A471),'Festive dates'!$A$2:$J$5,3,FALSE),1,0)</f>
        <v>0</v>
      </c>
      <c r="U471" s="9">
        <f>IF($A471=VLOOKUP(YEAR($A471),'Festive dates'!$A$2:$J$5,4,FALSE),1,0)</f>
        <v>0</v>
      </c>
      <c r="V471" s="9">
        <f>IF(AND($A471&gt;=VLOOKUP(YEAR($A471),'Festive dates'!$A$2:$J$5,9,FALSE),$A471&lt;=VLOOKUP(YEAR($A471),'Festive dates'!$A$2:$J$5,10,FALSE)),1,0)</f>
        <v>0</v>
      </c>
      <c r="W471" s="9">
        <f>IF($A471=VLOOKUP(YEAR($A471),'Festive dates'!$A$2:$J$5,7,FALSE),1,0)</f>
        <v>0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>
      <c r="A472" s="8">
        <v>45487</v>
      </c>
      <c r="B472" s="9">
        <v>0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f>MAX(-20,MIN(10,$A472-VLOOKUP(YEAR($A472),'Festive dates'!$A$2:$J$5,8,FALSE)))</f>
        <v>-20</v>
      </c>
      <c r="R472" s="9">
        <f>IF(AND($A472&gt;VLOOKUP(YEAR($A472),'Festive dates'!$A$2:$J$5,2,FALSE),$A472&lt;VLOOKUP(YEAR($A472),'Festive dates'!$A$2:$J$5,3,FALSE)),1,0)</f>
        <v>0</v>
      </c>
      <c r="S472" s="9">
        <f>IF($A472=VLOOKUP(YEAR($A472),'Festive dates'!$A$2:$J$5,2,FALSE),1,0)</f>
        <v>0</v>
      </c>
      <c r="T472" s="9">
        <f>IF($A472=VLOOKUP(YEAR($A472),'Festive dates'!$A$2:$J$5,3,FALSE),1,0)</f>
        <v>0</v>
      </c>
      <c r="U472" s="9">
        <f>IF($A472=VLOOKUP(YEAR($A472),'Festive dates'!$A$2:$J$5,4,FALSE),1,0)</f>
        <v>0</v>
      </c>
      <c r="V472" s="9">
        <f>IF(AND($A472&gt;=VLOOKUP(YEAR($A472),'Festive dates'!$A$2:$J$5,9,FALSE),$A472&lt;=VLOOKUP(YEAR($A472),'Festive dates'!$A$2:$J$5,10,FALSE)),1,0)</f>
        <v>0</v>
      </c>
      <c r="W472" s="9">
        <f>IF($A472=VLOOKUP(YEAR($A472),'Festive dates'!$A$2:$J$5,7,FALSE),1,0)</f>
        <v>0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>
      <c r="A473" s="8">
        <v>45488</v>
      </c>
      <c r="B473" s="9">
        <v>0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f>MAX(-20,MIN(10,$A473-VLOOKUP(YEAR($A473),'Festive dates'!$A$2:$J$5,8,FALSE)))</f>
        <v>-20</v>
      </c>
      <c r="R473" s="9">
        <f>IF(AND($A473&gt;VLOOKUP(YEAR($A473),'Festive dates'!$A$2:$J$5,2,FALSE),$A473&lt;VLOOKUP(YEAR($A473),'Festive dates'!$A$2:$J$5,3,FALSE)),1,0)</f>
        <v>0</v>
      </c>
      <c r="S473" s="9">
        <f>IF($A473=VLOOKUP(YEAR($A473),'Festive dates'!$A$2:$J$5,2,FALSE),1,0)</f>
        <v>0</v>
      </c>
      <c r="T473" s="9">
        <f>IF($A473=VLOOKUP(YEAR($A473),'Festive dates'!$A$2:$J$5,3,FALSE),1,0)</f>
        <v>0</v>
      </c>
      <c r="U473" s="9">
        <f>IF($A473=VLOOKUP(YEAR($A473),'Festive dates'!$A$2:$J$5,4,FALSE),1,0)</f>
        <v>0</v>
      </c>
      <c r="V473" s="9">
        <f>IF(AND($A473&gt;=VLOOKUP(YEAR($A473),'Festive dates'!$A$2:$J$5,9,FALSE),$A473&lt;=VLOOKUP(YEAR($A473),'Festive dates'!$A$2:$J$5,10,FALSE)),1,0)</f>
        <v>0</v>
      </c>
      <c r="W473" s="9">
        <f>IF($A473=VLOOKUP(YEAR($A473),'Festive dates'!$A$2:$J$5,7,FALSE),1,0)</f>
        <v>0</v>
      </c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>
      <c r="A474" s="8">
        <v>45489</v>
      </c>
      <c r="B474" s="9">
        <v>0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f>MAX(-20,MIN(10,$A474-VLOOKUP(YEAR($A474),'Festive dates'!$A$2:$J$5,8,FALSE)))</f>
        <v>-20</v>
      </c>
      <c r="R474" s="9">
        <f>IF(AND($A474&gt;VLOOKUP(YEAR($A474),'Festive dates'!$A$2:$J$5,2,FALSE),$A474&lt;VLOOKUP(YEAR($A474),'Festive dates'!$A$2:$J$5,3,FALSE)),1,0)</f>
        <v>0</v>
      </c>
      <c r="S474" s="9">
        <f>IF($A474=VLOOKUP(YEAR($A474),'Festive dates'!$A$2:$J$5,2,FALSE),1,0)</f>
        <v>0</v>
      </c>
      <c r="T474" s="9">
        <f>IF($A474=VLOOKUP(YEAR($A474),'Festive dates'!$A$2:$J$5,3,FALSE),1,0)</f>
        <v>0</v>
      </c>
      <c r="U474" s="9">
        <f>IF($A474=VLOOKUP(YEAR($A474),'Festive dates'!$A$2:$J$5,4,FALSE),1,0)</f>
        <v>0</v>
      </c>
      <c r="V474" s="9">
        <f>IF(AND($A474&gt;=VLOOKUP(YEAR($A474),'Festive dates'!$A$2:$J$5,9,FALSE),$A474&lt;=VLOOKUP(YEAR($A474),'Festive dates'!$A$2:$J$5,10,FALSE)),1,0)</f>
        <v>0</v>
      </c>
      <c r="W474" s="9">
        <f>IF($A474=VLOOKUP(YEAR($A474),'Festive dates'!$A$2:$J$5,7,FALSE),1,0)</f>
        <v>0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>
      <c r="A475" s="8">
        <v>45490</v>
      </c>
      <c r="B475" s="9">
        <v>0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f>MAX(-20,MIN(10,$A475-VLOOKUP(YEAR($A475),'Festive dates'!$A$2:$J$5,8,FALSE)))</f>
        <v>-20</v>
      </c>
      <c r="R475" s="9">
        <f>IF(AND($A475&gt;VLOOKUP(YEAR($A475),'Festive dates'!$A$2:$J$5,2,FALSE),$A475&lt;VLOOKUP(YEAR($A475),'Festive dates'!$A$2:$J$5,3,FALSE)),1,0)</f>
        <v>0</v>
      </c>
      <c r="S475" s="9">
        <f>IF($A475=VLOOKUP(YEAR($A475),'Festive dates'!$A$2:$J$5,2,FALSE),1,0)</f>
        <v>0</v>
      </c>
      <c r="T475" s="9">
        <f>IF($A475=VLOOKUP(YEAR($A475),'Festive dates'!$A$2:$J$5,3,FALSE),1,0)</f>
        <v>0</v>
      </c>
      <c r="U475" s="9">
        <f>IF($A475=VLOOKUP(YEAR($A475),'Festive dates'!$A$2:$J$5,4,FALSE),1,0)</f>
        <v>0</v>
      </c>
      <c r="V475" s="9">
        <f>IF(AND($A475&gt;=VLOOKUP(YEAR($A475),'Festive dates'!$A$2:$J$5,9,FALSE),$A475&lt;=VLOOKUP(YEAR($A475),'Festive dates'!$A$2:$J$5,10,FALSE)),1,0)</f>
        <v>0</v>
      </c>
      <c r="W475" s="9">
        <f>IF($A475=VLOOKUP(YEAR($A475),'Festive dates'!$A$2:$J$5,7,FALSE),1,0)</f>
        <v>0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>
      <c r="A476" s="8">
        <v>45491</v>
      </c>
      <c r="B476" s="9">
        <v>0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f>MAX(-20,MIN(10,$A476-VLOOKUP(YEAR($A476),'Festive dates'!$A$2:$J$5,8,FALSE)))</f>
        <v>-20</v>
      </c>
      <c r="R476" s="9">
        <f>IF(AND($A476&gt;VLOOKUP(YEAR($A476),'Festive dates'!$A$2:$J$5,2,FALSE),$A476&lt;VLOOKUP(YEAR($A476),'Festive dates'!$A$2:$J$5,3,FALSE)),1,0)</f>
        <v>0</v>
      </c>
      <c r="S476" s="9">
        <f>IF($A476=VLOOKUP(YEAR($A476),'Festive dates'!$A$2:$J$5,2,FALSE),1,0)</f>
        <v>0</v>
      </c>
      <c r="T476" s="9">
        <f>IF($A476=VLOOKUP(YEAR($A476),'Festive dates'!$A$2:$J$5,3,FALSE),1,0)</f>
        <v>0</v>
      </c>
      <c r="U476" s="9">
        <f>IF($A476=VLOOKUP(YEAR($A476),'Festive dates'!$A$2:$J$5,4,FALSE),1,0)</f>
        <v>0</v>
      </c>
      <c r="V476" s="9">
        <f>IF(AND($A476&gt;=VLOOKUP(YEAR($A476),'Festive dates'!$A$2:$J$5,9,FALSE),$A476&lt;=VLOOKUP(YEAR($A476),'Festive dates'!$A$2:$J$5,10,FALSE)),1,0)</f>
        <v>0</v>
      </c>
      <c r="W476" s="9">
        <f>IF($A476=VLOOKUP(YEAR($A476),'Festive dates'!$A$2:$J$5,7,FALSE),1,0)</f>
        <v>0</v>
      </c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>
      <c r="A477" s="8">
        <v>45492</v>
      </c>
      <c r="B477" s="9">
        <v>0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f>MAX(-20,MIN(10,$A477-VLOOKUP(YEAR($A477),'Festive dates'!$A$2:$J$5,8,FALSE)))</f>
        <v>-20</v>
      </c>
      <c r="R477" s="9">
        <f>IF(AND($A477&gt;VLOOKUP(YEAR($A477),'Festive dates'!$A$2:$J$5,2,FALSE),$A477&lt;VLOOKUP(YEAR($A477),'Festive dates'!$A$2:$J$5,3,FALSE)),1,0)</f>
        <v>0</v>
      </c>
      <c r="S477" s="9">
        <f>IF($A477=VLOOKUP(YEAR($A477),'Festive dates'!$A$2:$J$5,2,FALSE),1,0)</f>
        <v>0</v>
      </c>
      <c r="T477" s="9">
        <f>IF($A477=VLOOKUP(YEAR($A477),'Festive dates'!$A$2:$J$5,3,FALSE),1,0)</f>
        <v>0</v>
      </c>
      <c r="U477" s="9">
        <f>IF($A477=VLOOKUP(YEAR($A477),'Festive dates'!$A$2:$J$5,4,FALSE),1,0)</f>
        <v>0</v>
      </c>
      <c r="V477" s="9">
        <f>IF(AND($A477&gt;=VLOOKUP(YEAR($A477),'Festive dates'!$A$2:$J$5,9,FALSE),$A477&lt;=VLOOKUP(YEAR($A477),'Festive dates'!$A$2:$J$5,10,FALSE)),1,0)</f>
        <v>0</v>
      </c>
      <c r="W477" s="9">
        <f>IF($A477=VLOOKUP(YEAR($A477),'Festive dates'!$A$2:$J$5,7,FALSE),1,0)</f>
        <v>0</v>
      </c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>
      <c r="A478" s="8">
        <v>45493</v>
      </c>
      <c r="B478" s="9">
        <v>0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f>MAX(-20,MIN(10,$A478-VLOOKUP(YEAR($A478),'Festive dates'!$A$2:$J$5,8,FALSE)))</f>
        <v>-20</v>
      </c>
      <c r="R478" s="9">
        <f>IF(AND($A478&gt;VLOOKUP(YEAR($A478),'Festive dates'!$A$2:$J$5,2,FALSE),$A478&lt;VLOOKUP(YEAR($A478),'Festive dates'!$A$2:$J$5,3,FALSE)),1,0)</f>
        <v>0</v>
      </c>
      <c r="S478" s="9">
        <f>IF($A478=VLOOKUP(YEAR($A478),'Festive dates'!$A$2:$J$5,2,FALSE),1,0)</f>
        <v>0</v>
      </c>
      <c r="T478" s="9">
        <f>IF($A478=VLOOKUP(YEAR($A478),'Festive dates'!$A$2:$J$5,3,FALSE),1,0)</f>
        <v>0</v>
      </c>
      <c r="U478" s="9">
        <f>IF($A478=VLOOKUP(YEAR($A478),'Festive dates'!$A$2:$J$5,4,FALSE),1,0)</f>
        <v>0</v>
      </c>
      <c r="V478" s="9">
        <f>IF(AND($A478&gt;=VLOOKUP(YEAR($A478),'Festive dates'!$A$2:$J$5,9,FALSE),$A478&lt;=VLOOKUP(YEAR($A478),'Festive dates'!$A$2:$J$5,10,FALSE)),1,0)</f>
        <v>0</v>
      </c>
      <c r="W478" s="9">
        <f>IF($A478=VLOOKUP(YEAR($A478),'Festive dates'!$A$2:$J$5,7,FALSE),1,0)</f>
        <v>0</v>
      </c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>
      <c r="A479" s="8">
        <v>45494</v>
      </c>
      <c r="B479" s="9">
        <v>0</v>
      </c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1</v>
      </c>
      <c r="N479" s="9">
        <v>0</v>
      </c>
      <c r="O479" s="9">
        <v>0</v>
      </c>
      <c r="P479" s="9">
        <v>0</v>
      </c>
      <c r="Q479" s="9">
        <f>MAX(-20,MIN(10,$A479-VLOOKUP(YEAR($A479),'Festive dates'!$A$2:$J$5,8,FALSE)))</f>
        <v>-20</v>
      </c>
      <c r="R479" s="9">
        <f>IF(AND($A479&gt;VLOOKUP(YEAR($A479),'Festive dates'!$A$2:$J$5,2,FALSE),$A479&lt;VLOOKUP(YEAR($A479),'Festive dates'!$A$2:$J$5,3,FALSE)),1,0)</f>
        <v>0</v>
      </c>
      <c r="S479" s="9">
        <f>IF($A479=VLOOKUP(YEAR($A479),'Festive dates'!$A$2:$J$5,2,FALSE),1,0)</f>
        <v>0</v>
      </c>
      <c r="T479" s="9">
        <f>IF($A479=VLOOKUP(YEAR($A479),'Festive dates'!$A$2:$J$5,3,FALSE),1,0)</f>
        <v>0</v>
      </c>
      <c r="U479" s="9">
        <f>IF($A479=VLOOKUP(YEAR($A479),'Festive dates'!$A$2:$J$5,4,FALSE),1,0)</f>
        <v>0</v>
      </c>
      <c r="V479" s="9">
        <f>IF(AND($A479&gt;=VLOOKUP(YEAR($A479),'Festive dates'!$A$2:$J$5,9,FALSE),$A479&lt;=VLOOKUP(YEAR($A479),'Festive dates'!$A$2:$J$5,10,FALSE)),1,0)</f>
        <v>0</v>
      </c>
      <c r="W479" s="9">
        <f>IF($A479=VLOOKUP(YEAR($A479),'Festive dates'!$A$2:$J$5,7,FALSE),1,0)</f>
        <v>0</v>
      </c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>
      <c r="A480" s="8">
        <v>45495</v>
      </c>
      <c r="B480" s="9">
        <v>0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f>MAX(-20,MIN(10,$A480-VLOOKUP(YEAR($A480),'Festive dates'!$A$2:$J$5,8,FALSE)))</f>
        <v>-20</v>
      </c>
      <c r="R480" s="9">
        <f>IF(AND($A480&gt;VLOOKUP(YEAR($A480),'Festive dates'!$A$2:$J$5,2,FALSE),$A480&lt;VLOOKUP(YEAR($A480),'Festive dates'!$A$2:$J$5,3,FALSE)),1,0)</f>
        <v>0</v>
      </c>
      <c r="S480" s="9">
        <f>IF($A480=VLOOKUP(YEAR($A480),'Festive dates'!$A$2:$J$5,2,FALSE),1,0)</f>
        <v>0</v>
      </c>
      <c r="T480" s="9">
        <f>IF($A480=VLOOKUP(YEAR($A480),'Festive dates'!$A$2:$J$5,3,FALSE),1,0)</f>
        <v>0</v>
      </c>
      <c r="U480" s="9">
        <f>IF($A480=VLOOKUP(YEAR($A480),'Festive dates'!$A$2:$J$5,4,FALSE),1,0)</f>
        <v>0</v>
      </c>
      <c r="V480" s="9">
        <f>IF(AND($A480&gt;=VLOOKUP(YEAR($A480),'Festive dates'!$A$2:$J$5,9,FALSE),$A480&lt;=VLOOKUP(YEAR($A480),'Festive dates'!$A$2:$J$5,10,FALSE)),1,0)</f>
        <v>0</v>
      </c>
      <c r="W480" s="9">
        <f>IF($A480=VLOOKUP(YEAR($A480),'Festive dates'!$A$2:$J$5,7,FALSE),1,0)</f>
        <v>0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>
      <c r="A481" s="8">
        <v>45496</v>
      </c>
      <c r="B481" s="9">
        <v>0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f>MAX(-20,MIN(10,$A481-VLOOKUP(YEAR($A481),'Festive dates'!$A$2:$J$5,8,FALSE)))</f>
        <v>-20</v>
      </c>
      <c r="R481" s="9">
        <f>IF(AND($A481&gt;VLOOKUP(YEAR($A481),'Festive dates'!$A$2:$J$5,2,FALSE),$A481&lt;VLOOKUP(YEAR($A481),'Festive dates'!$A$2:$J$5,3,FALSE)),1,0)</f>
        <v>0</v>
      </c>
      <c r="S481" s="9">
        <f>IF($A481=VLOOKUP(YEAR($A481),'Festive dates'!$A$2:$J$5,2,FALSE),1,0)</f>
        <v>0</v>
      </c>
      <c r="T481" s="9">
        <f>IF($A481=VLOOKUP(YEAR($A481),'Festive dates'!$A$2:$J$5,3,FALSE),1,0)</f>
        <v>0</v>
      </c>
      <c r="U481" s="9">
        <f>IF($A481=VLOOKUP(YEAR($A481),'Festive dates'!$A$2:$J$5,4,FALSE),1,0)</f>
        <v>0</v>
      </c>
      <c r="V481" s="9">
        <f>IF(AND($A481&gt;=VLOOKUP(YEAR($A481),'Festive dates'!$A$2:$J$5,9,FALSE),$A481&lt;=VLOOKUP(YEAR($A481),'Festive dates'!$A$2:$J$5,10,FALSE)),1,0)</f>
        <v>0</v>
      </c>
      <c r="W481" s="9">
        <f>IF($A481=VLOOKUP(YEAR($A481),'Festive dates'!$A$2:$J$5,7,FALSE),1,0)</f>
        <v>0</v>
      </c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>
      <c r="A482" s="8">
        <v>45497</v>
      </c>
      <c r="B482" s="9">
        <v>0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f>MAX(-20,MIN(10,$A482-VLOOKUP(YEAR($A482),'Festive dates'!$A$2:$J$5,8,FALSE)))</f>
        <v>-20</v>
      </c>
      <c r="R482" s="9">
        <f>IF(AND($A482&gt;VLOOKUP(YEAR($A482),'Festive dates'!$A$2:$J$5,2,FALSE),$A482&lt;VLOOKUP(YEAR($A482),'Festive dates'!$A$2:$J$5,3,FALSE)),1,0)</f>
        <v>0</v>
      </c>
      <c r="S482" s="9">
        <f>IF($A482=VLOOKUP(YEAR($A482),'Festive dates'!$A$2:$J$5,2,FALSE),1,0)</f>
        <v>0</v>
      </c>
      <c r="T482" s="9">
        <f>IF($A482=VLOOKUP(YEAR($A482),'Festive dates'!$A$2:$J$5,3,FALSE),1,0)</f>
        <v>0</v>
      </c>
      <c r="U482" s="9">
        <f>IF($A482=VLOOKUP(YEAR($A482),'Festive dates'!$A$2:$J$5,4,FALSE),1,0)</f>
        <v>0</v>
      </c>
      <c r="V482" s="9">
        <f>IF(AND($A482&gt;=VLOOKUP(YEAR($A482),'Festive dates'!$A$2:$J$5,9,FALSE),$A482&lt;=VLOOKUP(YEAR($A482),'Festive dates'!$A$2:$J$5,10,FALSE)),1,0)</f>
        <v>0</v>
      </c>
      <c r="W482" s="9">
        <f>IF($A482=VLOOKUP(YEAR($A482),'Festive dates'!$A$2:$J$5,7,FALSE),1,0)</f>
        <v>0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>
      <c r="A483" s="8">
        <v>45498</v>
      </c>
      <c r="B483" s="9">
        <v>0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f>MAX(-20,MIN(10,$A483-VLOOKUP(YEAR($A483),'Festive dates'!$A$2:$J$5,8,FALSE)))</f>
        <v>-20</v>
      </c>
      <c r="R483" s="9">
        <f>IF(AND($A483&gt;VLOOKUP(YEAR($A483),'Festive dates'!$A$2:$J$5,2,FALSE),$A483&lt;VLOOKUP(YEAR($A483),'Festive dates'!$A$2:$J$5,3,FALSE)),1,0)</f>
        <v>0</v>
      </c>
      <c r="S483" s="9">
        <f>IF($A483=VLOOKUP(YEAR($A483),'Festive dates'!$A$2:$J$5,2,FALSE),1,0)</f>
        <v>0</v>
      </c>
      <c r="T483" s="9">
        <f>IF($A483=VLOOKUP(YEAR($A483),'Festive dates'!$A$2:$J$5,3,FALSE),1,0)</f>
        <v>0</v>
      </c>
      <c r="U483" s="9">
        <f>IF($A483=VLOOKUP(YEAR($A483),'Festive dates'!$A$2:$J$5,4,FALSE),1,0)</f>
        <v>0</v>
      </c>
      <c r="V483" s="9">
        <f>IF(AND($A483&gt;=VLOOKUP(YEAR($A483),'Festive dates'!$A$2:$J$5,9,FALSE),$A483&lt;=VLOOKUP(YEAR($A483),'Festive dates'!$A$2:$J$5,10,FALSE)),1,0)</f>
        <v>0</v>
      </c>
      <c r="W483" s="9">
        <f>IF($A483=VLOOKUP(YEAR($A483),'Festive dates'!$A$2:$J$5,7,FALSE),1,0)</f>
        <v>0</v>
      </c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>
      <c r="A484" s="8">
        <v>45499</v>
      </c>
      <c r="B484" s="9">
        <v>0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f>MAX(-20,MIN(10,$A484-VLOOKUP(YEAR($A484),'Festive dates'!$A$2:$J$5,8,FALSE)))</f>
        <v>-20</v>
      </c>
      <c r="R484" s="9">
        <f>IF(AND($A484&gt;VLOOKUP(YEAR($A484),'Festive dates'!$A$2:$J$5,2,FALSE),$A484&lt;VLOOKUP(YEAR($A484),'Festive dates'!$A$2:$J$5,3,FALSE)),1,0)</f>
        <v>0</v>
      </c>
      <c r="S484" s="9">
        <f>IF($A484=VLOOKUP(YEAR($A484),'Festive dates'!$A$2:$J$5,2,FALSE),1,0)</f>
        <v>0</v>
      </c>
      <c r="T484" s="9">
        <f>IF($A484=VLOOKUP(YEAR($A484),'Festive dates'!$A$2:$J$5,3,FALSE),1,0)</f>
        <v>0</v>
      </c>
      <c r="U484" s="9">
        <f>IF($A484=VLOOKUP(YEAR($A484),'Festive dates'!$A$2:$J$5,4,FALSE),1,0)</f>
        <v>0</v>
      </c>
      <c r="V484" s="9">
        <f>IF(AND($A484&gt;=VLOOKUP(YEAR($A484),'Festive dates'!$A$2:$J$5,9,FALSE),$A484&lt;=VLOOKUP(YEAR($A484),'Festive dates'!$A$2:$J$5,10,FALSE)),1,0)</f>
        <v>0</v>
      </c>
      <c r="W484" s="9">
        <f>IF($A484=VLOOKUP(YEAR($A484),'Festive dates'!$A$2:$J$5,7,FALSE),1,0)</f>
        <v>0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>
      <c r="A485" s="8">
        <v>45500</v>
      </c>
      <c r="B485" s="9">
        <v>0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f>MAX(-20,MIN(10,$A485-VLOOKUP(YEAR($A485),'Festive dates'!$A$2:$J$5,8,FALSE)))</f>
        <v>-20</v>
      </c>
      <c r="R485" s="9">
        <f>IF(AND($A485&gt;VLOOKUP(YEAR($A485),'Festive dates'!$A$2:$J$5,2,FALSE),$A485&lt;VLOOKUP(YEAR($A485),'Festive dates'!$A$2:$J$5,3,FALSE)),1,0)</f>
        <v>0</v>
      </c>
      <c r="S485" s="9">
        <f>IF($A485=VLOOKUP(YEAR($A485),'Festive dates'!$A$2:$J$5,2,FALSE),1,0)</f>
        <v>0</v>
      </c>
      <c r="T485" s="9">
        <f>IF($A485=VLOOKUP(YEAR($A485),'Festive dates'!$A$2:$J$5,3,FALSE),1,0)</f>
        <v>0</v>
      </c>
      <c r="U485" s="9">
        <f>IF($A485=VLOOKUP(YEAR($A485),'Festive dates'!$A$2:$J$5,4,FALSE),1,0)</f>
        <v>0</v>
      </c>
      <c r="V485" s="9">
        <f>IF(AND($A485&gt;=VLOOKUP(YEAR($A485),'Festive dates'!$A$2:$J$5,9,FALSE),$A485&lt;=VLOOKUP(YEAR($A485),'Festive dates'!$A$2:$J$5,10,FALSE)),1,0)</f>
        <v>0</v>
      </c>
      <c r="W485" s="9">
        <f>IF($A485=VLOOKUP(YEAR($A485),'Festive dates'!$A$2:$J$5,7,FALSE),1,0)</f>
        <v>0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>
      <c r="A486" s="8">
        <v>45501</v>
      </c>
      <c r="B486" s="9">
        <v>0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f>MAX(-20,MIN(10,$A486-VLOOKUP(YEAR($A486),'Festive dates'!$A$2:$J$5,8,FALSE)))</f>
        <v>-20</v>
      </c>
      <c r="R486" s="9">
        <f>IF(AND($A486&gt;VLOOKUP(YEAR($A486),'Festive dates'!$A$2:$J$5,2,FALSE),$A486&lt;VLOOKUP(YEAR($A486),'Festive dates'!$A$2:$J$5,3,FALSE)),1,0)</f>
        <v>0</v>
      </c>
      <c r="S486" s="9">
        <f>IF($A486=VLOOKUP(YEAR($A486),'Festive dates'!$A$2:$J$5,2,FALSE),1,0)</f>
        <v>0</v>
      </c>
      <c r="T486" s="9">
        <f>IF($A486=VLOOKUP(YEAR($A486),'Festive dates'!$A$2:$J$5,3,FALSE),1,0)</f>
        <v>0</v>
      </c>
      <c r="U486" s="9">
        <f>IF($A486=VLOOKUP(YEAR($A486),'Festive dates'!$A$2:$J$5,4,FALSE),1,0)</f>
        <v>0</v>
      </c>
      <c r="V486" s="9">
        <f>IF(AND($A486&gt;=VLOOKUP(YEAR($A486),'Festive dates'!$A$2:$J$5,9,FALSE),$A486&lt;=VLOOKUP(YEAR($A486),'Festive dates'!$A$2:$J$5,10,FALSE)),1,0)</f>
        <v>0</v>
      </c>
      <c r="W486" s="9">
        <f>IF($A486=VLOOKUP(YEAR($A486),'Festive dates'!$A$2:$J$5,7,FALSE),1,0)</f>
        <v>0</v>
      </c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>
      <c r="A487" s="8">
        <v>45502</v>
      </c>
      <c r="B487" s="9">
        <v>0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f>MAX(-20,MIN(10,$A487-VLOOKUP(YEAR($A487),'Festive dates'!$A$2:$J$5,8,FALSE)))</f>
        <v>-20</v>
      </c>
      <c r="R487" s="9">
        <f>IF(AND($A487&gt;VLOOKUP(YEAR($A487),'Festive dates'!$A$2:$J$5,2,FALSE),$A487&lt;VLOOKUP(YEAR($A487),'Festive dates'!$A$2:$J$5,3,FALSE)),1,0)</f>
        <v>0</v>
      </c>
      <c r="S487" s="9">
        <f>IF($A487=VLOOKUP(YEAR($A487),'Festive dates'!$A$2:$J$5,2,FALSE),1,0)</f>
        <v>0</v>
      </c>
      <c r="T487" s="9">
        <f>IF($A487=VLOOKUP(YEAR($A487),'Festive dates'!$A$2:$J$5,3,FALSE),1,0)</f>
        <v>0</v>
      </c>
      <c r="U487" s="9">
        <f>IF($A487=VLOOKUP(YEAR($A487),'Festive dates'!$A$2:$J$5,4,FALSE),1,0)</f>
        <v>0</v>
      </c>
      <c r="V487" s="9">
        <f>IF(AND($A487&gt;=VLOOKUP(YEAR($A487),'Festive dates'!$A$2:$J$5,9,FALSE),$A487&lt;=VLOOKUP(YEAR($A487),'Festive dates'!$A$2:$J$5,10,FALSE)),1,0)</f>
        <v>0</v>
      </c>
      <c r="W487" s="9">
        <f>IF($A487=VLOOKUP(YEAR($A487),'Festive dates'!$A$2:$J$5,7,FALSE),1,0)</f>
        <v>0</v>
      </c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>
      <c r="A488" s="8">
        <v>45503</v>
      </c>
      <c r="B488" s="9">
        <v>0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f>MAX(-20,MIN(10,$A488-VLOOKUP(YEAR($A488),'Festive dates'!$A$2:$J$5,8,FALSE)))</f>
        <v>-20</v>
      </c>
      <c r="R488" s="9">
        <f>IF(AND($A488&gt;VLOOKUP(YEAR($A488),'Festive dates'!$A$2:$J$5,2,FALSE),$A488&lt;VLOOKUP(YEAR($A488),'Festive dates'!$A$2:$J$5,3,FALSE)),1,0)</f>
        <v>0</v>
      </c>
      <c r="S488" s="9">
        <f>IF($A488=VLOOKUP(YEAR($A488),'Festive dates'!$A$2:$J$5,2,FALSE),1,0)</f>
        <v>0</v>
      </c>
      <c r="T488" s="9">
        <f>IF($A488=VLOOKUP(YEAR($A488),'Festive dates'!$A$2:$J$5,3,FALSE),1,0)</f>
        <v>0</v>
      </c>
      <c r="U488" s="9">
        <f>IF($A488=VLOOKUP(YEAR($A488),'Festive dates'!$A$2:$J$5,4,FALSE),1,0)</f>
        <v>0</v>
      </c>
      <c r="V488" s="9">
        <f>IF(AND($A488&gt;=VLOOKUP(YEAR($A488),'Festive dates'!$A$2:$J$5,9,FALSE),$A488&lt;=VLOOKUP(YEAR($A488),'Festive dates'!$A$2:$J$5,10,FALSE)),1,0)</f>
        <v>0</v>
      </c>
      <c r="W488" s="9">
        <f>IF($A488=VLOOKUP(YEAR($A488),'Festive dates'!$A$2:$J$5,7,FALSE),1,0)</f>
        <v>0</v>
      </c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>
      <c r="A489" s="8">
        <v>45504</v>
      </c>
      <c r="B489" s="9">
        <v>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f>MAX(-20,MIN(10,$A489-VLOOKUP(YEAR($A489),'Festive dates'!$A$2:$J$5,8,FALSE)))</f>
        <v>-20</v>
      </c>
      <c r="R489" s="9">
        <f>IF(AND($A489&gt;VLOOKUP(YEAR($A489),'Festive dates'!$A$2:$J$5,2,FALSE),$A489&lt;VLOOKUP(YEAR($A489),'Festive dates'!$A$2:$J$5,3,FALSE)),1,0)</f>
        <v>0</v>
      </c>
      <c r="S489" s="9">
        <f>IF($A489=VLOOKUP(YEAR($A489),'Festive dates'!$A$2:$J$5,2,FALSE),1,0)</f>
        <v>0</v>
      </c>
      <c r="T489" s="9">
        <f>IF($A489=VLOOKUP(YEAR($A489),'Festive dates'!$A$2:$J$5,3,FALSE),1,0)</f>
        <v>0</v>
      </c>
      <c r="U489" s="9">
        <f>IF($A489=VLOOKUP(YEAR($A489),'Festive dates'!$A$2:$J$5,4,FALSE),1,0)</f>
        <v>0</v>
      </c>
      <c r="V489" s="9">
        <f>IF(AND($A489&gt;=VLOOKUP(YEAR($A489),'Festive dates'!$A$2:$J$5,9,FALSE),$A489&lt;=VLOOKUP(YEAR($A489),'Festive dates'!$A$2:$J$5,10,FALSE)),1,0)</f>
        <v>0</v>
      </c>
      <c r="W489" s="9">
        <f>IF($A489=VLOOKUP(YEAR($A489),'Festive dates'!$A$2:$J$5,7,FALSE),1,0)</f>
        <v>0</v>
      </c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>
      <c r="A490" s="8">
        <v>45505</v>
      </c>
      <c r="B490" s="9">
        <v>0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f>MAX(-20,MIN(10,$A490-VLOOKUP(YEAR($A490),'Festive dates'!$A$2:$J$5,8,FALSE)))</f>
        <v>-20</v>
      </c>
      <c r="R490" s="9">
        <f>IF(AND($A490&gt;VLOOKUP(YEAR($A490),'Festive dates'!$A$2:$J$5,2,FALSE),$A490&lt;VLOOKUP(YEAR($A490),'Festive dates'!$A$2:$J$5,3,FALSE)),1,0)</f>
        <v>0</v>
      </c>
      <c r="S490" s="9">
        <f>IF($A490=VLOOKUP(YEAR($A490),'Festive dates'!$A$2:$J$5,2,FALSE),1,0)</f>
        <v>0</v>
      </c>
      <c r="T490" s="9">
        <f>IF($A490=VLOOKUP(YEAR($A490),'Festive dates'!$A$2:$J$5,3,FALSE),1,0)</f>
        <v>0</v>
      </c>
      <c r="U490" s="9">
        <f>IF($A490=VLOOKUP(YEAR($A490),'Festive dates'!$A$2:$J$5,4,FALSE),1,0)</f>
        <v>0</v>
      </c>
      <c r="V490" s="9">
        <f>IF(AND($A490&gt;=VLOOKUP(YEAR($A490),'Festive dates'!$A$2:$J$5,9,FALSE),$A490&lt;=VLOOKUP(YEAR($A490),'Festive dates'!$A$2:$J$5,10,FALSE)),1,0)</f>
        <v>0</v>
      </c>
      <c r="W490" s="9">
        <f>IF($A490=VLOOKUP(YEAR($A490),'Festive dates'!$A$2:$J$5,7,FALSE),1,0)</f>
        <v>0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>
      <c r="A491" s="8">
        <v>45506</v>
      </c>
      <c r="B491" s="9">
        <v>0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f>MAX(-20,MIN(10,$A491-VLOOKUP(YEAR($A491),'Festive dates'!$A$2:$J$5,8,FALSE)))</f>
        <v>-20</v>
      </c>
      <c r="R491" s="9">
        <f>IF(AND($A491&gt;VLOOKUP(YEAR($A491),'Festive dates'!$A$2:$J$5,2,FALSE),$A491&lt;VLOOKUP(YEAR($A491),'Festive dates'!$A$2:$J$5,3,FALSE)),1,0)</f>
        <v>0</v>
      </c>
      <c r="S491" s="9">
        <f>IF($A491=VLOOKUP(YEAR($A491),'Festive dates'!$A$2:$J$5,2,FALSE),1,0)</f>
        <v>0</v>
      </c>
      <c r="T491" s="9">
        <f>IF($A491=VLOOKUP(YEAR($A491),'Festive dates'!$A$2:$J$5,3,FALSE),1,0)</f>
        <v>0</v>
      </c>
      <c r="U491" s="9">
        <f>IF($A491=VLOOKUP(YEAR($A491),'Festive dates'!$A$2:$J$5,4,FALSE),1,0)</f>
        <v>0</v>
      </c>
      <c r="V491" s="9">
        <f>IF(AND($A491&gt;=VLOOKUP(YEAR($A491),'Festive dates'!$A$2:$J$5,9,FALSE),$A491&lt;=VLOOKUP(YEAR($A491),'Festive dates'!$A$2:$J$5,10,FALSE)),1,0)</f>
        <v>0</v>
      </c>
      <c r="W491" s="9">
        <f>IF($A491=VLOOKUP(YEAR($A491),'Festive dates'!$A$2:$J$5,7,FALSE),1,0)</f>
        <v>0</v>
      </c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>
      <c r="A492" s="8">
        <v>45507</v>
      </c>
      <c r="B492" s="9">
        <v>0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f>MAX(-20,MIN(10,$A492-VLOOKUP(YEAR($A492),'Festive dates'!$A$2:$J$5,8,FALSE)))</f>
        <v>-20</v>
      </c>
      <c r="R492" s="9">
        <f>IF(AND($A492&gt;VLOOKUP(YEAR($A492),'Festive dates'!$A$2:$J$5,2,FALSE),$A492&lt;VLOOKUP(YEAR($A492),'Festive dates'!$A$2:$J$5,3,FALSE)),1,0)</f>
        <v>0</v>
      </c>
      <c r="S492" s="9">
        <f>IF($A492=VLOOKUP(YEAR($A492),'Festive dates'!$A$2:$J$5,2,FALSE),1,0)</f>
        <v>0</v>
      </c>
      <c r="T492" s="9">
        <f>IF($A492=VLOOKUP(YEAR($A492),'Festive dates'!$A$2:$J$5,3,FALSE),1,0)</f>
        <v>0</v>
      </c>
      <c r="U492" s="9">
        <f>IF($A492=VLOOKUP(YEAR($A492),'Festive dates'!$A$2:$J$5,4,FALSE),1,0)</f>
        <v>0</v>
      </c>
      <c r="V492" s="9">
        <f>IF(AND($A492&gt;=VLOOKUP(YEAR($A492),'Festive dates'!$A$2:$J$5,9,FALSE),$A492&lt;=VLOOKUP(YEAR($A492),'Festive dates'!$A$2:$J$5,10,FALSE)),1,0)</f>
        <v>0</v>
      </c>
      <c r="W492" s="9">
        <f>IF($A492=VLOOKUP(YEAR($A492),'Festive dates'!$A$2:$J$5,7,FALSE),1,0)</f>
        <v>0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>
      <c r="A493" s="8">
        <v>45508</v>
      </c>
      <c r="B493" s="9">
        <v>0</v>
      </c>
      <c r="C493" s="9">
        <v>0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f>MAX(-20,MIN(10,$A493-VLOOKUP(YEAR($A493),'Festive dates'!$A$2:$J$5,8,FALSE)))</f>
        <v>-20</v>
      </c>
      <c r="R493" s="9">
        <f>IF(AND($A493&gt;VLOOKUP(YEAR($A493),'Festive dates'!$A$2:$J$5,2,FALSE),$A493&lt;VLOOKUP(YEAR($A493),'Festive dates'!$A$2:$J$5,3,FALSE)),1,0)</f>
        <v>0</v>
      </c>
      <c r="S493" s="9">
        <f>IF($A493=VLOOKUP(YEAR($A493),'Festive dates'!$A$2:$J$5,2,FALSE),1,0)</f>
        <v>0</v>
      </c>
      <c r="T493" s="9">
        <f>IF($A493=VLOOKUP(YEAR($A493),'Festive dates'!$A$2:$J$5,3,FALSE),1,0)</f>
        <v>0</v>
      </c>
      <c r="U493" s="9">
        <f>IF($A493=VLOOKUP(YEAR($A493),'Festive dates'!$A$2:$J$5,4,FALSE),1,0)</f>
        <v>0</v>
      </c>
      <c r="V493" s="9">
        <f>IF(AND($A493&gt;=VLOOKUP(YEAR($A493),'Festive dates'!$A$2:$J$5,9,FALSE),$A493&lt;=VLOOKUP(YEAR($A493),'Festive dates'!$A$2:$J$5,10,FALSE)),1,0)</f>
        <v>0</v>
      </c>
      <c r="W493" s="9">
        <f>IF($A493=VLOOKUP(YEAR($A493),'Festive dates'!$A$2:$J$5,7,FALSE),1,0)</f>
        <v>0</v>
      </c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>
      <c r="A494" s="8">
        <v>45509</v>
      </c>
      <c r="B494" s="9">
        <v>0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f>MAX(-20,MIN(10,$A494-VLOOKUP(YEAR($A494),'Festive dates'!$A$2:$J$5,8,FALSE)))</f>
        <v>-20</v>
      </c>
      <c r="R494" s="9">
        <f>IF(AND($A494&gt;VLOOKUP(YEAR($A494),'Festive dates'!$A$2:$J$5,2,FALSE),$A494&lt;VLOOKUP(YEAR($A494),'Festive dates'!$A$2:$J$5,3,FALSE)),1,0)</f>
        <v>0</v>
      </c>
      <c r="S494" s="9">
        <f>IF($A494=VLOOKUP(YEAR($A494),'Festive dates'!$A$2:$J$5,2,FALSE),1,0)</f>
        <v>0</v>
      </c>
      <c r="T494" s="9">
        <f>IF($A494=VLOOKUP(YEAR($A494),'Festive dates'!$A$2:$J$5,3,FALSE),1,0)</f>
        <v>0</v>
      </c>
      <c r="U494" s="9">
        <f>IF($A494=VLOOKUP(YEAR($A494),'Festive dates'!$A$2:$J$5,4,FALSE),1,0)</f>
        <v>0</v>
      </c>
      <c r="V494" s="9">
        <f>IF(AND($A494&gt;=VLOOKUP(YEAR($A494),'Festive dates'!$A$2:$J$5,9,FALSE),$A494&lt;=VLOOKUP(YEAR($A494),'Festive dates'!$A$2:$J$5,10,FALSE)),1,0)</f>
        <v>0</v>
      </c>
      <c r="W494" s="9">
        <f>IF($A494=VLOOKUP(YEAR($A494),'Festive dates'!$A$2:$J$5,7,FALSE),1,0)</f>
        <v>0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>
      <c r="A495" s="8">
        <v>45510</v>
      </c>
      <c r="B495" s="9">
        <v>0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f>MAX(-20,MIN(10,$A495-VLOOKUP(YEAR($A495),'Festive dates'!$A$2:$J$5,8,FALSE)))</f>
        <v>-20</v>
      </c>
      <c r="R495" s="9">
        <f>IF(AND($A495&gt;VLOOKUP(YEAR($A495),'Festive dates'!$A$2:$J$5,2,FALSE),$A495&lt;VLOOKUP(YEAR($A495),'Festive dates'!$A$2:$J$5,3,FALSE)),1,0)</f>
        <v>0</v>
      </c>
      <c r="S495" s="9">
        <f>IF($A495=VLOOKUP(YEAR($A495),'Festive dates'!$A$2:$J$5,2,FALSE),1,0)</f>
        <v>0</v>
      </c>
      <c r="T495" s="9">
        <f>IF($A495=VLOOKUP(YEAR($A495),'Festive dates'!$A$2:$J$5,3,FALSE),1,0)</f>
        <v>0</v>
      </c>
      <c r="U495" s="9">
        <f>IF($A495=VLOOKUP(YEAR($A495),'Festive dates'!$A$2:$J$5,4,FALSE),1,0)</f>
        <v>0</v>
      </c>
      <c r="V495" s="9">
        <f>IF(AND($A495&gt;=VLOOKUP(YEAR($A495),'Festive dates'!$A$2:$J$5,9,FALSE),$A495&lt;=VLOOKUP(YEAR($A495),'Festive dates'!$A$2:$J$5,10,FALSE)),1,0)</f>
        <v>0</v>
      </c>
      <c r="W495" s="9">
        <f>IF($A495=VLOOKUP(YEAR($A495),'Festive dates'!$A$2:$J$5,7,FALSE),1,0)</f>
        <v>0</v>
      </c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>
      <c r="A496" s="8">
        <v>45511</v>
      </c>
      <c r="B496" s="9">
        <v>0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f>MAX(-20,MIN(10,$A496-VLOOKUP(YEAR($A496),'Festive dates'!$A$2:$J$5,8,FALSE)))</f>
        <v>-20</v>
      </c>
      <c r="R496" s="9">
        <f>IF(AND($A496&gt;VLOOKUP(YEAR($A496),'Festive dates'!$A$2:$J$5,2,FALSE),$A496&lt;VLOOKUP(YEAR($A496),'Festive dates'!$A$2:$J$5,3,FALSE)),1,0)</f>
        <v>0</v>
      </c>
      <c r="S496" s="9">
        <f>IF($A496=VLOOKUP(YEAR($A496),'Festive dates'!$A$2:$J$5,2,FALSE),1,0)</f>
        <v>0</v>
      </c>
      <c r="T496" s="9">
        <f>IF($A496=VLOOKUP(YEAR($A496),'Festive dates'!$A$2:$J$5,3,FALSE),1,0)</f>
        <v>0</v>
      </c>
      <c r="U496" s="9">
        <f>IF($A496=VLOOKUP(YEAR($A496),'Festive dates'!$A$2:$J$5,4,FALSE),1,0)</f>
        <v>0</v>
      </c>
      <c r="V496" s="9">
        <f>IF(AND($A496&gt;=VLOOKUP(YEAR($A496),'Festive dates'!$A$2:$J$5,9,FALSE),$A496&lt;=VLOOKUP(YEAR($A496),'Festive dates'!$A$2:$J$5,10,FALSE)),1,0)</f>
        <v>0</v>
      </c>
      <c r="W496" s="9">
        <f>IF($A496=VLOOKUP(YEAR($A496),'Festive dates'!$A$2:$J$5,7,FALSE),1,0)</f>
        <v>0</v>
      </c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>
      <c r="A497" s="8">
        <v>45512</v>
      </c>
      <c r="B497" s="9">
        <v>0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f>MAX(-20,MIN(10,$A497-VLOOKUP(YEAR($A497),'Festive dates'!$A$2:$J$5,8,FALSE)))</f>
        <v>-20</v>
      </c>
      <c r="R497" s="9">
        <f>IF(AND($A497&gt;VLOOKUP(YEAR($A497),'Festive dates'!$A$2:$J$5,2,FALSE),$A497&lt;VLOOKUP(YEAR($A497),'Festive dates'!$A$2:$J$5,3,FALSE)),1,0)</f>
        <v>0</v>
      </c>
      <c r="S497" s="9">
        <f>IF($A497=VLOOKUP(YEAR($A497),'Festive dates'!$A$2:$J$5,2,FALSE),1,0)</f>
        <v>0</v>
      </c>
      <c r="T497" s="9">
        <f>IF($A497=VLOOKUP(YEAR($A497),'Festive dates'!$A$2:$J$5,3,FALSE),1,0)</f>
        <v>0</v>
      </c>
      <c r="U497" s="9">
        <f>IF($A497=VLOOKUP(YEAR($A497),'Festive dates'!$A$2:$J$5,4,FALSE),1,0)</f>
        <v>0</v>
      </c>
      <c r="V497" s="9">
        <f>IF(AND($A497&gt;=VLOOKUP(YEAR($A497),'Festive dates'!$A$2:$J$5,9,FALSE),$A497&lt;=VLOOKUP(YEAR($A497),'Festive dates'!$A$2:$J$5,10,FALSE)),1,0)</f>
        <v>0</v>
      </c>
      <c r="W497" s="9">
        <f>IF($A497=VLOOKUP(YEAR($A497),'Festive dates'!$A$2:$J$5,7,FALSE),1,0)</f>
        <v>0</v>
      </c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>
      <c r="A498" s="8">
        <v>45513</v>
      </c>
      <c r="B498" s="9">
        <v>0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1</v>
      </c>
      <c r="O498" s="9">
        <v>0</v>
      </c>
      <c r="P498" s="9">
        <v>0</v>
      </c>
      <c r="Q498" s="9">
        <f>MAX(-20,MIN(10,$A498-VLOOKUP(YEAR($A498),'Festive dates'!$A$2:$J$5,8,FALSE)))</f>
        <v>-20</v>
      </c>
      <c r="R498" s="9">
        <f>IF(AND($A498&gt;VLOOKUP(YEAR($A498),'Festive dates'!$A$2:$J$5,2,FALSE),$A498&lt;VLOOKUP(YEAR($A498),'Festive dates'!$A$2:$J$5,3,FALSE)),1,0)</f>
        <v>0</v>
      </c>
      <c r="S498" s="9">
        <f>IF($A498=VLOOKUP(YEAR($A498),'Festive dates'!$A$2:$J$5,2,FALSE),1,0)</f>
        <v>0</v>
      </c>
      <c r="T498" s="9">
        <f>IF($A498=VLOOKUP(YEAR($A498),'Festive dates'!$A$2:$J$5,3,FALSE),1,0)</f>
        <v>0</v>
      </c>
      <c r="U498" s="9">
        <f>IF($A498=VLOOKUP(YEAR($A498),'Festive dates'!$A$2:$J$5,4,FALSE),1,0)</f>
        <v>0</v>
      </c>
      <c r="V498" s="9">
        <f>IF(AND($A498&gt;=VLOOKUP(YEAR($A498),'Festive dates'!$A$2:$J$5,9,FALSE),$A498&lt;=VLOOKUP(YEAR($A498),'Festive dates'!$A$2:$J$5,10,FALSE)),1,0)</f>
        <v>0</v>
      </c>
      <c r="W498" s="9">
        <f>IF($A498=VLOOKUP(YEAR($A498),'Festive dates'!$A$2:$J$5,7,FALSE),1,0)</f>
        <v>0</v>
      </c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>
      <c r="A499" s="8">
        <v>45514</v>
      </c>
      <c r="B499" s="9">
        <v>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f>MAX(-20,MIN(10,$A499-VLOOKUP(YEAR($A499),'Festive dates'!$A$2:$J$5,8,FALSE)))</f>
        <v>-20</v>
      </c>
      <c r="R499" s="9">
        <f>IF(AND($A499&gt;VLOOKUP(YEAR($A499),'Festive dates'!$A$2:$J$5,2,FALSE),$A499&lt;VLOOKUP(YEAR($A499),'Festive dates'!$A$2:$J$5,3,FALSE)),1,0)</f>
        <v>0</v>
      </c>
      <c r="S499" s="9">
        <f>IF($A499=VLOOKUP(YEAR($A499),'Festive dates'!$A$2:$J$5,2,FALSE),1,0)</f>
        <v>0</v>
      </c>
      <c r="T499" s="9">
        <f>IF($A499=VLOOKUP(YEAR($A499),'Festive dates'!$A$2:$J$5,3,FALSE),1,0)</f>
        <v>0</v>
      </c>
      <c r="U499" s="9">
        <f>IF($A499=VLOOKUP(YEAR($A499),'Festive dates'!$A$2:$J$5,4,FALSE),1,0)</f>
        <v>0</v>
      </c>
      <c r="V499" s="9">
        <f>IF(AND($A499&gt;=VLOOKUP(YEAR($A499),'Festive dates'!$A$2:$J$5,9,FALSE),$A499&lt;=VLOOKUP(YEAR($A499),'Festive dates'!$A$2:$J$5,10,FALSE)),1,0)</f>
        <v>0</v>
      </c>
      <c r="W499" s="9">
        <f>IF($A499=VLOOKUP(YEAR($A499),'Festive dates'!$A$2:$J$5,7,FALSE),1,0)</f>
        <v>0</v>
      </c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>
      <c r="A500" s="8">
        <v>45515</v>
      </c>
      <c r="B500" s="9">
        <v>0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f>MAX(-20,MIN(10,$A500-VLOOKUP(YEAR($A500),'Festive dates'!$A$2:$J$5,8,FALSE)))</f>
        <v>-20</v>
      </c>
      <c r="R500" s="9">
        <f>IF(AND($A500&gt;VLOOKUP(YEAR($A500),'Festive dates'!$A$2:$J$5,2,FALSE),$A500&lt;VLOOKUP(YEAR($A500),'Festive dates'!$A$2:$J$5,3,FALSE)),1,0)</f>
        <v>0</v>
      </c>
      <c r="S500" s="9">
        <f>IF($A500=VLOOKUP(YEAR($A500),'Festive dates'!$A$2:$J$5,2,FALSE),1,0)</f>
        <v>0</v>
      </c>
      <c r="T500" s="9">
        <f>IF($A500=VLOOKUP(YEAR($A500),'Festive dates'!$A$2:$J$5,3,FALSE),1,0)</f>
        <v>0</v>
      </c>
      <c r="U500" s="9">
        <f>IF($A500=VLOOKUP(YEAR($A500),'Festive dates'!$A$2:$J$5,4,FALSE),1,0)</f>
        <v>0</v>
      </c>
      <c r="V500" s="9">
        <f>IF(AND($A500&gt;=VLOOKUP(YEAR($A500),'Festive dates'!$A$2:$J$5,9,FALSE),$A500&lt;=VLOOKUP(YEAR($A500),'Festive dates'!$A$2:$J$5,10,FALSE)),1,0)</f>
        <v>0</v>
      </c>
      <c r="W500" s="9">
        <f>IF($A500=VLOOKUP(YEAR($A500),'Festive dates'!$A$2:$J$5,7,FALSE),1,0)</f>
        <v>0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>
      <c r="A501" s="8">
        <v>45516</v>
      </c>
      <c r="B501" s="9">
        <v>0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f>MAX(-20,MIN(10,$A501-VLOOKUP(YEAR($A501),'Festive dates'!$A$2:$J$5,8,FALSE)))</f>
        <v>-20</v>
      </c>
      <c r="R501" s="9">
        <f>IF(AND($A501&gt;VLOOKUP(YEAR($A501),'Festive dates'!$A$2:$J$5,2,FALSE),$A501&lt;VLOOKUP(YEAR($A501),'Festive dates'!$A$2:$J$5,3,FALSE)),1,0)</f>
        <v>0</v>
      </c>
      <c r="S501" s="9">
        <f>IF($A501=VLOOKUP(YEAR($A501),'Festive dates'!$A$2:$J$5,2,FALSE),1,0)</f>
        <v>0</v>
      </c>
      <c r="T501" s="9">
        <f>IF($A501=VLOOKUP(YEAR($A501),'Festive dates'!$A$2:$J$5,3,FALSE),1,0)</f>
        <v>0</v>
      </c>
      <c r="U501" s="9">
        <f>IF($A501=VLOOKUP(YEAR($A501),'Festive dates'!$A$2:$J$5,4,FALSE),1,0)</f>
        <v>0</v>
      </c>
      <c r="V501" s="9">
        <f>IF(AND($A501&gt;=VLOOKUP(YEAR($A501),'Festive dates'!$A$2:$J$5,9,FALSE),$A501&lt;=VLOOKUP(YEAR($A501),'Festive dates'!$A$2:$J$5,10,FALSE)),1,0)</f>
        <v>0</v>
      </c>
      <c r="W501" s="9">
        <f>IF($A501=VLOOKUP(YEAR($A501),'Festive dates'!$A$2:$J$5,7,FALSE),1,0)</f>
        <v>0</v>
      </c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>
      <c r="A502" s="8">
        <v>45517</v>
      </c>
      <c r="B502" s="9">
        <v>0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f>MAX(-20,MIN(10,$A502-VLOOKUP(YEAR($A502),'Festive dates'!$A$2:$J$5,8,FALSE)))</f>
        <v>-20</v>
      </c>
      <c r="R502" s="9">
        <f>IF(AND($A502&gt;VLOOKUP(YEAR($A502),'Festive dates'!$A$2:$J$5,2,FALSE),$A502&lt;VLOOKUP(YEAR($A502),'Festive dates'!$A$2:$J$5,3,FALSE)),1,0)</f>
        <v>0</v>
      </c>
      <c r="S502" s="9">
        <f>IF($A502=VLOOKUP(YEAR($A502),'Festive dates'!$A$2:$J$5,2,FALSE),1,0)</f>
        <v>0</v>
      </c>
      <c r="T502" s="9">
        <f>IF($A502=VLOOKUP(YEAR($A502),'Festive dates'!$A$2:$J$5,3,FALSE),1,0)</f>
        <v>0</v>
      </c>
      <c r="U502" s="9">
        <f>IF($A502=VLOOKUP(YEAR($A502),'Festive dates'!$A$2:$J$5,4,FALSE),1,0)</f>
        <v>0</v>
      </c>
      <c r="V502" s="9">
        <f>IF(AND($A502&gt;=VLOOKUP(YEAR($A502),'Festive dates'!$A$2:$J$5,9,FALSE),$A502&lt;=VLOOKUP(YEAR($A502),'Festive dates'!$A$2:$J$5,10,FALSE)),1,0)</f>
        <v>0</v>
      </c>
      <c r="W502" s="9">
        <f>IF($A502=VLOOKUP(YEAR($A502),'Festive dates'!$A$2:$J$5,7,FALSE),1,0)</f>
        <v>0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>
      <c r="A503" s="8">
        <v>45518</v>
      </c>
      <c r="B503" s="9">
        <v>0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f>MAX(-20,MIN(10,$A503-VLOOKUP(YEAR($A503),'Festive dates'!$A$2:$J$5,8,FALSE)))</f>
        <v>-20</v>
      </c>
      <c r="R503" s="9">
        <f>IF(AND($A503&gt;VLOOKUP(YEAR($A503),'Festive dates'!$A$2:$J$5,2,FALSE),$A503&lt;VLOOKUP(YEAR($A503),'Festive dates'!$A$2:$J$5,3,FALSE)),1,0)</f>
        <v>0</v>
      </c>
      <c r="S503" s="9">
        <f>IF($A503=VLOOKUP(YEAR($A503),'Festive dates'!$A$2:$J$5,2,FALSE),1,0)</f>
        <v>0</v>
      </c>
      <c r="T503" s="9">
        <f>IF($A503=VLOOKUP(YEAR($A503),'Festive dates'!$A$2:$J$5,3,FALSE),1,0)</f>
        <v>0</v>
      </c>
      <c r="U503" s="9">
        <f>IF($A503=VLOOKUP(YEAR($A503),'Festive dates'!$A$2:$J$5,4,FALSE),1,0)</f>
        <v>0</v>
      </c>
      <c r="V503" s="9">
        <f>IF(AND($A503&gt;=VLOOKUP(YEAR($A503),'Festive dates'!$A$2:$J$5,9,FALSE),$A503&lt;=VLOOKUP(YEAR($A503),'Festive dates'!$A$2:$J$5,10,FALSE)),1,0)</f>
        <v>0</v>
      </c>
      <c r="W503" s="9">
        <f>IF($A503=VLOOKUP(YEAR($A503),'Festive dates'!$A$2:$J$5,7,FALSE),1,0)</f>
        <v>0</v>
      </c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>
      <c r="A504" s="8">
        <v>45519</v>
      </c>
      <c r="B504" s="9">
        <v>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f>MAX(-20,MIN(10,$A504-VLOOKUP(YEAR($A504),'Festive dates'!$A$2:$J$5,8,FALSE)))</f>
        <v>-20</v>
      </c>
      <c r="R504" s="9">
        <f>IF(AND($A504&gt;VLOOKUP(YEAR($A504),'Festive dates'!$A$2:$J$5,2,FALSE),$A504&lt;VLOOKUP(YEAR($A504),'Festive dates'!$A$2:$J$5,3,FALSE)),1,0)</f>
        <v>0</v>
      </c>
      <c r="S504" s="9">
        <f>IF($A504=VLOOKUP(YEAR($A504),'Festive dates'!$A$2:$J$5,2,FALSE),1,0)</f>
        <v>0</v>
      </c>
      <c r="T504" s="9">
        <f>IF($A504=VLOOKUP(YEAR($A504),'Festive dates'!$A$2:$J$5,3,FALSE),1,0)</f>
        <v>0</v>
      </c>
      <c r="U504" s="9">
        <f>IF($A504=VLOOKUP(YEAR($A504),'Festive dates'!$A$2:$J$5,4,FALSE),1,0)</f>
        <v>0</v>
      </c>
      <c r="V504" s="9">
        <f>IF(AND($A504&gt;=VLOOKUP(YEAR($A504),'Festive dates'!$A$2:$J$5,9,FALSE),$A504&lt;=VLOOKUP(YEAR($A504),'Festive dates'!$A$2:$J$5,10,FALSE)),1,0)</f>
        <v>0</v>
      </c>
      <c r="W504" s="9">
        <f>IF($A504=VLOOKUP(YEAR($A504),'Festive dates'!$A$2:$J$5,7,FALSE),1,0)</f>
        <v>0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>
      <c r="A505" s="8">
        <v>45520</v>
      </c>
      <c r="B505" s="9">
        <v>0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f>MAX(-20,MIN(10,$A505-VLOOKUP(YEAR($A505),'Festive dates'!$A$2:$J$5,8,FALSE)))</f>
        <v>-20</v>
      </c>
      <c r="R505" s="9">
        <f>IF(AND($A505&gt;VLOOKUP(YEAR($A505),'Festive dates'!$A$2:$J$5,2,FALSE),$A505&lt;VLOOKUP(YEAR($A505),'Festive dates'!$A$2:$J$5,3,FALSE)),1,0)</f>
        <v>0</v>
      </c>
      <c r="S505" s="9">
        <f>IF($A505=VLOOKUP(YEAR($A505),'Festive dates'!$A$2:$J$5,2,FALSE),1,0)</f>
        <v>0</v>
      </c>
      <c r="T505" s="9">
        <f>IF($A505=VLOOKUP(YEAR($A505),'Festive dates'!$A$2:$J$5,3,FALSE),1,0)</f>
        <v>0</v>
      </c>
      <c r="U505" s="9">
        <f>IF($A505=VLOOKUP(YEAR($A505),'Festive dates'!$A$2:$J$5,4,FALSE),1,0)</f>
        <v>0</v>
      </c>
      <c r="V505" s="9">
        <f>IF(AND($A505&gt;=VLOOKUP(YEAR($A505),'Festive dates'!$A$2:$J$5,9,FALSE),$A505&lt;=VLOOKUP(YEAR($A505),'Festive dates'!$A$2:$J$5,10,FALSE)),1,0)</f>
        <v>0</v>
      </c>
      <c r="W505" s="9">
        <f>IF($A505=VLOOKUP(YEAR($A505),'Festive dates'!$A$2:$J$5,7,FALSE),1,0)</f>
        <v>0</v>
      </c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>
      <c r="A506" s="8">
        <v>45521</v>
      </c>
      <c r="B506" s="9">
        <v>0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f>MAX(-20,MIN(10,$A506-VLOOKUP(YEAR($A506),'Festive dates'!$A$2:$J$5,8,FALSE)))</f>
        <v>-20</v>
      </c>
      <c r="R506" s="9">
        <f>IF(AND($A506&gt;VLOOKUP(YEAR($A506),'Festive dates'!$A$2:$J$5,2,FALSE),$A506&lt;VLOOKUP(YEAR($A506),'Festive dates'!$A$2:$J$5,3,FALSE)),1,0)</f>
        <v>0</v>
      </c>
      <c r="S506" s="9">
        <f>IF($A506=VLOOKUP(YEAR($A506),'Festive dates'!$A$2:$J$5,2,FALSE),1,0)</f>
        <v>0</v>
      </c>
      <c r="T506" s="9">
        <f>IF($A506=VLOOKUP(YEAR($A506),'Festive dates'!$A$2:$J$5,3,FALSE),1,0)</f>
        <v>0</v>
      </c>
      <c r="U506" s="9">
        <f>IF($A506=VLOOKUP(YEAR($A506),'Festive dates'!$A$2:$J$5,4,FALSE),1,0)</f>
        <v>0</v>
      </c>
      <c r="V506" s="9">
        <f>IF(AND($A506&gt;=VLOOKUP(YEAR($A506),'Festive dates'!$A$2:$J$5,9,FALSE),$A506&lt;=VLOOKUP(YEAR($A506),'Festive dates'!$A$2:$J$5,10,FALSE)),1,0)</f>
        <v>0</v>
      </c>
      <c r="W506" s="9">
        <f>IF($A506=VLOOKUP(YEAR($A506),'Festive dates'!$A$2:$J$5,7,FALSE),1,0)</f>
        <v>0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>
      <c r="A507" s="8">
        <v>45522</v>
      </c>
      <c r="B507" s="9">
        <v>0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f>MAX(-20,MIN(10,$A507-VLOOKUP(YEAR($A507),'Festive dates'!$A$2:$J$5,8,FALSE)))</f>
        <v>-20</v>
      </c>
      <c r="R507" s="9">
        <f>IF(AND($A507&gt;VLOOKUP(YEAR($A507),'Festive dates'!$A$2:$J$5,2,FALSE),$A507&lt;VLOOKUP(YEAR($A507),'Festive dates'!$A$2:$J$5,3,FALSE)),1,0)</f>
        <v>0</v>
      </c>
      <c r="S507" s="9">
        <f>IF($A507=VLOOKUP(YEAR($A507),'Festive dates'!$A$2:$J$5,2,FALSE),1,0)</f>
        <v>0</v>
      </c>
      <c r="T507" s="9">
        <f>IF($A507=VLOOKUP(YEAR($A507),'Festive dates'!$A$2:$J$5,3,FALSE),1,0)</f>
        <v>0</v>
      </c>
      <c r="U507" s="9">
        <f>IF($A507=VLOOKUP(YEAR($A507),'Festive dates'!$A$2:$J$5,4,FALSE),1,0)</f>
        <v>0</v>
      </c>
      <c r="V507" s="9">
        <f>IF(AND($A507&gt;=VLOOKUP(YEAR($A507),'Festive dates'!$A$2:$J$5,9,FALSE),$A507&lt;=VLOOKUP(YEAR($A507),'Festive dates'!$A$2:$J$5,10,FALSE)),1,0)</f>
        <v>0</v>
      </c>
      <c r="W507" s="9">
        <f>IF($A507=VLOOKUP(YEAR($A507),'Festive dates'!$A$2:$J$5,7,FALSE),1,0)</f>
        <v>0</v>
      </c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>
      <c r="A508" s="8">
        <v>45523</v>
      </c>
      <c r="B508" s="9">
        <v>0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1</v>
      </c>
      <c r="P508" s="9">
        <v>0</v>
      </c>
      <c r="Q508" s="9">
        <f>MAX(-20,MIN(10,$A508-VLOOKUP(YEAR($A508),'Festive dates'!$A$2:$J$5,8,FALSE)))</f>
        <v>-20</v>
      </c>
      <c r="R508" s="9">
        <f>IF(AND($A508&gt;VLOOKUP(YEAR($A508),'Festive dates'!$A$2:$J$5,2,FALSE),$A508&lt;VLOOKUP(YEAR($A508),'Festive dates'!$A$2:$J$5,3,FALSE)),1,0)</f>
        <v>0</v>
      </c>
      <c r="S508" s="9">
        <f>IF($A508=VLOOKUP(YEAR($A508),'Festive dates'!$A$2:$J$5,2,FALSE),1,0)</f>
        <v>0</v>
      </c>
      <c r="T508" s="9">
        <f>IF($A508=VLOOKUP(YEAR($A508),'Festive dates'!$A$2:$J$5,3,FALSE),1,0)</f>
        <v>0</v>
      </c>
      <c r="U508" s="9">
        <f>IF($A508=VLOOKUP(YEAR($A508),'Festive dates'!$A$2:$J$5,4,FALSE),1,0)</f>
        <v>0</v>
      </c>
      <c r="V508" s="9">
        <f>IF(AND($A508&gt;=VLOOKUP(YEAR($A508),'Festive dates'!$A$2:$J$5,9,FALSE),$A508&lt;=VLOOKUP(YEAR($A508),'Festive dates'!$A$2:$J$5,10,FALSE)),1,0)</f>
        <v>0</v>
      </c>
      <c r="W508" s="9">
        <f>IF($A508=VLOOKUP(YEAR($A508),'Festive dates'!$A$2:$J$5,7,FALSE),1,0)</f>
        <v>0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>
      <c r="A509" s="8">
        <v>45524</v>
      </c>
      <c r="B509" s="9">
        <v>0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f>MAX(-20,MIN(10,$A509-VLOOKUP(YEAR($A509),'Festive dates'!$A$2:$J$5,8,FALSE)))</f>
        <v>-20</v>
      </c>
      <c r="R509" s="9">
        <f>IF(AND($A509&gt;VLOOKUP(YEAR($A509),'Festive dates'!$A$2:$J$5,2,FALSE),$A509&lt;VLOOKUP(YEAR($A509),'Festive dates'!$A$2:$J$5,3,FALSE)),1,0)</f>
        <v>0</v>
      </c>
      <c r="S509" s="9">
        <f>IF($A509=VLOOKUP(YEAR($A509),'Festive dates'!$A$2:$J$5,2,FALSE),1,0)</f>
        <v>0</v>
      </c>
      <c r="T509" s="9">
        <f>IF($A509=VLOOKUP(YEAR($A509),'Festive dates'!$A$2:$J$5,3,FALSE),1,0)</f>
        <v>0</v>
      </c>
      <c r="U509" s="9">
        <f>IF($A509=VLOOKUP(YEAR($A509),'Festive dates'!$A$2:$J$5,4,FALSE),1,0)</f>
        <v>0</v>
      </c>
      <c r="V509" s="9">
        <f>IF(AND($A509&gt;=VLOOKUP(YEAR($A509),'Festive dates'!$A$2:$J$5,9,FALSE),$A509&lt;=VLOOKUP(YEAR($A509),'Festive dates'!$A$2:$J$5,10,FALSE)),1,0)</f>
        <v>0</v>
      </c>
      <c r="W509" s="9">
        <f>IF($A509=VLOOKUP(YEAR($A509),'Festive dates'!$A$2:$J$5,7,FALSE),1,0)</f>
        <v>0</v>
      </c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>
      <c r="A510" s="8">
        <v>45525</v>
      </c>
      <c r="B510" s="9">
        <v>0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f>MAX(-20,MIN(10,$A510-VLOOKUP(YEAR($A510),'Festive dates'!$A$2:$J$5,8,FALSE)))</f>
        <v>-20</v>
      </c>
      <c r="R510" s="9">
        <f>IF(AND($A510&gt;VLOOKUP(YEAR($A510),'Festive dates'!$A$2:$J$5,2,FALSE),$A510&lt;VLOOKUP(YEAR($A510),'Festive dates'!$A$2:$J$5,3,FALSE)),1,0)</f>
        <v>0</v>
      </c>
      <c r="S510" s="9">
        <f>IF($A510=VLOOKUP(YEAR($A510),'Festive dates'!$A$2:$J$5,2,FALSE),1,0)</f>
        <v>0</v>
      </c>
      <c r="T510" s="9">
        <f>IF($A510=VLOOKUP(YEAR($A510),'Festive dates'!$A$2:$J$5,3,FALSE),1,0)</f>
        <v>0</v>
      </c>
      <c r="U510" s="9">
        <f>IF($A510=VLOOKUP(YEAR($A510),'Festive dates'!$A$2:$J$5,4,FALSE),1,0)</f>
        <v>0</v>
      </c>
      <c r="V510" s="9">
        <f>IF(AND($A510&gt;=VLOOKUP(YEAR($A510),'Festive dates'!$A$2:$J$5,9,FALSE),$A510&lt;=VLOOKUP(YEAR($A510),'Festive dates'!$A$2:$J$5,10,FALSE)),1,0)</f>
        <v>0</v>
      </c>
      <c r="W510" s="9">
        <f>IF($A510=VLOOKUP(YEAR($A510),'Festive dates'!$A$2:$J$5,7,FALSE),1,0)</f>
        <v>0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>
      <c r="A511" s="8">
        <v>45526</v>
      </c>
      <c r="B511" s="9">
        <v>0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f>MAX(-20,MIN(10,$A511-VLOOKUP(YEAR($A511),'Festive dates'!$A$2:$J$5,8,FALSE)))</f>
        <v>-20</v>
      </c>
      <c r="R511" s="9">
        <f>IF(AND($A511&gt;VLOOKUP(YEAR($A511),'Festive dates'!$A$2:$J$5,2,FALSE),$A511&lt;VLOOKUP(YEAR($A511),'Festive dates'!$A$2:$J$5,3,FALSE)),1,0)</f>
        <v>0</v>
      </c>
      <c r="S511" s="9">
        <f>IF($A511=VLOOKUP(YEAR($A511),'Festive dates'!$A$2:$J$5,2,FALSE),1,0)</f>
        <v>0</v>
      </c>
      <c r="T511" s="9">
        <f>IF($A511=VLOOKUP(YEAR($A511),'Festive dates'!$A$2:$J$5,3,FALSE),1,0)</f>
        <v>0</v>
      </c>
      <c r="U511" s="9">
        <f>IF($A511=VLOOKUP(YEAR($A511),'Festive dates'!$A$2:$J$5,4,FALSE),1,0)</f>
        <v>0</v>
      </c>
      <c r="V511" s="9">
        <f>IF(AND($A511&gt;=VLOOKUP(YEAR($A511),'Festive dates'!$A$2:$J$5,9,FALSE),$A511&lt;=VLOOKUP(YEAR($A511),'Festive dates'!$A$2:$J$5,10,FALSE)),1,0)</f>
        <v>0</v>
      </c>
      <c r="W511" s="9">
        <f>IF($A511=VLOOKUP(YEAR($A511),'Festive dates'!$A$2:$J$5,7,FALSE),1,0)</f>
        <v>0</v>
      </c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>
      <c r="A512" s="8">
        <v>45527</v>
      </c>
      <c r="B512" s="9">
        <v>0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f>MAX(-20,MIN(10,$A512-VLOOKUP(YEAR($A512),'Festive dates'!$A$2:$J$5,8,FALSE)))</f>
        <v>-20</v>
      </c>
      <c r="R512" s="9">
        <f>IF(AND($A512&gt;VLOOKUP(YEAR($A512),'Festive dates'!$A$2:$J$5,2,FALSE),$A512&lt;VLOOKUP(YEAR($A512),'Festive dates'!$A$2:$J$5,3,FALSE)),1,0)</f>
        <v>0</v>
      </c>
      <c r="S512" s="9">
        <f>IF($A512=VLOOKUP(YEAR($A512),'Festive dates'!$A$2:$J$5,2,FALSE),1,0)</f>
        <v>0</v>
      </c>
      <c r="T512" s="9">
        <f>IF($A512=VLOOKUP(YEAR($A512),'Festive dates'!$A$2:$J$5,3,FALSE),1,0)</f>
        <v>0</v>
      </c>
      <c r="U512" s="9">
        <f>IF($A512=VLOOKUP(YEAR($A512),'Festive dates'!$A$2:$J$5,4,FALSE),1,0)</f>
        <v>0</v>
      </c>
      <c r="V512" s="9">
        <f>IF(AND($A512&gt;=VLOOKUP(YEAR($A512),'Festive dates'!$A$2:$J$5,9,FALSE),$A512&lt;=VLOOKUP(YEAR($A512),'Festive dates'!$A$2:$J$5,10,FALSE)),1,0)</f>
        <v>0</v>
      </c>
      <c r="W512" s="9">
        <f>IF($A512=VLOOKUP(YEAR($A512),'Festive dates'!$A$2:$J$5,7,FALSE),1,0)</f>
        <v>0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>
      <c r="A513" s="8">
        <v>45528</v>
      </c>
      <c r="B513" s="9">
        <v>0</v>
      </c>
      <c r="C513" s="9">
        <v>0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f>MAX(-20,MIN(10,$A513-VLOOKUP(YEAR($A513),'Festive dates'!$A$2:$J$5,8,FALSE)))</f>
        <v>-20</v>
      </c>
      <c r="R513" s="9">
        <f>IF(AND($A513&gt;VLOOKUP(YEAR($A513),'Festive dates'!$A$2:$J$5,2,FALSE),$A513&lt;VLOOKUP(YEAR($A513),'Festive dates'!$A$2:$J$5,3,FALSE)),1,0)</f>
        <v>0</v>
      </c>
      <c r="S513" s="9">
        <f>IF($A513=VLOOKUP(YEAR($A513),'Festive dates'!$A$2:$J$5,2,FALSE),1,0)</f>
        <v>0</v>
      </c>
      <c r="T513" s="9">
        <f>IF($A513=VLOOKUP(YEAR($A513),'Festive dates'!$A$2:$J$5,3,FALSE),1,0)</f>
        <v>0</v>
      </c>
      <c r="U513" s="9">
        <f>IF($A513=VLOOKUP(YEAR($A513),'Festive dates'!$A$2:$J$5,4,FALSE),1,0)</f>
        <v>0</v>
      </c>
      <c r="V513" s="9">
        <f>IF(AND($A513&gt;=VLOOKUP(YEAR($A513),'Festive dates'!$A$2:$J$5,9,FALSE),$A513&lt;=VLOOKUP(YEAR($A513),'Festive dates'!$A$2:$J$5,10,FALSE)),1,0)</f>
        <v>0</v>
      </c>
      <c r="W513" s="9">
        <f>IF($A513=VLOOKUP(YEAR($A513),'Festive dates'!$A$2:$J$5,7,FALSE),1,0)</f>
        <v>0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>
      <c r="A514" s="8">
        <v>45529</v>
      </c>
      <c r="B514" s="9">
        <v>0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f>MAX(-20,MIN(10,$A514-VLOOKUP(YEAR($A514),'Festive dates'!$A$2:$J$5,8,FALSE)))</f>
        <v>-20</v>
      </c>
      <c r="R514" s="9">
        <f>IF(AND($A514&gt;VLOOKUP(YEAR($A514),'Festive dates'!$A$2:$J$5,2,FALSE),$A514&lt;VLOOKUP(YEAR($A514),'Festive dates'!$A$2:$J$5,3,FALSE)),1,0)</f>
        <v>0</v>
      </c>
      <c r="S514" s="9">
        <f>IF($A514=VLOOKUP(YEAR($A514),'Festive dates'!$A$2:$J$5,2,FALSE),1,0)</f>
        <v>0</v>
      </c>
      <c r="T514" s="9">
        <f>IF($A514=VLOOKUP(YEAR($A514),'Festive dates'!$A$2:$J$5,3,FALSE),1,0)</f>
        <v>0</v>
      </c>
      <c r="U514" s="9">
        <f>IF($A514=VLOOKUP(YEAR($A514),'Festive dates'!$A$2:$J$5,4,FALSE),1,0)</f>
        <v>0</v>
      </c>
      <c r="V514" s="9">
        <f>IF(AND($A514&gt;=VLOOKUP(YEAR($A514),'Festive dates'!$A$2:$J$5,9,FALSE),$A514&lt;=VLOOKUP(YEAR($A514),'Festive dates'!$A$2:$J$5,10,FALSE)),1,0)</f>
        <v>0</v>
      </c>
      <c r="W514" s="9">
        <f>IF($A514=VLOOKUP(YEAR($A514),'Festive dates'!$A$2:$J$5,7,FALSE),1,0)</f>
        <v>0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>
      <c r="A515" s="8">
        <v>45530</v>
      </c>
      <c r="B515" s="9">
        <v>0</v>
      </c>
      <c r="C515" s="9">
        <v>0</v>
      </c>
      <c r="D515" s="9">
        <v>1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f>MAX(-20,MIN(10,$A515-VLOOKUP(YEAR($A515),'Festive dates'!$A$2:$J$5,8,FALSE)))</f>
        <v>-20</v>
      </c>
      <c r="R515" s="9">
        <f>IF(AND($A515&gt;VLOOKUP(YEAR($A515),'Festive dates'!$A$2:$J$5,2,FALSE),$A515&lt;VLOOKUP(YEAR($A515),'Festive dates'!$A$2:$J$5,3,FALSE)),1,0)</f>
        <v>0</v>
      </c>
      <c r="S515" s="9">
        <f>IF($A515=VLOOKUP(YEAR($A515),'Festive dates'!$A$2:$J$5,2,FALSE),1,0)</f>
        <v>0</v>
      </c>
      <c r="T515" s="9">
        <f>IF($A515=VLOOKUP(YEAR($A515),'Festive dates'!$A$2:$J$5,3,FALSE),1,0)</f>
        <v>0</v>
      </c>
      <c r="U515" s="9">
        <f>IF($A515=VLOOKUP(YEAR($A515),'Festive dates'!$A$2:$J$5,4,FALSE),1,0)</f>
        <v>0</v>
      </c>
      <c r="V515" s="9">
        <f>IF(AND($A515&gt;=VLOOKUP(YEAR($A515),'Festive dates'!$A$2:$J$5,9,FALSE),$A515&lt;=VLOOKUP(YEAR($A515),'Festive dates'!$A$2:$J$5,10,FALSE)),1,0)</f>
        <v>0</v>
      </c>
      <c r="W515" s="9">
        <f>IF($A515=VLOOKUP(YEAR($A515),'Festive dates'!$A$2:$J$5,7,FALSE),1,0)</f>
        <v>0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>
      <c r="A516" s="8">
        <v>45531</v>
      </c>
      <c r="B516" s="9">
        <v>0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f>MAX(-20,MIN(10,$A516-VLOOKUP(YEAR($A516),'Festive dates'!$A$2:$J$5,8,FALSE)))</f>
        <v>-20</v>
      </c>
      <c r="R516" s="9">
        <f>IF(AND($A516&gt;VLOOKUP(YEAR($A516),'Festive dates'!$A$2:$J$5,2,FALSE),$A516&lt;VLOOKUP(YEAR($A516),'Festive dates'!$A$2:$J$5,3,FALSE)),1,0)</f>
        <v>0</v>
      </c>
      <c r="S516" s="9">
        <f>IF($A516=VLOOKUP(YEAR($A516),'Festive dates'!$A$2:$J$5,2,FALSE),1,0)</f>
        <v>0</v>
      </c>
      <c r="T516" s="9">
        <f>IF($A516=VLOOKUP(YEAR($A516),'Festive dates'!$A$2:$J$5,3,FALSE),1,0)</f>
        <v>0</v>
      </c>
      <c r="U516" s="9">
        <f>IF($A516=VLOOKUP(YEAR($A516),'Festive dates'!$A$2:$J$5,4,FALSE),1,0)</f>
        <v>0</v>
      </c>
      <c r="V516" s="9">
        <f>IF(AND($A516&gt;=VLOOKUP(YEAR($A516),'Festive dates'!$A$2:$J$5,9,FALSE),$A516&lt;=VLOOKUP(YEAR($A516),'Festive dates'!$A$2:$J$5,10,FALSE)),1,0)</f>
        <v>0</v>
      </c>
      <c r="W516" s="9">
        <f>IF($A516=VLOOKUP(YEAR($A516),'Festive dates'!$A$2:$J$5,7,FALSE),1,0)</f>
        <v>0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>
      <c r="A517" s="8">
        <v>45532</v>
      </c>
      <c r="B517" s="9">
        <v>0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f>MAX(-20,MIN(10,$A517-VLOOKUP(YEAR($A517),'Festive dates'!$A$2:$J$5,8,FALSE)))</f>
        <v>-20</v>
      </c>
      <c r="R517" s="9">
        <f>IF(AND($A517&gt;VLOOKUP(YEAR($A517),'Festive dates'!$A$2:$J$5,2,FALSE),$A517&lt;VLOOKUP(YEAR($A517),'Festive dates'!$A$2:$J$5,3,FALSE)),1,0)</f>
        <v>0</v>
      </c>
      <c r="S517" s="9">
        <f>IF($A517=VLOOKUP(YEAR($A517),'Festive dates'!$A$2:$J$5,2,FALSE),1,0)</f>
        <v>0</v>
      </c>
      <c r="T517" s="9">
        <f>IF($A517=VLOOKUP(YEAR($A517),'Festive dates'!$A$2:$J$5,3,FALSE),1,0)</f>
        <v>0</v>
      </c>
      <c r="U517" s="9">
        <f>IF($A517=VLOOKUP(YEAR($A517),'Festive dates'!$A$2:$J$5,4,FALSE),1,0)</f>
        <v>0</v>
      </c>
      <c r="V517" s="9">
        <f>IF(AND($A517&gt;=VLOOKUP(YEAR($A517),'Festive dates'!$A$2:$J$5,9,FALSE),$A517&lt;=VLOOKUP(YEAR($A517),'Festive dates'!$A$2:$J$5,10,FALSE)),1,0)</f>
        <v>0</v>
      </c>
      <c r="W517" s="9">
        <f>IF($A517=VLOOKUP(YEAR($A517),'Festive dates'!$A$2:$J$5,7,FALSE),1,0)</f>
        <v>0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>
      <c r="A518" s="8">
        <v>45533</v>
      </c>
      <c r="B518" s="9">
        <v>0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f>MAX(-20,MIN(10,$A518-VLOOKUP(YEAR($A518),'Festive dates'!$A$2:$J$5,8,FALSE)))</f>
        <v>-20</v>
      </c>
      <c r="R518" s="9">
        <f>IF(AND($A518&gt;VLOOKUP(YEAR($A518),'Festive dates'!$A$2:$J$5,2,FALSE),$A518&lt;VLOOKUP(YEAR($A518),'Festive dates'!$A$2:$J$5,3,FALSE)),1,0)</f>
        <v>0</v>
      </c>
      <c r="S518" s="9">
        <f>IF($A518=VLOOKUP(YEAR($A518),'Festive dates'!$A$2:$J$5,2,FALSE),1,0)</f>
        <v>0</v>
      </c>
      <c r="T518" s="9">
        <f>IF($A518=VLOOKUP(YEAR($A518),'Festive dates'!$A$2:$J$5,3,FALSE),1,0)</f>
        <v>0</v>
      </c>
      <c r="U518" s="9">
        <f>IF($A518=VLOOKUP(YEAR($A518),'Festive dates'!$A$2:$J$5,4,FALSE),1,0)</f>
        <v>0</v>
      </c>
      <c r="V518" s="9">
        <f>IF(AND($A518&gt;=VLOOKUP(YEAR($A518),'Festive dates'!$A$2:$J$5,9,FALSE),$A518&lt;=VLOOKUP(YEAR($A518),'Festive dates'!$A$2:$J$5,10,FALSE)),1,0)</f>
        <v>0</v>
      </c>
      <c r="W518" s="9">
        <f>IF($A518=VLOOKUP(YEAR($A518),'Festive dates'!$A$2:$J$5,7,FALSE),1,0)</f>
        <v>0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>
      <c r="A519" s="8">
        <v>45534</v>
      </c>
      <c r="B519" s="9">
        <v>0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f>MAX(-20,MIN(10,$A519-VLOOKUP(YEAR($A519),'Festive dates'!$A$2:$J$5,8,FALSE)))</f>
        <v>-20</v>
      </c>
      <c r="R519" s="9">
        <f>IF(AND($A519&gt;VLOOKUP(YEAR($A519),'Festive dates'!$A$2:$J$5,2,FALSE),$A519&lt;VLOOKUP(YEAR($A519),'Festive dates'!$A$2:$J$5,3,FALSE)),1,0)</f>
        <v>0</v>
      </c>
      <c r="S519" s="9">
        <f>IF($A519=VLOOKUP(YEAR($A519),'Festive dates'!$A$2:$J$5,2,FALSE),1,0)</f>
        <v>0</v>
      </c>
      <c r="T519" s="9">
        <f>IF($A519=VLOOKUP(YEAR($A519),'Festive dates'!$A$2:$J$5,3,FALSE),1,0)</f>
        <v>0</v>
      </c>
      <c r="U519" s="9">
        <f>IF($A519=VLOOKUP(YEAR($A519),'Festive dates'!$A$2:$J$5,4,FALSE),1,0)</f>
        <v>0</v>
      </c>
      <c r="V519" s="9">
        <f>IF(AND($A519&gt;=VLOOKUP(YEAR($A519),'Festive dates'!$A$2:$J$5,9,FALSE),$A519&lt;=VLOOKUP(YEAR($A519),'Festive dates'!$A$2:$J$5,10,FALSE)),1,0)</f>
        <v>0</v>
      </c>
      <c r="W519" s="9">
        <f>IF($A519=VLOOKUP(YEAR($A519),'Festive dates'!$A$2:$J$5,7,FALSE),1,0)</f>
        <v>0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>
      <c r="A520" s="8">
        <v>45535</v>
      </c>
      <c r="B520" s="9">
        <v>0</v>
      </c>
      <c r="C520" s="9">
        <v>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f>MAX(-20,MIN(10,$A520-VLOOKUP(YEAR($A520),'Festive dates'!$A$2:$J$5,8,FALSE)))</f>
        <v>-20</v>
      </c>
      <c r="R520" s="9">
        <f>IF(AND($A520&gt;VLOOKUP(YEAR($A520),'Festive dates'!$A$2:$J$5,2,FALSE),$A520&lt;VLOOKUP(YEAR($A520),'Festive dates'!$A$2:$J$5,3,FALSE)),1,0)</f>
        <v>0</v>
      </c>
      <c r="S520" s="9">
        <f>IF($A520=VLOOKUP(YEAR($A520),'Festive dates'!$A$2:$J$5,2,FALSE),1,0)</f>
        <v>0</v>
      </c>
      <c r="T520" s="9">
        <f>IF($A520=VLOOKUP(YEAR($A520),'Festive dates'!$A$2:$J$5,3,FALSE),1,0)</f>
        <v>0</v>
      </c>
      <c r="U520" s="9">
        <f>IF($A520=VLOOKUP(YEAR($A520),'Festive dates'!$A$2:$J$5,4,FALSE),1,0)</f>
        <v>0</v>
      </c>
      <c r="V520" s="9">
        <f>IF(AND($A520&gt;=VLOOKUP(YEAR($A520),'Festive dates'!$A$2:$J$5,9,FALSE),$A520&lt;=VLOOKUP(YEAR($A520),'Festive dates'!$A$2:$J$5,10,FALSE)),1,0)</f>
        <v>0</v>
      </c>
      <c r="W520" s="9">
        <f>IF($A520=VLOOKUP(YEAR($A520),'Festive dates'!$A$2:$J$5,7,FALSE),1,0)</f>
        <v>0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>
      <c r="A521" s="8">
        <v>45536</v>
      </c>
      <c r="B521" s="9">
        <v>0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f>MAX(-20,MIN(10,$A521-VLOOKUP(YEAR($A521),'Festive dates'!$A$2:$J$5,8,FALSE)))</f>
        <v>-20</v>
      </c>
      <c r="R521" s="9">
        <f>IF(AND($A521&gt;VLOOKUP(YEAR($A521),'Festive dates'!$A$2:$J$5,2,FALSE),$A521&lt;VLOOKUP(YEAR($A521),'Festive dates'!$A$2:$J$5,3,FALSE)),1,0)</f>
        <v>0</v>
      </c>
      <c r="S521" s="9">
        <f>IF($A521=VLOOKUP(YEAR($A521),'Festive dates'!$A$2:$J$5,2,FALSE),1,0)</f>
        <v>0</v>
      </c>
      <c r="T521" s="9">
        <f>IF($A521=VLOOKUP(YEAR($A521),'Festive dates'!$A$2:$J$5,3,FALSE),1,0)</f>
        <v>0</v>
      </c>
      <c r="U521" s="9">
        <f>IF($A521=VLOOKUP(YEAR($A521),'Festive dates'!$A$2:$J$5,4,FALSE),1,0)</f>
        <v>0</v>
      </c>
      <c r="V521" s="9">
        <f>IF(AND($A521&gt;=VLOOKUP(YEAR($A521),'Festive dates'!$A$2:$J$5,9,FALSE),$A521&lt;=VLOOKUP(YEAR($A521),'Festive dates'!$A$2:$J$5,10,FALSE)),1,0)</f>
        <v>0</v>
      </c>
      <c r="W521" s="9">
        <f>IF($A521=VLOOKUP(YEAR($A521),'Festive dates'!$A$2:$J$5,7,FALSE),1,0)</f>
        <v>0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>
      <c r="A522" s="8">
        <v>45537</v>
      </c>
      <c r="B522" s="9">
        <v>0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f>MAX(-20,MIN(10,$A522-VLOOKUP(YEAR($A522),'Festive dates'!$A$2:$J$5,8,FALSE)))</f>
        <v>-20</v>
      </c>
      <c r="R522" s="9">
        <f>IF(AND($A522&gt;VLOOKUP(YEAR($A522),'Festive dates'!$A$2:$J$5,2,FALSE),$A522&lt;VLOOKUP(YEAR($A522),'Festive dates'!$A$2:$J$5,3,FALSE)),1,0)</f>
        <v>0</v>
      </c>
      <c r="S522" s="9">
        <f>IF($A522=VLOOKUP(YEAR($A522),'Festive dates'!$A$2:$J$5,2,FALSE),1,0)</f>
        <v>0</v>
      </c>
      <c r="T522" s="9">
        <f>IF($A522=VLOOKUP(YEAR($A522),'Festive dates'!$A$2:$J$5,3,FALSE),1,0)</f>
        <v>0</v>
      </c>
      <c r="U522" s="9">
        <f>IF($A522=VLOOKUP(YEAR($A522),'Festive dates'!$A$2:$J$5,4,FALSE),1,0)</f>
        <v>0</v>
      </c>
      <c r="V522" s="9">
        <f>IF(AND($A522&gt;=VLOOKUP(YEAR($A522),'Festive dates'!$A$2:$J$5,9,FALSE),$A522&lt;=VLOOKUP(YEAR($A522),'Festive dates'!$A$2:$J$5,10,FALSE)),1,0)</f>
        <v>0</v>
      </c>
      <c r="W522" s="9">
        <f>IF($A522=VLOOKUP(YEAR($A522),'Festive dates'!$A$2:$J$5,7,FALSE),1,0)</f>
        <v>0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>
      <c r="A523" s="8">
        <v>45538</v>
      </c>
      <c r="B523" s="9">
        <v>0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f>MAX(-20,MIN(10,$A523-VLOOKUP(YEAR($A523),'Festive dates'!$A$2:$J$5,8,FALSE)))</f>
        <v>-20</v>
      </c>
      <c r="R523" s="9">
        <f>IF(AND($A523&gt;VLOOKUP(YEAR($A523),'Festive dates'!$A$2:$J$5,2,FALSE),$A523&lt;VLOOKUP(YEAR($A523),'Festive dates'!$A$2:$J$5,3,FALSE)),1,0)</f>
        <v>0</v>
      </c>
      <c r="S523" s="9">
        <f>IF($A523=VLOOKUP(YEAR($A523),'Festive dates'!$A$2:$J$5,2,FALSE),1,0)</f>
        <v>0</v>
      </c>
      <c r="T523" s="9">
        <f>IF($A523=VLOOKUP(YEAR($A523),'Festive dates'!$A$2:$J$5,3,FALSE),1,0)</f>
        <v>0</v>
      </c>
      <c r="U523" s="9">
        <f>IF($A523=VLOOKUP(YEAR($A523),'Festive dates'!$A$2:$J$5,4,FALSE),1,0)</f>
        <v>0</v>
      </c>
      <c r="V523" s="9">
        <f>IF(AND($A523&gt;=VLOOKUP(YEAR($A523),'Festive dates'!$A$2:$J$5,9,FALSE),$A523&lt;=VLOOKUP(YEAR($A523),'Festive dates'!$A$2:$J$5,10,FALSE)),1,0)</f>
        <v>0</v>
      </c>
      <c r="W523" s="9">
        <f>IF($A523=VLOOKUP(YEAR($A523),'Festive dates'!$A$2:$J$5,7,FALSE),1,0)</f>
        <v>0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>
      <c r="A524" s="8">
        <v>45539</v>
      </c>
      <c r="B524" s="9">
        <v>0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f>MAX(-20,MIN(10,$A524-VLOOKUP(YEAR($A524),'Festive dates'!$A$2:$J$5,8,FALSE)))</f>
        <v>-20</v>
      </c>
      <c r="R524" s="9">
        <f>IF(AND($A524&gt;VLOOKUP(YEAR($A524),'Festive dates'!$A$2:$J$5,2,FALSE),$A524&lt;VLOOKUP(YEAR($A524),'Festive dates'!$A$2:$J$5,3,FALSE)),1,0)</f>
        <v>0</v>
      </c>
      <c r="S524" s="9">
        <f>IF($A524=VLOOKUP(YEAR($A524),'Festive dates'!$A$2:$J$5,2,FALSE),1,0)</f>
        <v>0</v>
      </c>
      <c r="T524" s="9">
        <f>IF($A524=VLOOKUP(YEAR($A524),'Festive dates'!$A$2:$J$5,3,FALSE),1,0)</f>
        <v>0</v>
      </c>
      <c r="U524" s="9">
        <f>IF($A524=VLOOKUP(YEAR($A524),'Festive dates'!$A$2:$J$5,4,FALSE),1,0)</f>
        <v>0</v>
      </c>
      <c r="V524" s="9">
        <f>IF(AND($A524&gt;=VLOOKUP(YEAR($A524),'Festive dates'!$A$2:$J$5,9,FALSE),$A524&lt;=VLOOKUP(YEAR($A524),'Festive dates'!$A$2:$J$5,10,FALSE)),1,0)</f>
        <v>0</v>
      </c>
      <c r="W524" s="9">
        <f>IF($A524=VLOOKUP(YEAR($A524),'Festive dates'!$A$2:$J$5,7,FALSE),1,0)</f>
        <v>0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>
      <c r="A525" s="8">
        <v>45540</v>
      </c>
      <c r="B525" s="9">
        <v>0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f>MAX(-20,MIN(10,$A525-VLOOKUP(YEAR($A525),'Festive dates'!$A$2:$J$5,8,FALSE)))</f>
        <v>-20</v>
      </c>
      <c r="R525" s="9">
        <f>IF(AND($A525&gt;VLOOKUP(YEAR($A525),'Festive dates'!$A$2:$J$5,2,FALSE),$A525&lt;VLOOKUP(YEAR($A525),'Festive dates'!$A$2:$J$5,3,FALSE)),1,0)</f>
        <v>0</v>
      </c>
      <c r="S525" s="9">
        <f>IF($A525=VLOOKUP(YEAR($A525),'Festive dates'!$A$2:$J$5,2,FALSE),1,0)</f>
        <v>0</v>
      </c>
      <c r="T525" s="9">
        <f>IF($A525=VLOOKUP(YEAR($A525),'Festive dates'!$A$2:$J$5,3,FALSE),1,0)</f>
        <v>0</v>
      </c>
      <c r="U525" s="9">
        <f>IF($A525=VLOOKUP(YEAR($A525),'Festive dates'!$A$2:$J$5,4,FALSE),1,0)</f>
        <v>0</v>
      </c>
      <c r="V525" s="9">
        <f>IF(AND($A525&gt;=VLOOKUP(YEAR($A525),'Festive dates'!$A$2:$J$5,9,FALSE),$A525&lt;=VLOOKUP(YEAR($A525),'Festive dates'!$A$2:$J$5,10,FALSE)),1,0)</f>
        <v>0</v>
      </c>
      <c r="W525" s="9">
        <f>IF($A525=VLOOKUP(YEAR($A525),'Festive dates'!$A$2:$J$5,7,FALSE),1,0)</f>
        <v>0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>
      <c r="A526" s="8">
        <v>45541</v>
      </c>
      <c r="B526" s="9">
        <v>1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f>MAX(-20,MIN(10,$A526-VLOOKUP(YEAR($A526),'Festive dates'!$A$2:$J$5,8,FALSE)))</f>
        <v>-20</v>
      </c>
      <c r="R526" s="9">
        <f>IF(AND($A526&gt;VLOOKUP(YEAR($A526),'Festive dates'!$A$2:$J$5,2,FALSE),$A526&lt;VLOOKUP(YEAR($A526),'Festive dates'!$A$2:$J$5,3,FALSE)),1,0)</f>
        <v>0</v>
      </c>
      <c r="S526" s="9">
        <f>IF($A526=VLOOKUP(YEAR($A526),'Festive dates'!$A$2:$J$5,2,FALSE),1,0)</f>
        <v>0</v>
      </c>
      <c r="T526" s="9">
        <f>IF($A526=VLOOKUP(YEAR($A526),'Festive dates'!$A$2:$J$5,3,FALSE),1,0)</f>
        <v>0</v>
      </c>
      <c r="U526" s="9">
        <f>IF($A526=VLOOKUP(YEAR($A526),'Festive dates'!$A$2:$J$5,4,FALSE),1,0)</f>
        <v>0</v>
      </c>
      <c r="V526" s="9">
        <f>IF(AND($A526&gt;=VLOOKUP(YEAR($A526),'Festive dates'!$A$2:$J$5,9,FALSE),$A526&lt;=VLOOKUP(YEAR($A526),'Festive dates'!$A$2:$J$5,10,FALSE)),1,0)</f>
        <v>0</v>
      </c>
      <c r="W526" s="9">
        <f>IF($A526=VLOOKUP(YEAR($A526),'Festive dates'!$A$2:$J$5,7,FALSE),1,0)</f>
        <v>0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>
      <c r="A527" s="8">
        <v>45542</v>
      </c>
      <c r="B527" s="9">
        <v>0</v>
      </c>
      <c r="C527" s="9">
        <v>1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f>MAX(-20,MIN(10,$A527-VLOOKUP(YEAR($A527),'Festive dates'!$A$2:$J$5,8,FALSE)))</f>
        <v>-20</v>
      </c>
      <c r="R527" s="9">
        <f>IF(AND($A527&gt;VLOOKUP(YEAR($A527),'Festive dates'!$A$2:$J$5,2,FALSE),$A527&lt;VLOOKUP(YEAR($A527),'Festive dates'!$A$2:$J$5,3,FALSE)),1,0)</f>
        <v>0</v>
      </c>
      <c r="S527" s="9">
        <f>IF($A527=VLOOKUP(YEAR($A527),'Festive dates'!$A$2:$J$5,2,FALSE),1,0)</f>
        <v>0</v>
      </c>
      <c r="T527" s="9">
        <f>IF($A527=VLOOKUP(YEAR($A527),'Festive dates'!$A$2:$J$5,3,FALSE),1,0)</f>
        <v>0</v>
      </c>
      <c r="U527" s="9">
        <f>IF($A527=VLOOKUP(YEAR($A527),'Festive dates'!$A$2:$J$5,4,FALSE),1,0)</f>
        <v>0</v>
      </c>
      <c r="V527" s="9">
        <f>IF(AND($A527&gt;=VLOOKUP(YEAR($A527),'Festive dates'!$A$2:$J$5,9,FALSE),$A527&lt;=VLOOKUP(YEAR($A527),'Festive dates'!$A$2:$J$5,10,FALSE)),1,0)</f>
        <v>0</v>
      </c>
      <c r="W527" s="9">
        <f>IF($A527=VLOOKUP(YEAR($A527),'Festive dates'!$A$2:$J$5,7,FALSE),1,0)</f>
        <v>0</v>
      </c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>
      <c r="A528" s="8">
        <v>45543</v>
      </c>
      <c r="B528" s="9">
        <v>0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f>MAX(-20,MIN(10,$A528-VLOOKUP(YEAR($A528),'Festive dates'!$A$2:$J$5,8,FALSE)))</f>
        <v>-20</v>
      </c>
      <c r="R528" s="9">
        <f>IF(AND($A528&gt;VLOOKUP(YEAR($A528),'Festive dates'!$A$2:$J$5,2,FALSE),$A528&lt;VLOOKUP(YEAR($A528),'Festive dates'!$A$2:$J$5,3,FALSE)),1,0)</f>
        <v>0</v>
      </c>
      <c r="S528" s="9">
        <f>IF($A528=VLOOKUP(YEAR($A528),'Festive dates'!$A$2:$J$5,2,FALSE),1,0)</f>
        <v>0</v>
      </c>
      <c r="T528" s="9">
        <f>IF($A528=VLOOKUP(YEAR($A528),'Festive dates'!$A$2:$J$5,3,FALSE),1,0)</f>
        <v>0</v>
      </c>
      <c r="U528" s="9">
        <f>IF($A528=VLOOKUP(YEAR($A528),'Festive dates'!$A$2:$J$5,4,FALSE),1,0)</f>
        <v>0</v>
      </c>
      <c r="V528" s="9">
        <f>IF(AND($A528&gt;=VLOOKUP(YEAR($A528),'Festive dates'!$A$2:$J$5,9,FALSE),$A528&lt;=VLOOKUP(YEAR($A528),'Festive dates'!$A$2:$J$5,10,FALSE)),1,0)</f>
        <v>0</v>
      </c>
      <c r="W528" s="9">
        <f>IF($A528=VLOOKUP(YEAR($A528),'Festive dates'!$A$2:$J$5,7,FALSE),1,0)</f>
        <v>0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>
      <c r="A529" s="8">
        <v>45544</v>
      </c>
      <c r="B529" s="9">
        <v>0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f>MAX(-20,MIN(10,$A529-VLOOKUP(YEAR($A529),'Festive dates'!$A$2:$J$5,8,FALSE)))</f>
        <v>-20</v>
      </c>
      <c r="R529" s="9">
        <f>IF(AND($A529&gt;VLOOKUP(YEAR($A529),'Festive dates'!$A$2:$J$5,2,FALSE),$A529&lt;VLOOKUP(YEAR($A529),'Festive dates'!$A$2:$J$5,3,FALSE)),1,0)</f>
        <v>0</v>
      </c>
      <c r="S529" s="9">
        <f>IF($A529=VLOOKUP(YEAR($A529),'Festive dates'!$A$2:$J$5,2,FALSE),1,0)</f>
        <v>0</v>
      </c>
      <c r="T529" s="9">
        <f>IF($A529=VLOOKUP(YEAR($A529),'Festive dates'!$A$2:$J$5,3,FALSE),1,0)</f>
        <v>0</v>
      </c>
      <c r="U529" s="9">
        <f>IF($A529=VLOOKUP(YEAR($A529),'Festive dates'!$A$2:$J$5,4,FALSE),1,0)</f>
        <v>0</v>
      </c>
      <c r="V529" s="9">
        <f>IF(AND($A529&gt;=VLOOKUP(YEAR($A529),'Festive dates'!$A$2:$J$5,9,FALSE),$A529&lt;=VLOOKUP(YEAR($A529),'Festive dates'!$A$2:$J$5,10,FALSE)),1,0)</f>
        <v>0</v>
      </c>
      <c r="W529" s="9">
        <f>IF($A529=VLOOKUP(YEAR($A529),'Festive dates'!$A$2:$J$5,7,FALSE),1,0)</f>
        <v>0</v>
      </c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>
      <c r="A530" s="8">
        <v>45545</v>
      </c>
      <c r="B530" s="9">
        <v>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f>MAX(-20,MIN(10,$A530-VLOOKUP(YEAR($A530),'Festive dates'!$A$2:$J$5,8,FALSE)))</f>
        <v>-20</v>
      </c>
      <c r="R530" s="9">
        <f>IF(AND($A530&gt;VLOOKUP(YEAR($A530),'Festive dates'!$A$2:$J$5,2,FALSE),$A530&lt;VLOOKUP(YEAR($A530),'Festive dates'!$A$2:$J$5,3,FALSE)),1,0)</f>
        <v>0</v>
      </c>
      <c r="S530" s="9">
        <f>IF($A530=VLOOKUP(YEAR($A530),'Festive dates'!$A$2:$J$5,2,FALSE),1,0)</f>
        <v>0</v>
      </c>
      <c r="T530" s="9">
        <f>IF($A530=VLOOKUP(YEAR($A530),'Festive dates'!$A$2:$J$5,3,FALSE),1,0)</f>
        <v>0</v>
      </c>
      <c r="U530" s="9">
        <f>IF($A530=VLOOKUP(YEAR($A530),'Festive dates'!$A$2:$J$5,4,FALSE),1,0)</f>
        <v>0</v>
      </c>
      <c r="V530" s="9">
        <f>IF(AND($A530&gt;=VLOOKUP(YEAR($A530),'Festive dates'!$A$2:$J$5,9,FALSE),$A530&lt;=VLOOKUP(YEAR($A530),'Festive dates'!$A$2:$J$5,10,FALSE)),1,0)</f>
        <v>0</v>
      </c>
      <c r="W530" s="9">
        <f>IF($A530=VLOOKUP(YEAR($A530),'Festive dates'!$A$2:$J$5,7,FALSE),1,0)</f>
        <v>0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>
      <c r="A531" s="8">
        <v>45546</v>
      </c>
      <c r="B531" s="9">
        <v>0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f>MAX(-20,MIN(10,$A531-VLOOKUP(YEAR($A531),'Festive dates'!$A$2:$J$5,8,FALSE)))</f>
        <v>-20</v>
      </c>
      <c r="R531" s="9">
        <f>IF(AND($A531&gt;VLOOKUP(YEAR($A531),'Festive dates'!$A$2:$J$5,2,FALSE),$A531&lt;VLOOKUP(YEAR($A531),'Festive dates'!$A$2:$J$5,3,FALSE)),1,0)</f>
        <v>0</v>
      </c>
      <c r="S531" s="9">
        <f>IF($A531=VLOOKUP(YEAR($A531),'Festive dates'!$A$2:$J$5,2,FALSE),1,0)</f>
        <v>0</v>
      </c>
      <c r="T531" s="9">
        <f>IF($A531=VLOOKUP(YEAR($A531),'Festive dates'!$A$2:$J$5,3,FALSE),1,0)</f>
        <v>0</v>
      </c>
      <c r="U531" s="9">
        <f>IF($A531=VLOOKUP(YEAR($A531),'Festive dates'!$A$2:$J$5,4,FALSE),1,0)</f>
        <v>0</v>
      </c>
      <c r="V531" s="9">
        <f>IF(AND($A531&gt;=VLOOKUP(YEAR($A531),'Festive dates'!$A$2:$J$5,9,FALSE),$A531&lt;=VLOOKUP(YEAR($A531),'Festive dates'!$A$2:$J$5,10,FALSE)),1,0)</f>
        <v>0</v>
      </c>
      <c r="W531" s="9">
        <f>IF($A531=VLOOKUP(YEAR($A531),'Festive dates'!$A$2:$J$5,7,FALSE),1,0)</f>
        <v>0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>
      <c r="A532" s="8">
        <v>45547</v>
      </c>
      <c r="B532" s="9">
        <v>0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f>MAX(-20,MIN(10,$A532-VLOOKUP(YEAR($A532),'Festive dates'!$A$2:$J$5,8,FALSE)))</f>
        <v>-20</v>
      </c>
      <c r="R532" s="9">
        <f>IF(AND($A532&gt;VLOOKUP(YEAR($A532),'Festive dates'!$A$2:$J$5,2,FALSE),$A532&lt;VLOOKUP(YEAR($A532),'Festive dates'!$A$2:$J$5,3,FALSE)),1,0)</f>
        <v>0</v>
      </c>
      <c r="S532" s="9">
        <f>IF($A532=VLOOKUP(YEAR($A532),'Festive dates'!$A$2:$J$5,2,FALSE),1,0)</f>
        <v>0</v>
      </c>
      <c r="T532" s="9">
        <f>IF($A532=VLOOKUP(YEAR($A532),'Festive dates'!$A$2:$J$5,3,FALSE),1,0)</f>
        <v>0</v>
      </c>
      <c r="U532" s="9">
        <f>IF($A532=VLOOKUP(YEAR($A532),'Festive dates'!$A$2:$J$5,4,FALSE),1,0)</f>
        <v>0</v>
      </c>
      <c r="V532" s="9">
        <f>IF(AND($A532&gt;=VLOOKUP(YEAR($A532),'Festive dates'!$A$2:$J$5,9,FALSE),$A532&lt;=VLOOKUP(YEAR($A532),'Festive dates'!$A$2:$J$5,10,FALSE)),1,0)</f>
        <v>0</v>
      </c>
      <c r="W532" s="9">
        <f>IF($A532=VLOOKUP(YEAR($A532),'Festive dates'!$A$2:$J$5,7,FALSE),1,0)</f>
        <v>0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>
      <c r="A533" s="8">
        <v>45548</v>
      </c>
      <c r="B533" s="9">
        <v>0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f>MAX(-20,MIN(10,$A533-VLOOKUP(YEAR($A533),'Festive dates'!$A$2:$J$5,8,FALSE)))</f>
        <v>-20</v>
      </c>
      <c r="R533" s="9">
        <f>IF(AND($A533&gt;VLOOKUP(YEAR($A533),'Festive dates'!$A$2:$J$5,2,FALSE),$A533&lt;VLOOKUP(YEAR($A533),'Festive dates'!$A$2:$J$5,3,FALSE)),1,0)</f>
        <v>0</v>
      </c>
      <c r="S533" s="9">
        <f>IF($A533=VLOOKUP(YEAR($A533),'Festive dates'!$A$2:$J$5,2,FALSE),1,0)</f>
        <v>0</v>
      </c>
      <c r="T533" s="9">
        <f>IF($A533=VLOOKUP(YEAR($A533),'Festive dates'!$A$2:$J$5,3,FALSE),1,0)</f>
        <v>0</v>
      </c>
      <c r="U533" s="9">
        <f>IF($A533=VLOOKUP(YEAR($A533),'Festive dates'!$A$2:$J$5,4,FALSE),1,0)</f>
        <v>0</v>
      </c>
      <c r="V533" s="9">
        <f>IF(AND($A533&gt;=VLOOKUP(YEAR($A533),'Festive dates'!$A$2:$J$5,9,FALSE),$A533&lt;=VLOOKUP(YEAR($A533),'Festive dates'!$A$2:$J$5,10,FALSE)),1,0)</f>
        <v>0</v>
      </c>
      <c r="W533" s="9">
        <f>IF($A533=VLOOKUP(YEAR($A533),'Festive dates'!$A$2:$J$5,7,FALSE),1,0)</f>
        <v>0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>
      <c r="A534" s="8">
        <v>45549</v>
      </c>
      <c r="B534" s="9">
        <v>0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f>MAX(-20,MIN(10,$A534-VLOOKUP(YEAR($A534),'Festive dates'!$A$2:$J$5,8,FALSE)))</f>
        <v>-20</v>
      </c>
      <c r="R534" s="9">
        <f>IF(AND($A534&gt;VLOOKUP(YEAR($A534),'Festive dates'!$A$2:$J$5,2,FALSE),$A534&lt;VLOOKUP(YEAR($A534),'Festive dates'!$A$2:$J$5,3,FALSE)),1,0)</f>
        <v>0</v>
      </c>
      <c r="S534" s="9">
        <f>IF($A534=VLOOKUP(YEAR($A534),'Festive dates'!$A$2:$J$5,2,FALSE),1,0)</f>
        <v>0</v>
      </c>
      <c r="T534" s="9">
        <f>IF($A534=VLOOKUP(YEAR($A534),'Festive dates'!$A$2:$J$5,3,FALSE),1,0)</f>
        <v>0</v>
      </c>
      <c r="U534" s="9">
        <f>IF($A534=VLOOKUP(YEAR($A534),'Festive dates'!$A$2:$J$5,4,FALSE),1,0)</f>
        <v>0</v>
      </c>
      <c r="V534" s="9">
        <f>IF(AND($A534&gt;=VLOOKUP(YEAR($A534),'Festive dates'!$A$2:$J$5,9,FALSE),$A534&lt;=VLOOKUP(YEAR($A534),'Festive dates'!$A$2:$J$5,10,FALSE)),1,0)</f>
        <v>0</v>
      </c>
      <c r="W534" s="9">
        <f>IF($A534=VLOOKUP(YEAR($A534),'Festive dates'!$A$2:$J$5,7,FALSE),1,0)</f>
        <v>0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>
      <c r="A535" s="8">
        <v>45550</v>
      </c>
      <c r="B535" s="9">
        <v>0</v>
      </c>
      <c r="C535" s="9">
        <v>0</v>
      </c>
      <c r="D535" s="9">
        <v>0</v>
      </c>
      <c r="E535" s="9">
        <v>0</v>
      </c>
      <c r="F535" s="9">
        <v>0</v>
      </c>
      <c r="G535" s="9">
        <v>1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f>MAX(-20,MIN(10,$A535-VLOOKUP(YEAR($A535),'Festive dates'!$A$2:$J$5,8,FALSE)))</f>
        <v>-20</v>
      </c>
      <c r="R535" s="9">
        <f>IF(AND($A535&gt;VLOOKUP(YEAR($A535),'Festive dates'!$A$2:$J$5,2,FALSE),$A535&lt;VLOOKUP(YEAR($A535),'Festive dates'!$A$2:$J$5,3,FALSE)),1,0)</f>
        <v>0</v>
      </c>
      <c r="S535" s="9">
        <f>IF($A535=VLOOKUP(YEAR($A535),'Festive dates'!$A$2:$J$5,2,FALSE),1,0)</f>
        <v>0</v>
      </c>
      <c r="T535" s="9">
        <f>IF($A535=VLOOKUP(YEAR($A535),'Festive dates'!$A$2:$J$5,3,FALSE),1,0)</f>
        <v>0</v>
      </c>
      <c r="U535" s="9">
        <f>IF($A535=VLOOKUP(YEAR($A535),'Festive dates'!$A$2:$J$5,4,FALSE),1,0)</f>
        <v>0</v>
      </c>
      <c r="V535" s="9">
        <f>IF(AND($A535&gt;=VLOOKUP(YEAR($A535),'Festive dates'!$A$2:$J$5,9,FALSE),$A535&lt;=VLOOKUP(YEAR($A535),'Festive dates'!$A$2:$J$5,10,FALSE)),1,0)</f>
        <v>0</v>
      </c>
      <c r="W535" s="9">
        <f>IF($A535=VLOOKUP(YEAR($A535),'Festive dates'!$A$2:$J$5,7,FALSE),1,0)</f>
        <v>0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>
      <c r="A536" s="8">
        <v>45551</v>
      </c>
      <c r="B536" s="9">
        <v>0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f>MAX(-20,MIN(10,$A536-VLOOKUP(YEAR($A536),'Festive dates'!$A$2:$J$5,8,FALSE)))</f>
        <v>-20</v>
      </c>
      <c r="R536" s="9">
        <f>IF(AND($A536&gt;VLOOKUP(YEAR($A536),'Festive dates'!$A$2:$J$5,2,FALSE),$A536&lt;VLOOKUP(YEAR($A536),'Festive dates'!$A$2:$J$5,3,FALSE)),1,0)</f>
        <v>0</v>
      </c>
      <c r="S536" s="9">
        <f>IF($A536=VLOOKUP(YEAR($A536),'Festive dates'!$A$2:$J$5,2,FALSE),1,0)</f>
        <v>0</v>
      </c>
      <c r="T536" s="9">
        <f>IF($A536=VLOOKUP(YEAR($A536),'Festive dates'!$A$2:$J$5,3,FALSE),1,0)</f>
        <v>0</v>
      </c>
      <c r="U536" s="9">
        <f>IF($A536=VLOOKUP(YEAR($A536),'Festive dates'!$A$2:$J$5,4,FALSE),1,0)</f>
        <v>0</v>
      </c>
      <c r="V536" s="9">
        <f>IF(AND($A536&gt;=VLOOKUP(YEAR($A536),'Festive dates'!$A$2:$J$5,9,FALSE),$A536&lt;=VLOOKUP(YEAR($A536),'Festive dates'!$A$2:$J$5,10,FALSE)),1,0)</f>
        <v>0</v>
      </c>
      <c r="W536" s="9">
        <f>IF($A536=VLOOKUP(YEAR($A536),'Festive dates'!$A$2:$J$5,7,FALSE),1,0)</f>
        <v>0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>
      <c r="A537" s="8">
        <v>45552</v>
      </c>
      <c r="B537" s="9">
        <v>0</v>
      </c>
      <c r="C537" s="9">
        <v>0</v>
      </c>
      <c r="D537" s="9">
        <v>0</v>
      </c>
      <c r="E537" s="9">
        <v>1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f>MAX(-20,MIN(10,$A537-VLOOKUP(YEAR($A537),'Festive dates'!$A$2:$J$5,8,FALSE)))</f>
        <v>-20</v>
      </c>
      <c r="R537" s="9">
        <f>IF(AND($A537&gt;VLOOKUP(YEAR($A537),'Festive dates'!$A$2:$J$5,2,FALSE),$A537&lt;VLOOKUP(YEAR($A537),'Festive dates'!$A$2:$J$5,3,FALSE)),1,0)</f>
        <v>0</v>
      </c>
      <c r="S537" s="9">
        <f>IF($A537=VLOOKUP(YEAR($A537),'Festive dates'!$A$2:$J$5,2,FALSE),1,0)</f>
        <v>0</v>
      </c>
      <c r="T537" s="9">
        <f>IF($A537=VLOOKUP(YEAR($A537),'Festive dates'!$A$2:$J$5,3,FALSE),1,0)</f>
        <v>0</v>
      </c>
      <c r="U537" s="9">
        <f>IF($A537=VLOOKUP(YEAR($A537),'Festive dates'!$A$2:$J$5,4,FALSE),1,0)</f>
        <v>0</v>
      </c>
      <c r="V537" s="9">
        <f>IF(AND($A537&gt;=VLOOKUP(YEAR($A537),'Festive dates'!$A$2:$J$5,9,FALSE),$A537&lt;=VLOOKUP(YEAR($A537),'Festive dates'!$A$2:$J$5,10,FALSE)),1,0)</f>
        <v>1</v>
      </c>
      <c r="W537" s="9">
        <f>IF($A537=VLOOKUP(YEAR($A537),'Festive dates'!$A$2:$J$5,7,FALSE),1,0)</f>
        <v>0</v>
      </c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>
      <c r="A538" s="8">
        <v>45553</v>
      </c>
      <c r="B538" s="9">
        <v>0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f>MAX(-20,MIN(10,$A538-VLOOKUP(YEAR($A538),'Festive dates'!$A$2:$J$5,8,FALSE)))</f>
        <v>-20</v>
      </c>
      <c r="R538" s="9">
        <f>IF(AND($A538&gt;VLOOKUP(YEAR($A538),'Festive dates'!$A$2:$J$5,2,FALSE),$A538&lt;VLOOKUP(YEAR($A538),'Festive dates'!$A$2:$J$5,3,FALSE)),1,0)</f>
        <v>0</v>
      </c>
      <c r="S538" s="9">
        <f>IF($A538=VLOOKUP(YEAR($A538),'Festive dates'!$A$2:$J$5,2,FALSE),1,0)</f>
        <v>0</v>
      </c>
      <c r="T538" s="9">
        <f>IF($A538=VLOOKUP(YEAR($A538),'Festive dates'!$A$2:$J$5,3,FALSE),1,0)</f>
        <v>0</v>
      </c>
      <c r="U538" s="9">
        <f>IF($A538=VLOOKUP(YEAR($A538),'Festive dates'!$A$2:$J$5,4,FALSE),1,0)</f>
        <v>0</v>
      </c>
      <c r="V538" s="9">
        <f>IF(AND($A538&gt;=VLOOKUP(YEAR($A538),'Festive dates'!$A$2:$J$5,9,FALSE),$A538&lt;=VLOOKUP(YEAR($A538),'Festive dates'!$A$2:$J$5,10,FALSE)),1,0)</f>
        <v>1</v>
      </c>
      <c r="W538" s="9">
        <f>IF($A538=VLOOKUP(YEAR($A538),'Festive dates'!$A$2:$J$5,7,FALSE),1,0)</f>
        <v>0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>
      <c r="A539" s="8">
        <v>45554</v>
      </c>
      <c r="B539" s="9">
        <v>0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f>MAX(-20,MIN(10,$A539-VLOOKUP(YEAR($A539),'Festive dates'!$A$2:$J$5,8,FALSE)))</f>
        <v>-20</v>
      </c>
      <c r="R539" s="9">
        <f>IF(AND($A539&gt;VLOOKUP(YEAR($A539),'Festive dates'!$A$2:$J$5,2,FALSE),$A539&lt;VLOOKUP(YEAR($A539),'Festive dates'!$A$2:$J$5,3,FALSE)),1,0)</f>
        <v>0</v>
      </c>
      <c r="S539" s="9">
        <f>IF($A539=VLOOKUP(YEAR($A539),'Festive dates'!$A$2:$J$5,2,FALSE),1,0)</f>
        <v>0</v>
      </c>
      <c r="T539" s="9">
        <f>IF($A539=VLOOKUP(YEAR($A539),'Festive dates'!$A$2:$J$5,3,FALSE),1,0)</f>
        <v>0</v>
      </c>
      <c r="U539" s="9">
        <f>IF($A539=VLOOKUP(YEAR($A539),'Festive dates'!$A$2:$J$5,4,FALSE),1,0)</f>
        <v>0</v>
      </c>
      <c r="V539" s="9">
        <f>IF(AND($A539&gt;=VLOOKUP(YEAR($A539),'Festive dates'!$A$2:$J$5,9,FALSE),$A539&lt;=VLOOKUP(YEAR($A539),'Festive dates'!$A$2:$J$5,10,FALSE)),1,0)</f>
        <v>1</v>
      </c>
      <c r="W539" s="9">
        <f>IF($A539=VLOOKUP(YEAR($A539),'Festive dates'!$A$2:$J$5,7,FALSE),1,0)</f>
        <v>0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>
      <c r="A540" s="8">
        <v>45555</v>
      </c>
      <c r="B540" s="9">
        <v>0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f>MAX(-20,MIN(10,$A540-VLOOKUP(YEAR($A540),'Festive dates'!$A$2:$J$5,8,FALSE)))</f>
        <v>-20</v>
      </c>
      <c r="R540" s="9">
        <f>IF(AND($A540&gt;VLOOKUP(YEAR($A540),'Festive dates'!$A$2:$J$5,2,FALSE),$A540&lt;VLOOKUP(YEAR($A540),'Festive dates'!$A$2:$J$5,3,FALSE)),1,0)</f>
        <v>0</v>
      </c>
      <c r="S540" s="9">
        <f>IF($A540=VLOOKUP(YEAR($A540),'Festive dates'!$A$2:$J$5,2,FALSE),1,0)</f>
        <v>0</v>
      </c>
      <c r="T540" s="9">
        <f>IF($A540=VLOOKUP(YEAR($A540),'Festive dates'!$A$2:$J$5,3,FALSE),1,0)</f>
        <v>0</v>
      </c>
      <c r="U540" s="9">
        <f>IF($A540=VLOOKUP(YEAR($A540),'Festive dates'!$A$2:$J$5,4,FALSE),1,0)</f>
        <v>0</v>
      </c>
      <c r="V540" s="9">
        <f>IF(AND($A540&gt;=VLOOKUP(YEAR($A540),'Festive dates'!$A$2:$J$5,9,FALSE),$A540&lt;=VLOOKUP(YEAR($A540),'Festive dates'!$A$2:$J$5,10,FALSE)),1,0)</f>
        <v>1</v>
      </c>
      <c r="W540" s="9">
        <f>IF($A540=VLOOKUP(YEAR($A540),'Festive dates'!$A$2:$J$5,7,FALSE),1,0)</f>
        <v>0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>
      <c r="A541" s="8">
        <v>45556</v>
      </c>
      <c r="B541" s="9">
        <v>0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f>MAX(-20,MIN(10,$A541-VLOOKUP(YEAR($A541),'Festive dates'!$A$2:$J$5,8,FALSE)))</f>
        <v>-20</v>
      </c>
      <c r="R541" s="9">
        <f>IF(AND($A541&gt;VLOOKUP(YEAR($A541),'Festive dates'!$A$2:$J$5,2,FALSE),$A541&lt;VLOOKUP(YEAR($A541),'Festive dates'!$A$2:$J$5,3,FALSE)),1,0)</f>
        <v>0</v>
      </c>
      <c r="S541" s="9">
        <f>IF($A541=VLOOKUP(YEAR($A541),'Festive dates'!$A$2:$J$5,2,FALSE),1,0)</f>
        <v>0</v>
      </c>
      <c r="T541" s="9">
        <f>IF($A541=VLOOKUP(YEAR($A541),'Festive dates'!$A$2:$J$5,3,FALSE),1,0)</f>
        <v>0</v>
      </c>
      <c r="U541" s="9">
        <f>IF($A541=VLOOKUP(YEAR($A541),'Festive dates'!$A$2:$J$5,4,FALSE),1,0)</f>
        <v>0</v>
      </c>
      <c r="V541" s="9">
        <f>IF(AND($A541&gt;=VLOOKUP(YEAR($A541),'Festive dates'!$A$2:$J$5,9,FALSE),$A541&lt;=VLOOKUP(YEAR($A541),'Festive dates'!$A$2:$J$5,10,FALSE)),1,0)</f>
        <v>1</v>
      </c>
      <c r="W541" s="9">
        <f>IF($A541=VLOOKUP(YEAR($A541),'Festive dates'!$A$2:$J$5,7,FALSE),1,0)</f>
        <v>0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>
      <c r="A542" s="8">
        <v>45557</v>
      </c>
      <c r="B542" s="9">
        <v>0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f>MAX(-20,MIN(10,$A542-VLOOKUP(YEAR($A542),'Festive dates'!$A$2:$J$5,8,FALSE)))</f>
        <v>-20</v>
      </c>
      <c r="R542" s="9">
        <f>IF(AND($A542&gt;VLOOKUP(YEAR($A542),'Festive dates'!$A$2:$J$5,2,FALSE),$A542&lt;VLOOKUP(YEAR($A542),'Festive dates'!$A$2:$J$5,3,FALSE)),1,0)</f>
        <v>0</v>
      </c>
      <c r="S542" s="9">
        <f>IF($A542=VLOOKUP(YEAR($A542),'Festive dates'!$A$2:$J$5,2,FALSE),1,0)</f>
        <v>0</v>
      </c>
      <c r="T542" s="9">
        <f>IF($A542=VLOOKUP(YEAR($A542),'Festive dates'!$A$2:$J$5,3,FALSE),1,0)</f>
        <v>0</v>
      </c>
      <c r="U542" s="9">
        <f>IF($A542=VLOOKUP(YEAR($A542),'Festive dates'!$A$2:$J$5,4,FALSE),1,0)</f>
        <v>0</v>
      </c>
      <c r="V542" s="9">
        <f>IF(AND($A542&gt;=VLOOKUP(YEAR($A542),'Festive dates'!$A$2:$J$5,9,FALSE),$A542&lt;=VLOOKUP(YEAR($A542),'Festive dates'!$A$2:$J$5,10,FALSE)),1,0)</f>
        <v>1</v>
      </c>
      <c r="W542" s="9">
        <f>IF($A542=VLOOKUP(YEAR($A542),'Festive dates'!$A$2:$J$5,7,FALSE),1,0)</f>
        <v>0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>
      <c r="A543" s="8">
        <v>45558</v>
      </c>
      <c r="B543" s="9">
        <v>0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f>MAX(-20,MIN(10,$A543-VLOOKUP(YEAR($A543),'Festive dates'!$A$2:$J$5,8,FALSE)))</f>
        <v>-20</v>
      </c>
      <c r="R543" s="9">
        <f>IF(AND($A543&gt;VLOOKUP(YEAR($A543),'Festive dates'!$A$2:$J$5,2,FALSE),$A543&lt;VLOOKUP(YEAR($A543),'Festive dates'!$A$2:$J$5,3,FALSE)),1,0)</f>
        <v>0</v>
      </c>
      <c r="S543" s="9">
        <f>IF($A543=VLOOKUP(YEAR($A543),'Festive dates'!$A$2:$J$5,2,FALSE),1,0)</f>
        <v>0</v>
      </c>
      <c r="T543" s="9">
        <f>IF($A543=VLOOKUP(YEAR($A543),'Festive dates'!$A$2:$J$5,3,FALSE),1,0)</f>
        <v>0</v>
      </c>
      <c r="U543" s="9">
        <f>IF($A543=VLOOKUP(YEAR($A543),'Festive dates'!$A$2:$J$5,4,FALSE),1,0)</f>
        <v>0</v>
      </c>
      <c r="V543" s="9">
        <f>IF(AND($A543&gt;=VLOOKUP(YEAR($A543),'Festive dates'!$A$2:$J$5,9,FALSE),$A543&lt;=VLOOKUP(YEAR($A543),'Festive dates'!$A$2:$J$5,10,FALSE)),1,0)</f>
        <v>1</v>
      </c>
      <c r="W543" s="9">
        <f>IF($A543=VLOOKUP(YEAR($A543),'Festive dates'!$A$2:$J$5,7,FALSE),1,0)</f>
        <v>0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>
      <c r="A544" s="8">
        <v>45559</v>
      </c>
      <c r="B544" s="9">
        <v>0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f>MAX(-20,MIN(10,$A544-VLOOKUP(YEAR($A544),'Festive dates'!$A$2:$J$5,8,FALSE)))</f>
        <v>-20</v>
      </c>
      <c r="R544" s="9">
        <f>IF(AND($A544&gt;VLOOKUP(YEAR($A544),'Festive dates'!$A$2:$J$5,2,FALSE),$A544&lt;VLOOKUP(YEAR($A544),'Festive dates'!$A$2:$J$5,3,FALSE)),1,0)</f>
        <v>0</v>
      </c>
      <c r="S544" s="9">
        <f>IF($A544=VLOOKUP(YEAR($A544),'Festive dates'!$A$2:$J$5,2,FALSE),1,0)</f>
        <v>0</v>
      </c>
      <c r="T544" s="9">
        <f>IF($A544=VLOOKUP(YEAR($A544),'Festive dates'!$A$2:$J$5,3,FALSE),1,0)</f>
        <v>0</v>
      </c>
      <c r="U544" s="9">
        <f>IF($A544=VLOOKUP(YEAR($A544),'Festive dates'!$A$2:$J$5,4,FALSE),1,0)</f>
        <v>0</v>
      </c>
      <c r="V544" s="9">
        <f>IF(AND($A544&gt;=VLOOKUP(YEAR($A544),'Festive dates'!$A$2:$J$5,9,FALSE),$A544&lt;=VLOOKUP(YEAR($A544),'Festive dates'!$A$2:$J$5,10,FALSE)),1,0)</f>
        <v>1</v>
      </c>
      <c r="W544" s="9">
        <f>IF($A544=VLOOKUP(YEAR($A544),'Festive dates'!$A$2:$J$5,7,FALSE),1,0)</f>
        <v>0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>
      <c r="A545" s="8">
        <v>45560</v>
      </c>
      <c r="B545" s="9">
        <v>0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f>MAX(-20,MIN(10,$A545-VLOOKUP(YEAR($A545),'Festive dates'!$A$2:$J$5,8,FALSE)))</f>
        <v>-20</v>
      </c>
      <c r="R545" s="9">
        <f>IF(AND($A545&gt;VLOOKUP(YEAR($A545),'Festive dates'!$A$2:$J$5,2,FALSE),$A545&lt;VLOOKUP(YEAR($A545),'Festive dates'!$A$2:$J$5,3,FALSE)),1,0)</f>
        <v>0</v>
      </c>
      <c r="S545" s="9">
        <f>IF($A545=VLOOKUP(YEAR($A545),'Festive dates'!$A$2:$J$5,2,FALSE),1,0)</f>
        <v>0</v>
      </c>
      <c r="T545" s="9">
        <f>IF($A545=VLOOKUP(YEAR($A545),'Festive dates'!$A$2:$J$5,3,FALSE),1,0)</f>
        <v>0</v>
      </c>
      <c r="U545" s="9">
        <f>IF($A545=VLOOKUP(YEAR($A545),'Festive dates'!$A$2:$J$5,4,FALSE),1,0)</f>
        <v>0</v>
      </c>
      <c r="V545" s="9">
        <f>IF(AND($A545&gt;=VLOOKUP(YEAR($A545),'Festive dates'!$A$2:$J$5,9,FALSE),$A545&lt;=VLOOKUP(YEAR($A545),'Festive dates'!$A$2:$J$5,10,FALSE)),1,0)</f>
        <v>1</v>
      </c>
      <c r="W545" s="9">
        <f>IF($A545=VLOOKUP(YEAR($A545),'Festive dates'!$A$2:$J$5,7,FALSE),1,0)</f>
        <v>0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>
      <c r="A546" s="8">
        <v>45561</v>
      </c>
      <c r="B546" s="9">
        <v>0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f>MAX(-20,MIN(10,$A546-VLOOKUP(YEAR($A546),'Festive dates'!$A$2:$J$5,8,FALSE)))</f>
        <v>-20</v>
      </c>
      <c r="R546" s="9">
        <f>IF(AND($A546&gt;VLOOKUP(YEAR($A546),'Festive dates'!$A$2:$J$5,2,FALSE),$A546&lt;VLOOKUP(YEAR($A546),'Festive dates'!$A$2:$J$5,3,FALSE)),1,0)</f>
        <v>0</v>
      </c>
      <c r="S546" s="9">
        <f>IF($A546=VLOOKUP(YEAR($A546),'Festive dates'!$A$2:$J$5,2,FALSE),1,0)</f>
        <v>0</v>
      </c>
      <c r="T546" s="9">
        <f>IF($A546=VLOOKUP(YEAR($A546),'Festive dates'!$A$2:$J$5,3,FALSE),1,0)</f>
        <v>0</v>
      </c>
      <c r="U546" s="9">
        <f>IF($A546=VLOOKUP(YEAR($A546),'Festive dates'!$A$2:$J$5,4,FALSE),1,0)</f>
        <v>0</v>
      </c>
      <c r="V546" s="9">
        <f>IF(AND($A546&gt;=VLOOKUP(YEAR($A546),'Festive dates'!$A$2:$J$5,9,FALSE),$A546&lt;=VLOOKUP(YEAR($A546),'Festive dates'!$A$2:$J$5,10,FALSE)),1,0)</f>
        <v>1</v>
      </c>
      <c r="W546" s="9">
        <f>IF($A546=VLOOKUP(YEAR($A546),'Festive dates'!$A$2:$J$5,7,FALSE),1,0)</f>
        <v>0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>
      <c r="A547" s="8">
        <v>45562</v>
      </c>
      <c r="B547" s="9">
        <v>0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f>MAX(-20,MIN(10,$A547-VLOOKUP(YEAR($A547),'Festive dates'!$A$2:$J$5,8,FALSE)))</f>
        <v>-20</v>
      </c>
      <c r="R547" s="9">
        <f>IF(AND($A547&gt;VLOOKUP(YEAR($A547),'Festive dates'!$A$2:$J$5,2,FALSE),$A547&lt;VLOOKUP(YEAR($A547),'Festive dates'!$A$2:$J$5,3,FALSE)),1,0)</f>
        <v>0</v>
      </c>
      <c r="S547" s="9">
        <f>IF($A547=VLOOKUP(YEAR($A547),'Festive dates'!$A$2:$J$5,2,FALSE),1,0)</f>
        <v>0</v>
      </c>
      <c r="T547" s="9">
        <f>IF($A547=VLOOKUP(YEAR($A547),'Festive dates'!$A$2:$J$5,3,FALSE),1,0)</f>
        <v>0</v>
      </c>
      <c r="U547" s="9">
        <f>IF($A547=VLOOKUP(YEAR($A547),'Festive dates'!$A$2:$J$5,4,FALSE),1,0)</f>
        <v>0</v>
      </c>
      <c r="V547" s="9">
        <f>IF(AND($A547&gt;=VLOOKUP(YEAR($A547),'Festive dates'!$A$2:$J$5,9,FALSE),$A547&lt;=VLOOKUP(YEAR($A547),'Festive dates'!$A$2:$J$5,10,FALSE)),1,0)</f>
        <v>1</v>
      </c>
      <c r="W547" s="9">
        <f>IF($A547=VLOOKUP(YEAR($A547),'Festive dates'!$A$2:$J$5,7,FALSE),1,0)</f>
        <v>0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>
      <c r="A548" s="8">
        <v>45563</v>
      </c>
      <c r="B548" s="9">
        <v>0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f>MAX(-20,MIN(10,$A548-VLOOKUP(YEAR($A548),'Festive dates'!$A$2:$J$5,8,FALSE)))</f>
        <v>-20</v>
      </c>
      <c r="R548" s="9">
        <f>IF(AND($A548&gt;VLOOKUP(YEAR($A548),'Festive dates'!$A$2:$J$5,2,FALSE),$A548&lt;VLOOKUP(YEAR($A548),'Festive dates'!$A$2:$J$5,3,FALSE)),1,0)</f>
        <v>0</v>
      </c>
      <c r="S548" s="9">
        <f>IF($A548=VLOOKUP(YEAR($A548),'Festive dates'!$A$2:$J$5,2,FALSE),1,0)</f>
        <v>0</v>
      </c>
      <c r="T548" s="9">
        <f>IF($A548=VLOOKUP(YEAR($A548),'Festive dates'!$A$2:$J$5,3,FALSE),1,0)</f>
        <v>0</v>
      </c>
      <c r="U548" s="9">
        <f>IF($A548=VLOOKUP(YEAR($A548),'Festive dates'!$A$2:$J$5,4,FALSE),1,0)</f>
        <v>0</v>
      </c>
      <c r="V548" s="9">
        <f>IF(AND($A548&gt;=VLOOKUP(YEAR($A548),'Festive dates'!$A$2:$J$5,9,FALSE),$A548&lt;=VLOOKUP(YEAR($A548),'Festive dates'!$A$2:$J$5,10,FALSE)),1,0)</f>
        <v>1</v>
      </c>
      <c r="W548" s="9">
        <f>IF($A548=VLOOKUP(YEAR($A548),'Festive dates'!$A$2:$J$5,7,FALSE),1,0)</f>
        <v>0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>
      <c r="A549" s="8">
        <v>45564</v>
      </c>
      <c r="B549" s="9">
        <v>0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f>MAX(-20,MIN(10,$A549-VLOOKUP(YEAR($A549),'Festive dates'!$A$2:$J$5,8,FALSE)))</f>
        <v>-20</v>
      </c>
      <c r="R549" s="9">
        <f>IF(AND($A549&gt;VLOOKUP(YEAR($A549),'Festive dates'!$A$2:$J$5,2,FALSE),$A549&lt;VLOOKUP(YEAR($A549),'Festive dates'!$A$2:$J$5,3,FALSE)),1,0)</f>
        <v>0</v>
      </c>
      <c r="S549" s="9">
        <f>IF($A549=VLOOKUP(YEAR($A549),'Festive dates'!$A$2:$J$5,2,FALSE),1,0)</f>
        <v>0</v>
      </c>
      <c r="T549" s="9">
        <f>IF($A549=VLOOKUP(YEAR($A549),'Festive dates'!$A$2:$J$5,3,FALSE),1,0)</f>
        <v>0</v>
      </c>
      <c r="U549" s="9">
        <f>IF($A549=VLOOKUP(YEAR($A549),'Festive dates'!$A$2:$J$5,4,FALSE),1,0)</f>
        <v>0</v>
      </c>
      <c r="V549" s="9">
        <f>IF(AND($A549&gt;=VLOOKUP(YEAR($A549),'Festive dates'!$A$2:$J$5,9,FALSE),$A549&lt;=VLOOKUP(YEAR($A549),'Festive dates'!$A$2:$J$5,10,FALSE)),1,0)</f>
        <v>1</v>
      </c>
      <c r="W549" s="9">
        <f>IF($A549=VLOOKUP(YEAR($A549),'Festive dates'!$A$2:$J$5,7,FALSE),1,0)</f>
        <v>0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>
      <c r="A550" s="8">
        <v>45565</v>
      </c>
      <c r="B550" s="9">
        <v>0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f>MAX(-20,MIN(10,$A550-VLOOKUP(YEAR($A550),'Festive dates'!$A$2:$J$5,8,FALSE)))</f>
        <v>-20</v>
      </c>
      <c r="R550" s="9">
        <f>IF(AND($A550&gt;VLOOKUP(YEAR($A550),'Festive dates'!$A$2:$J$5,2,FALSE),$A550&lt;VLOOKUP(YEAR($A550),'Festive dates'!$A$2:$J$5,3,FALSE)),1,0)</f>
        <v>0</v>
      </c>
      <c r="S550" s="9">
        <f>IF($A550=VLOOKUP(YEAR($A550),'Festive dates'!$A$2:$J$5,2,FALSE),1,0)</f>
        <v>0</v>
      </c>
      <c r="T550" s="9">
        <f>IF($A550=VLOOKUP(YEAR($A550),'Festive dates'!$A$2:$J$5,3,FALSE),1,0)</f>
        <v>0</v>
      </c>
      <c r="U550" s="9">
        <f>IF($A550=VLOOKUP(YEAR($A550),'Festive dates'!$A$2:$J$5,4,FALSE),1,0)</f>
        <v>0</v>
      </c>
      <c r="V550" s="9">
        <f>IF(AND($A550&gt;=VLOOKUP(YEAR($A550),'Festive dates'!$A$2:$J$5,9,FALSE),$A550&lt;=VLOOKUP(YEAR($A550),'Festive dates'!$A$2:$J$5,10,FALSE)),1,0)</f>
        <v>1</v>
      </c>
      <c r="W550" s="9">
        <f>IF($A550=VLOOKUP(YEAR($A550),'Festive dates'!$A$2:$J$5,7,FALSE),1,0)</f>
        <v>0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>
      <c r="A551" s="8">
        <v>45566</v>
      </c>
      <c r="B551" s="9">
        <v>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f>MAX(-20,MIN(10,$A551-VLOOKUP(YEAR($A551),'Festive dates'!$A$2:$J$5,8,FALSE)))</f>
        <v>-20</v>
      </c>
      <c r="R551" s="9">
        <f>IF(AND($A551&gt;VLOOKUP(YEAR($A551),'Festive dates'!$A$2:$J$5,2,FALSE),$A551&lt;VLOOKUP(YEAR($A551),'Festive dates'!$A$2:$J$5,3,FALSE)),1,0)</f>
        <v>0</v>
      </c>
      <c r="S551" s="9">
        <f>IF($A551=VLOOKUP(YEAR($A551),'Festive dates'!$A$2:$J$5,2,FALSE),1,0)</f>
        <v>0</v>
      </c>
      <c r="T551" s="9">
        <f>IF($A551=VLOOKUP(YEAR($A551),'Festive dates'!$A$2:$J$5,3,FALSE),1,0)</f>
        <v>0</v>
      </c>
      <c r="U551" s="9">
        <f>IF($A551=VLOOKUP(YEAR($A551),'Festive dates'!$A$2:$J$5,4,FALSE),1,0)</f>
        <v>0</v>
      </c>
      <c r="V551" s="9">
        <f>IF(AND($A551&gt;=VLOOKUP(YEAR($A551),'Festive dates'!$A$2:$J$5,9,FALSE),$A551&lt;=VLOOKUP(YEAR($A551),'Festive dates'!$A$2:$J$5,10,FALSE)),1,0)</f>
        <v>1</v>
      </c>
      <c r="W551" s="9">
        <f>IF($A551=VLOOKUP(YEAR($A551),'Festive dates'!$A$2:$J$5,7,FALSE),1,0)</f>
        <v>0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>
      <c r="A552" s="8">
        <v>45567</v>
      </c>
      <c r="B552" s="9">
        <v>0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f>MAX(-20,MIN(10,$A552-VLOOKUP(YEAR($A552),'Festive dates'!$A$2:$J$5,8,FALSE)))</f>
        <v>-20</v>
      </c>
      <c r="R552" s="9">
        <f>IF(AND($A552&gt;VLOOKUP(YEAR($A552),'Festive dates'!$A$2:$J$5,2,FALSE),$A552&lt;VLOOKUP(YEAR($A552),'Festive dates'!$A$2:$J$5,3,FALSE)),1,0)</f>
        <v>0</v>
      </c>
      <c r="S552" s="9">
        <f>IF($A552=VLOOKUP(YEAR($A552),'Festive dates'!$A$2:$J$5,2,FALSE),1,0)</f>
        <v>0</v>
      </c>
      <c r="T552" s="9">
        <f>IF($A552=VLOOKUP(YEAR($A552),'Festive dates'!$A$2:$J$5,3,FALSE),1,0)</f>
        <v>0</v>
      </c>
      <c r="U552" s="9">
        <f>IF($A552=VLOOKUP(YEAR($A552),'Festive dates'!$A$2:$J$5,4,FALSE),1,0)</f>
        <v>0</v>
      </c>
      <c r="V552" s="9">
        <f>IF(AND($A552&gt;=VLOOKUP(YEAR($A552),'Festive dates'!$A$2:$J$5,9,FALSE),$A552&lt;=VLOOKUP(YEAR($A552),'Festive dates'!$A$2:$J$5,10,FALSE)),1,0)</f>
        <v>1</v>
      </c>
      <c r="W552" s="9">
        <f>IF($A552=VLOOKUP(YEAR($A552),'Festive dates'!$A$2:$J$5,7,FALSE),1,0)</f>
        <v>0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>
      <c r="A553" s="8">
        <v>45568</v>
      </c>
      <c r="B553" s="9">
        <v>0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f>MAX(-20,MIN(10,$A553-VLOOKUP(YEAR($A553),'Festive dates'!$A$2:$J$5,8,FALSE)))</f>
        <v>-20</v>
      </c>
      <c r="R553" s="9">
        <f>IF(AND($A553&gt;VLOOKUP(YEAR($A553),'Festive dates'!$A$2:$J$5,2,FALSE),$A553&lt;VLOOKUP(YEAR($A553),'Festive dates'!$A$2:$J$5,3,FALSE)),1,0)</f>
        <v>0</v>
      </c>
      <c r="S553" s="9">
        <f>IF($A553=VLOOKUP(YEAR($A553),'Festive dates'!$A$2:$J$5,2,FALSE),1,0)</f>
        <v>1</v>
      </c>
      <c r="T553" s="9">
        <f>IF($A553=VLOOKUP(YEAR($A553),'Festive dates'!$A$2:$J$5,3,FALSE),1,0)</f>
        <v>0</v>
      </c>
      <c r="U553" s="9">
        <f>IF($A553=VLOOKUP(YEAR($A553),'Festive dates'!$A$2:$J$5,4,FALSE),1,0)</f>
        <v>0</v>
      </c>
      <c r="V553" s="9">
        <f>IF(AND($A553&gt;=VLOOKUP(YEAR($A553),'Festive dates'!$A$2:$J$5,9,FALSE),$A553&lt;=VLOOKUP(YEAR($A553),'Festive dates'!$A$2:$J$5,10,FALSE)),1,0)</f>
        <v>0</v>
      </c>
      <c r="W553" s="9">
        <f>IF($A553=VLOOKUP(YEAR($A553),'Festive dates'!$A$2:$J$5,7,FALSE),1,0)</f>
        <v>0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>
      <c r="A554" s="8">
        <v>45569</v>
      </c>
      <c r="B554" s="9">
        <v>0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f>MAX(-20,MIN(10,$A554-VLOOKUP(YEAR($A554),'Festive dates'!$A$2:$J$5,8,FALSE)))</f>
        <v>-20</v>
      </c>
      <c r="R554" s="9">
        <f>IF(AND($A554&gt;VLOOKUP(YEAR($A554),'Festive dates'!$A$2:$J$5,2,FALSE),$A554&lt;VLOOKUP(YEAR($A554),'Festive dates'!$A$2:$J$5,3,FALSE)),1,0)</f>
        <v>1</v>
      </c>
      <c r="S554" s="9">
        <f>IF($A554=VLOOKUP(YEAR($A554),'Festive dates'!$A$2:$J$5,2,FALSE),1,0)</f>
        <v>0</v>
      </c>
      <c r="T554" s="9">
        <f>IF($A554=VLOOKUP(YEAR($A554),'Festive dates'!$A$2:$J$5,3,FALSE),1,0)</f>
        <v>0</v>
      </c>
      <c r="U554" s="9">
        <f>IF($A554=VLOOKUP(YEAR($A554),'Festive dates'!$A$2:$J$5,4,FALSE),1,0)</f>
        <v>0</v>
      </c>
      <c r="V554" s="9">
        <f>IF(AND($A554&gt;=VLOOKUP(YEAR($A554),'Festive dates'!$A$2:$J$5,9,FALSE),$A554&lt;=VLOOKUP(YEAR($A554),'Festive dates'!$A$2:$J$5,10,FALSE)),1,0)</f>
        <v>0</v>
      </c>
      <c r="W554" s="9">
        <f>IF($A554=VLOOKUP(YEAR($A554),'Festive dates'!$A$2:$J$5,7,FALSE),1,0)</f>
        <v>0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>
      <c r="A555" s="8">
        <v>45570</v>
      </c>
      <c r="B555" s="9">
        <v>0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f>MAX(-20,MIN(10,$A555-VLOOKUP(YEAR($A555),'Festive dates'!$A$2:$J$5,8,FALSE)))</f>
        <v>-20</v>
      </c>
      <c r="R555" s="9">
        <f>IF(AND($A555&gt;VLOOKUP(YEAR($A555),'Festive dates'!$A$2:$J$5,2,FALSE),$A555&lt;VLOOKUP(YEAR($A555),'Festive dates'!$A$2:$J$5,3,FALSE)),1,0)</f>
        <v>1</v>
      </c>
      <c r="S555" s="9">
        <f>IF($A555=VLOOKUP(YEAR($A555),'Festive dates'!$A$2:$J$5,2,FALSE),1,0)</f>
        <v>0</v>
      </c>
      <c r="T555" s="9">
        <f>IF($A555=VLOOKUP(YEAR($A555),'Festive dates'!$A$2:$J$5,3,FALSE),1,0)</f>
        <v>0</v>
      </c>
      <c r="U555" s="9">
        <f>IF($A555=VLOOKUP(YEAR($A555),'Festive dates'!$A$2:$J$5,4,FALSE),1,0)</f>
        <v>0</v>
      </c>
      <c r="V555" s="9">
        <f>IF(AND($A555&gt;=VLOOKUP(YEAR($A555),'Festive dates'!$A$2:$J$5,9,FALSE),$A555&lt;=VLOOKUP(YEAR($A555),'Festive dates'!$A$2:$J$5,10,FALSE)),1,0)</f>
        <v>0</v>
      </c>
      <c r="W555" s="9">
        <f>IF($A555=VLOOKUP(YEAR($A555),'Festive dates'!$A$2:$J$5,7,FALSE),1,0)</f>
        <v>0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>
      <c r="A556" s="8">
        <v>45571</v>
      </c>
      <c r="B556" s="9">
        <v>0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f>MAX(-20,MIN(10,$A556-VLOOKUP(YEAR($A556),'Festive dates'!$A$2:$J$5,8,FALSE)))</f>
        <v>-20</v>
      </c>
      <c r="R556" s="9">
        <f>IF(AND($A556&gt;VLOOKUP(YEAR($A556),'Festive dates'!$A$2:$J$5,2,FALSE),$A556&lt;VLOOKUP(YEAR($A556),'Festive dates'!$A$2:$J$5,3,FALSE)),1,0)</f>
        <v>1</v>
      </c>
      <c r="S556" s="9">
        <f>IF($A556=VLOOKUP(YEAR($A556),'Festive dates'!$A$2:$J$5,2,FALSE),1,0)</f>
        <v>0</v>
      </c>
      <c r="T556" s="9">
        <f>IF($A556=VLOOKUP(YEAR($A556),'Festive dates'!$A$2:$J$5,3,FALSE),1,0)</f>
        <v>0</v>
      </c>
      <c r="U556" s="9">
        <f>IF($A556=VLOOKUP(YEAR($A556),'Festive dates'!$A$2:$J$5,4,FALSE),1,0)</f>
        <v>0</v>
      </c>
      <c r="V556" s="9">
        <f>IF(AND($A556&gt;=VLOOKUP(YEAR($A556),'Festive dates'!$A$2:$J$5,9,FALSE),$A556&lt;=VLOOKUP(YEAR($A556),'Festive dates'!$A$2:$J$5,10,FALSE)),1,0)</f>
        <v>0</v>
      </c>
      <c r="W556" s="9">
        <f>IF($A556=VLOOKUP(YEAR($A556),'Festive dates'!$A$2:$J$5,7,FALSE),1,0)</f>
        <v>0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>
      <c r="A557" s="8">
        <v>45572</v>
      </c>
      <c r="B557" s="9">
        <v>0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f>MAX(-20,MIN(10,$A557-VLOOKUP(YEAR($A557),'Festive dates'!$A$2:$J$5,8,FALSE)))</f>
        <v>-20</v>
      </c>
      <c r="R557" s="9">
        <f>IF(AND($A557&gt;VLOOKUP(YEAR($A557),'Festive dates'!$A$2:$J$5,2,FALSE),$A557&lt;VLOOKUP(YEAR($A557),'Festive dates'!$A$2:$J$5,3,FALSE)),1,0)</f>
        <v>1</v>
      </c>
      <c r="S557" s="9">
        <f>IF($A557=VLOOKUP(YEAR($A557),'Festive dates'!$A$2:$J$5,2,FALSE),1,0)</f>
        <v>0</v>
      </c>
      <c r="T557" s="9">
        <f>IF($A557=VLOOKUP(YEAR($A557),'Festive dates'!$A$2:$J$5,3,FALSE),1,0)</f>
        <v>0</v>
      </c>
      <c r="U557" s="9">
        <f>IF($A557=VLOOKUP(YEAR($A557),'Festive dates'!$A$2:$J$5,4,FALSE),1,0)</f>
        <v>0</v>
      </c>
      <c r="V557" s="9">
        <f>IF(AND($A557&gt;=VLOOKUP(YEAR($A557),'Festive dates'!$A$2:$J$5,9,FALSE),$A557&lt;=VLOOKUP(YEAR($A557),'Festive dates'!$A$2:$J$5,10,FALSE)),1,0)</f>
        <v>0</v>
      </c>
      <c r="W557" s="9">
        <f>IF($A557=VLOOKUP(YEAR($A557),'Festive dates'!$A$2:$J$5,7,FALSE),1,0)</f>
        <v>0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>
      <c r="A558" s="8">
        <v>45573</v>
      </c>
      <c r="B558" s="9">
        <v>0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f>MAX(-20,MIN(10,$A558-VLOOKUP(YEAR($A558),'Festive dates'!$A$2:$J$5,8,FALSE)))</f>
        <v>-20</v>
      </c>
      <c r="R558" s="9">
        <f>IF(AND($A558&gt;VLOOKUP(YEAR($A558),'Festive dates'!$A$2:$J$5,2,FALSE),$A558&lt;VLOOKUP(YEAR($A558),'Festive dates'!$A$2:$J$5,3,FALSE)),1,0)</f>
        <v>1</v>
      </c>
      <c r="S558" s="9">
        <f>IF($A558=VLOOKUP(YEAR($A558),'Festive dates'!$A$2:$J$5,2,FALSE),1,0)</f>
        <v>0</v>
      </c>
      <c r="T558" s="9">
        <f>IF($A558=VLOOKUP(YEAR($A558),'Festive dates'!$A$2:$J$5,3,FALSE),1,0)</f>
        <v>0</v>
      </c>
      <c r="U558" s="9">
        <f>IF($A558=VLOOKUP(YEAR($A558),'Festive dates'!$A$2:$J$5,4,FALSE),1,0)</f>
        <v>0</v>
      </c>
      <c r="V558" s="9">
        <f>IF(AND($A558&gt;=VLOOKUP(YEAR($A558),'Festive dates'!$A$2:$J$5,9,FALSE),$A558&lt;=VLOOKUP(YEAR($A558),'Festive dates'!$A$2:$J$5,10,FALSE)),1,0)</f>
        <v>0</v>
      </c>
      <c r="W558" s="9">
        <f>IF($A558=VLOOKUP(YEAR($A558),'Festive dates'!$A$2:$J$5,7,FALSE),1,0)</f>
        <v>0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>
      <c r="A559" s="8">
        <v>45574</v>
      </c>
      <c r="B559" s="9">
        <v>0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f>MAX(-20,MIN(10,$A559-VLOOKUP(YEAR($A559),'Festive dates'!$A$2:$J$5,8,FALSE)))</f>
        <v>-20</v>
      </c>
      <c r="R559" s="9">
        <f>IF(AND($A559&gt;VLOOKUP(YEAR($A559),'Festive dates'!$A$2:$J$5,2,FALSE),$A559&lt;VLOOKUP(YEAR($A559),'Festive dates'!$A$2:$J$5,3,FALSE)),1,0)</f>
        <v>1</v>
      </c>
      <c r="S559" s="9">
        <f>IF($A559=VLOOKUP(YEAR($A559),'Festive dates'!$A$2:$J$5,2,FALSE),1,0)</f>
        <v>0</v>
      </c>
      <c r="T559" s="9">
        <f>IF($A559=VLOOKUP(YEAR($A559),'Festive dates'!$A$2:$J$5,3,FALSE),1,0)</f>
        <v>0</v>
      </c>
      <c r="U559" s="9">
        <f>IF($A559=VLOOKUP(YEAR($A559),'Festive dates'!$A$2:$J$5,4,FALSE),1,0)</f>
        <v>0</v>
      </c>
      <c r="V559" s="9">
        <f>IF(AND($A559&gt;=VLOOKUP(YEAR($A559),'Festive dates'!$A$2:$J$5,9,FALSE),$A559&lt;=VLOOKUP(YEAR($A559),'Festive dates'!$A$2:$J$5,10,FALSE)),1,0)</f>
        <v>0</v>
      </c>
      <c r="W559" s="9">
        <f>IF($A559=VLOOKUP(YEAR($A559),'Festive dates'!$A$2:$J$5,7,FALSE),1,0)</f>
        <v>0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>
      <c r="A560" s="8">
        <v>45575</v>
      </c>
      <c r="B560" s="9">
        <v>0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f>MAX(-20,MIN(10,$A560-VLOOKUP(YEAR($A560),'Festive dates'!$A$2:$J$5,8,FALSE)))</f>
        <v>-20</v>
      </c>
      <c r="R560" s="9">
        <f>IF(AND($A560&gt;VLOOKUP(YEAR($A560),'Festive dates'!$A$2:$J$5,2,FALSE),$A560&lt;VLOOKUP(YEAR($A560),'Festive dates'!$A$2:$J$5,3,FALSE)),1,0)</f>
        <v>1</v>
      </c>
      <c r="S560" s="9">
        <f>IF($A560=VLOOKUP(YEAR($A560),'Festive dates'!$A$2:$J$5,2,FALSE),1,0)</f>
        <v>0</v>
      </c>
      <c r="T560" s="9">
        <f>IF($A560=VLOOKUP(YEAR($A560),'Festive dates'!$A$2:$J$5,3,FALSE),1,0)</f>
        <v>0</v>
      </c>
      <c r="U560" s="9">
        <f>IF($A560=VLOOKUP(YEAR($A560),'Festive dates'!$A$2:$J$5,4,FALSE),1,0)</f>
        <v>0</v>
      </c>
      <c r="V560" s="9">
        <f>IF(AND($A560&gt;=VLOOKUP(YEAR($A560),'Festive dates'!$A$2:$J$5,9,FALSE),$A560&lt;=VLOOKUP(YEAR($A560),'Festive dates'!$A$2:$J$5,10,FALSE)),1,0)</f>
        <v>0</v>
      </c>
      <c r="W560" s="9">
        <f>IF($A560=VLOOKUP(YEAR($A560),'Festive dates'!$A$2:$J$5,7,FALSE),1,0)</f>
        <v>0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>
      <c r="A561" s="8">
        <v>45576</v>
      </c>
      <c r="B561" s="9">
        <v>0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f>MAX(-20,MIN(10,$A561-VLOOKUP(YEAR($A561),'Festive dates'!$A$2:$J$5,8,FALSE)))</f>
        <v>-20</v>
      </c>
      <c r="R561" s="9">
        <f>IF(AND($A561&gt;VLOOKUP(YEAR($A561),'Festive dates'!$A$2:$J$5,2,FALSE),$A561&lt;VLOOKUP(YEAR($A561),'Festive dates'!$A$2:$J$5,3,FALSE)),1,0)</f>
        <v>1</v>
      </c>
      <c r="S561" s="9">
        <f>IF($A561=VLOOKUP(YEAR($A561),'Festive dates'!$A$2:$J$5,2,FALSE),1,0)</f>
        <v>0</v>
      </c>
      <c r="T561" s="9">
        <f>IF($A561=VLOOKUP(YEAR($A561),'Festive dates'!$A$2:$J$5,3,FALSE),1,0)</f>
        <v>0</v>
      </c>
      <c r="U561" s="9">
        <f>IF($A561=VLOOKUP(YEAR($A561),'Festive dates'!$A$2:$J$5,4,FALSE),1,0)</f>
        <v>0</v>
      </c>
      <c r="V561" s="9">
        <f>IF(AND($A561&gt;=VLOOKUP(YEAR($A561),'Festive dates'!$A$2:$J$5,9,FALSE),$A561&lt;=VLOOKUP(YEAR($A561),'Festive dates'!$A$2:$J$5,10,FALSE)),1,0)</f>
        <v>0</v>
      </c>
      <c r="W561" s="9">
        <f>IF($A561=VLOOKUP(YEAR($A561),'Festive dates'!$A$2:$J$5,7,FALSE),1,0)</f>
        <v>0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>
      <c r="A562" s="8">
        <v>45577</v>
      </c>
      <c r="B562" s="9">
        <v>0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f>MAX(-20,MIN(10,$A562-VLOOKUP(YEAR($A562),'Festive dates'!$A$2:$J$5,8,FALSE)))</f>
        <v>-19</v>
      </c>
      <c r="R562" s="9">
        <f>IF(AND($A562&gt;VLOOKUP(YEAR($A562),'Festive dates'!$A$2:$J$5,2,FALSE),$A562&lt;VLOOKUP(YEAR($A562),'Festive dates'!$A$2:$J$5,3,FALSE)),1,0)</f>
        <v>0</v>
      </c>
      <c r="S562" s="9">
        <f>IF($A562=VLOOKUP(YEAR($A562),'Festive dates'!$A$2:$J$5,2,FALSE),1,0)</f>
        <v>0</v>
      </c>
      <c r="T562" s="9">
        <f>IF($A562=VLOOKUP(YEAR($A562),'Festive dates'!$A$2:$J$5,3,FALSE),1,0)</f>
        <v>1</v>
      </c>
      <c r="U562" s="9">
        <f>IF($A562=VLOOKUP(YEAR($A562),'Festive dates'!$A$2:$J$5,4,FALSE),1,0)</f>
        <v>1</v>
      </c>
      <c r="V562" s="9">
        <f>IF(AND($A562&gt;=VLOOKUP(YEAR($A562),'Festive dates'!$A$2:$J$5,9,FALSE),$A562&lt;=VLOOKUP(YEAR($A562),'Festive dates'!$A$2:$J$5,10,FALSE)),1,0)</f>
        <v>0</v>
      </c>
      <c r="W562" s="9">
        <f>IF($A562=VLOOKUP(YEAR($A562),'Festive dates'!$A$2:$J$5,7,FALSE),1,0)</f>
        <v>0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>
      <c r="A563" s="8">
        <v>45578</v>
      </c>
      <c r="B563" s="9">
        <v>0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f>MAX(-20,MIN(10,$A563-VLOOKUP(YEAR($A563),'Festive dates'!$A$2:$J$5,8,FALSE)))</f>
        <v>-18</v>
      </c>
      <c r="R563" s="9">
        <f>IF(AND($A563&gt;VLOOKUP(YEAR($A563),'Festive dates'!$A$2:$J$5,2,FALSE),$A563&lt;VLOOKUP(YEAR($A563),'Festive dates'!$A$2:$J$5,3,FALSE)),1,0)</f>
        <v>0</v>
      </c>
      <c r="S563" s="9">
        <f>IF($A563=VLOOKUP(YEAR($A563),'Festive dates'!$A$2:$J$5,2,FALSE),1,0)</f>
        <v>0</v>
      </c>
      <c r="T563" s="9">
        <f>IF($A563=VLOOKUP(YEAR($A563),'Festive dates'!$A$2:$J$5,3,FALSE),1,0)</f>
        <v>0</v>
      </c>
      <c r="U563" s="9">
        <f>IF($A563=VLOOKUP(YEAR($A563),'Festive dates'!$A$2:$J$5,4,FALSE),1,0)</f>
        <v>0</v>
      </c>
      <c r="V563" s="9">
        <f>IF(AND($A563&gt;=VLOOKUP(YEAR($A563),'Festive dates'!$A$2:$J$5,9,FALSE),$A563&lt;=VLOOKUP(YEAR($A563),'Festive dates'!$A$2:$J$5,10,FALSE)),1,0)</f>
        <v>0</v>
      </c>
      <c r="W563" s="9">
        <f>IF($A563=VLOOKUP(YEAR($A563),'Festive dates'!$A$2:$J$5,7,FALSE),1,0)</f>
        <v>0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>
      <c r="A564" s="8">
        <v>45579</v>
      </c>
      <c r="B564" s="9">
        <v>0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f>MAX(-20,MIN(10,$A564-VLOOKUP(YEAR($A564),'Festive dates'!$A$2:$J$5,8,FALSE)))</f>
        <v>-17</v>
      </c>
      <c r="R564" s="9">
        <f>IF(AND($A564&gt;VLOOKUP(YEAR($A564),'Festive dates'!$A$2:$J$5,2,FALSE),$A564&lt;VLOOKUP(YEAR($A564),'Festive dates'!$A$2:$J$5,3,FALSE)),1,0)</f>
        <v>0</v>
      </c>
      <c r="S564" s="9">
        <f>IF($A564=VLOOKUP(YEAR($A564),'Festive dates'!$A$2:$J$5,2,FALSE),1,0)</f>
        <v>0</v>
      </c>
      <c r="T564" s="9">
        <f>IF($A564=VLOOKUP(YEAR($A564),'Festive dates'!$A$2:$J$5,3,FALSE),1,0)</f>
        <v>0</v>
      </c>
      <c r="U564" s="9">
        <f>IF($A564=VLOOKUP(YEAR($A564),'Festive dates'!$A$2:$J$5,4,FALSE),1,0)</f>
        <v>0</v>
      </c>
      <c r="V564" s="9">
        <f>IF(AND($A564&gt;=VLOOKUP(YEAR($A564),'Festive dates'!$A$2:$J$5,9,FALSE),$A564&lt;=VLOOKUP(YEAR($A564),'Festive dates'!$A$2:$J$5,10,FALSE)),1,0)</f>
        <v>0</v>
      </c>
      <c r="W564" s="9">
        <f>IF($A564=VLOOKUP(YEAR($A564),'Festive dates'!$A$2:$J$5,7,FALSE),1,0)</f>
        <v>0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>
      <c r="A565" s="8">
        <v>45580</v>
      </c>
      <c r="B565" s="9">
        <v>0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f>MAX(-20,MIN(10,$A565-VLOOKUP(YEAR($A565),'Festive dates'!$A$2:$J$5,8,FALSE)))</f>
        <v>-16</v>
      </c>
      <c r="R565" s="9">
        <f>IF(AND($A565&gt;VLOOKUP(YEAR($A565),'Festive dates'!$A$2:$J$5,2,FALSE),$A565&lt;VLOOKUP(YEAR($A565),'Festive dates'!$A$2:$J$5,3,FALSE)),1,0)</f>
        <v>0</v>
      </c>
      <c r="S565" s="9">
        <f>IF($A565=VLOOKUP(YEAR($A565),'Festive dates'!$A$2:$J$5,2,FALSE),1,0)</f>
        <v>0</v>
      </c>
      <c r="T565" s="9">
        <f>IF($A565=VLOOKUP(YEAR($A565),'Festive dates'!$A$2:$J$5,3,FALSE),1,0)</f>
        <v>0</v>
      </c>
      <c r="U565" s="9">
        <f>IF($A565=VLOOKUP(YEAR($A565),'Festive dates'!$A$2:$J$5,4,FALSE),1,0)</f>
        <v>0</v>
      </c>
      <c r="V565" s="9">
        <f>IF(AND($A565&gt;=VLOOKUP(YEAR($A565),'Festive dates'!$A$2:$J$5,9,FALSE),$A565&lt;=VLOOKUP(YEAR($A565),'Festive dates'!$A$2:$J$5,10,FALSE)),1,0)</f>
        <v>0</v>
      </c>
      <c r="W565" s="9">
        <f>IF($A565=VLOOKUP(YEAR($A565),'Festive dates'!$A$2:$J$5,7,FALSE),1,0)</f>
        <v>0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>
      <c r="A566" s="8">
        <v>45581</v>
      </c>
      <c r="B566" s="9">
        <v>0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f>MAX(-20,MIN(10,$A566-VLOOKUP(YEAR($A566),'Festive dates'!$A$2:$J$5,8,FALSE)))</f>
        <v>-15</v>
      </c>
      <c r="R566" s="9">
        <f>IF(AND($A566&gt;VLOOKUP(YEAR($A566),'Festive dates'!$A$2:$J$5,2,FALSE),$A566&lt;VLOOKUP(YEAR($A566),'Festive dates'!$A$2:$J$5,3,FALSE)),1,0)</f>
        <v>0</v>
      </c>
      <c r="S566" s="9">
        <f>IF($A566=VLOOKUP(YEAR($A566),'Festive dates'!$A$2:$J$5,2,FALSE),1,0)</f>
        <v>0</v>
      </c>
      <c r="T566" s="9">
        <f>IF($A566=VLOOKUP(YEAR($A566),'Festive dates'!$A$2:$J$5,3,FALSE),1,0)</f>
        <v>0</v>
      </c>
      <c r="U566" s="9">
        <f>IF($A566=VLOOKUP(YEAR($A566),'Festive dates'!$A$2:$J$5,4,FALSE),1,0)</f>
        <v>0</v>
      </c>
      <c r="V566" s="9">
        <f>IF(AND($A566&gt;=VLOOKUP(YEAR($A566),'Festive dates'!$A$2:$J$5,9,FALSE),$A566&lt;=VLOOKUP(YEAR($A566),'Festive dates'!$A$2:$J$5,10,FALSE)),1,0)</f>
        <v>0</v>
      </c>
      <c r="W566" s="9">
        <f>IF($A566=VLOOKUP(YEAR($A566),'Festive dates'!$A$2:$J$5,7,FALSE),1,0)</f>
        <v>0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>
      <c r="A567" s="8">
        <v>45582</v>
      </c>
      <c r="B567" s="9">
        <v>0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f>MAX(-20,MIN(10,$A567-VLOOKUP(YEAR($A567),'Festive dates'!$A$2:$J$5,8,FALSE)))</f>
        <v>-14</v>
      </c>
      <c r="R567" s="9">
        <f>IF(AND($A567&gt;VLOOKUP(YEAR($A567),'Festive dates'!$A$2:$J$5,2,FALSE),$A567&lt;VLOOKUP(YEAR($A567),'Festive dates'!$A$2:$J$5,3,FALSE)),1,0)</f>
        <v>0</v>
      </c>
      <c r="S567" s="9">
        <f>IF($A567=VLOOKUP(YEAR($A567),'Festive dates'!$A$2:$J$5,2,FALSE),1,0)</f>
        <v>0</v>
      </c>
      <c r="T567" s="9">
        <f>IF($A567=VLOOKUP(YEAR($A567),'Festive dates'!$A$2:$J$5,3,FALSE),1,0)</f>
        <v>0</v>
      </c>
      <c r="U567" s="9">
        <f>IF($A567=VLOOKUP(YEAR($A567),'Festive dates'!$A$2:$J$5,4,FALSE),1,0)</f>
        <v>0</v>
      </c>
      <c r="V567" s="9">
        <f>IF(AND($A567&gt;=VLOOKUP(YEAR($A567),'Festive dates'!$A$2:$J$5,9,FALSE),$A567&lt;=VLOOKUP(YEAR($A567),'Festive dates'!$A$2:$J$5,10,FALSE)),1,0)</f>
        <v>0</v>
      </c>
      <c r="W567" s="9">
        <f>IF($A567=VLOOKUP(YEAR($A567),'Festive dates'!$A$2:$J$5,7,FALSE),1,0)</f>
        <v>0</v>
      </c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>
      <c r="A568" s="8">
        <v>45583</v>
      </c>
      <c r="B568" s="9">
        <v>0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f>MAX(-20,MIN(10,$A568-VLOOKUP(YEAR($A568),'Festive dates'!$A$2:$J$5,8,FALSE)))</f>
        <v>-13</v>
      </c>
      <c r="R568" s="9">
        <f>IF(AND($A568&gt;VLOOKUP(YEAR($A568),'Festive dates'!$A$2:$J$5,2,FALSE),$A568&lt;VLOOKUP(YEAR($A568),'Festive dates'!$A$2:$J$5,3,FALSE)),1,0)</f>
        <v>0</v>
      </c>
      <c r="S568" s="9">
        <f>IF($A568=VLOOKUP(YEAR($A568),'Festive dates'!$A$2:$J$5,2,FALSE),1,0)</f>
        <v>0</v>
      </c>
      <c r="T568" s="9">
        <f>IF($A568=VLOOKUP(YEAR($A568),'Festive dates'!$A$2:$J$5,3,FALSE),1,0)</f>
        <v>0</v>
      </c>
      <c r="U568" s="9">
        <f>IF($A568=VLOOKUP(YEAR($A568),'Festive dates'!$A$2:$J$5,4,FALSE),1,0)</f>
        <v>0</v>
      </c>
      <c r="V568" s="9">
        <f>IF(AND($A568&gt;=VLOOKUP(YEAR($A568),'Festive dates'!$A$2:$J$5,9,FALSE),$A568&lt;=VLOOKUP(YEAR($A568),'Festive dates'!$A$2:$J$5,10,FALSE)),1,0)</f>
        <v>0</v>
      </c>
      <c r="W568" s="9">
        <f>IF($A568=VLOOKUP(YEAR($A568),'Festive dates'!$A$2:$J$5,7,FALSE),1,0)</f>
        <v>0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>
      <c r="A569" s="8">
        <v>45584</v>
      </c>
      <c r="B569" s="9">
        <v>0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f>MAX(-20,MIN(10,$A569-VLOOKUP(YEAR($A569),'Festive dates'!$A$2:$J$5,8,FALSE)))</f>
        <v>-12</v>
      </c>
      <c r="R569" s="9">
        <f>IF(AND($A569&gt;VLOOKUP(YEAR($A569),'Festive dates'!$A$2:$J$5,2,FALSE),$A569&lt;VLOOKUP(YEAR($A569),'Festive dates'!$A$2:$J$5,3,FALSE)),1,0)</f>
        <v>0</v>
      </c>
      <c r="S569" s="9">
        <f>IF($A569=VLOOKUP(YEAR($A569),'Festive dates'!$A$2:$J$5,2,FALSE),1,0)</f>
        <v>0</v>
      </c>
      <c r="T569" s="9">
        <f>IF($A569=VLOOKUP(YEAR($A569),'Festive dates'!$A$2:$J$5,3,FALSE),1,0)</f>
        <v>0</v>
      </c>
      <c r="U569" s="9">
        <f>IF($A569=VLOOKUP(YEAR($A569),'Festive dates'!$A$2:$J$5,4,FALSE),1,0)</f>
        <v>0</v>
      </c>
      <c r="V569" s="9">
        <f>IF(AND($A569&gt;=VLOOKUP(YEAR($A569),'Festive dates'!$A$2:$J$5,9,FALSE),$A569&lt;=VLOOKUP(YEAR($A569),'Festive dates'!$A$2:$J$5,10,FALSE)),1,0)</f>
        <v>0</v>
      </c>
      <c r="W569" s="9">
        <f>IF($A569=VLOOKUP(YEAR($A569),'Festive dates'!$A$2:$J$5,7,FALSE),1,0)</f>
        <v>0</v>
      </c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>
      <c r="A570" s="8">
        <v>45585</v>
      </c>
      <c r="B570" s="9">
        <v>0</v>
      </c>
      <c r="C570" s="9">
        <v>0</v>
      </c>
      <c r="D570" s="9">
        <v>0</v>
      </c>
      <c r="E570" s="9">
        <v>0</v>
      </c>
      <c r="F570" s="9">
        <v>1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f>MAX(-20,MIN(10,$A570-VLOOKUP(YEAR($A570),'Festive dates'!$A$2:$J$5,8,FALSE)))</f>
        <v>-11</v>
      </c>
      <c r="R570" s="9">
        <f>IF(AND($A570&gt;VLOOKUP(YEAR($A570),'Festive dates'!$A$2:$J$5,2,FALSE),$A570&lt;VLOOKUP(YEAR($A570),'Festive dates'!$A$2:$J$5,3,FALSE)),1,0)</f>
        <v>0</v>
      </c>
      <c r="S570" s="9">
        <f>IF($A570=VLOOKUP(YEAR($A570),'Festive dates'!$A$2:$J$5,2,FALSE),1,0)</f>
        <v>0</v>
      </c>
      <c r="T570" s="9">
        <f>IF($A570=VLOOKUP(YEAR($A570),'Festive dates'!$A$2:$J$5,3,FALSE),1,0)</f>
        <v>0</v>
      </c>
      <c r="U570" s="9">
        <f>IF($A570=VLOOKUP(YEAR($A570),'Festive dates'!$A$2:$J$5,4,FALSE),1,0)</f>
        <v>0</v>
      </c>
      <c r="V570" s="9">
        <f>IF(AND($A570&gt;=VLOOKUP(YEAR($A570),'Festive dates'!$A$2:$J$5,9,FALSE),$A570&lt;=VLOOKUP(YEAR($A570),'Festive dates'!$A$2:$J$5,10,FALSE)),1,0)</f>
        <v>0</v>
      </c>
      <c r="W570" s="9">
        <f>IF($A570=VLOOKUP(YEAR($A570),'Festive dates'!$A$2:$J$5,7,FALSE),1,0)</f>
        <v>0</v>
      </c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>
      <c r="A571" s="8">
        <v>45586</v>
      </c>
      <c r="B571" s="9">
        <v>0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f>MAX(-20,MIN(10,$A571-VLOOKUP(YEAR($A571),'Festive dates'!$A$2:$J$5,8,FALSE)))</f>
        <v>-10</v>
      </c>
      <c r="R571" s="9">
        <f>IF(AND($A571&gt;VLOOKUP(YEAR($A571),'Festive dates'!$A$2:$J$5,2,FALSE),$A571&lt;VLOOKUP(YEAR($A571),'Festive dates'!$A$2:$J$5,3,FALSE)),1,0)</f>
        <v>0</v>
      </c>
      <c r="S571" s="9">
        <f>IF($A571=VLOOKUP(YEAR($A571),'Festive dates'!$A$2:$J$5,2,FALSE),1,0)</f>
        <v>0</v>
      </c>
      <c r="T571" s="9">
        <f>IF($A571=VLOOKUP(YEAR($A571),'Festive dates'!$A$2:$J$5,3,FALSE),1,0)</f>
        <v>0</v>
      </c>
      <c r="U571" s="9">
        <f>IF($A571=VLOOKUP(YEAR($A571),'Festive dates'!$A$2:$J$5,4,FALSE),1,0)</f>
        <v>0</v>
      </c>
      <c r="V571" s="9">
        <f>IF(AND($A571&gt;=VLOOKUP(YEAR($A571),'Festive dates'!$A$2:$J$5,9,FALSE),$A571&lt;=VLOOKUP(YEAR($A571),'Festive dates'!$A$2:$J$5,10,FALSE)),1,0)</f>
        <v>0</v>
      </c>
      <c r="W571" s="9">
        <f>IF($A571=VLOOKUP(YEAR($A571),'Festive dates'!$A$2:$J$5,7,FALSE),1,0)</f>
        <v>0</v>
      </c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>
      <c r="A572" s="8">
        <v>45587</v>
      </c>
      <c r="B572" s="9">
        <v>0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f>MAX(-20,MIN(10,$A572-VLOOKUP(YEAR($A572),'Festive dates'!$A$2:$J$5,8,FALSE)))</f>
        <v>-9</v>
      </c>
      <c r="R572" s="9">
        <f>IF(AND($A572&gt;VLOOKUP(YEAR($A572),'Festive dates'!$A$2:$J$5,2,FALSE),$A572&lt;VLOOKUP(YEAR($A572),'Festive dates'!$A$2:$J$5,3,FALSE)),1,0)</f>
        <v>0</v>
      </c>
      <c r="S572" s="9">
        <f>IF($A572=VLOOKUP(YEAR($A572),'Festive dates'!$A$2:$J$5,2,FALSE),1,0)</f>
        <v>0</v>
      </c>
      <c r="T572" s="9">
        <f>IF($A572=VLOOKUP(YEAR($A572),'Festive dates'!$A$2:$J$5,3,FALSE),1,0)</f>
        <v>0</v>
      </c>
      <c r="U572" s="9">
        <f>IF($A572=VLOOKUP(YEAR($A572),'Festive dates'!$A$2:$J$5,4,FALSE),1,0)</f>
        <v>0</v>
      </c>
      <c r="V572" s="9">
        <f>IF(AND($A572&gt;=VLOOKUP(YEAR($A572),'Festive dates'!$A$2:$J$5,9,FALSE),$A572&lt;=VLOOKUP(YEAR($A572),'Festive dates'!$A$2:$J$5,10,FALSE)),1,0)</f>
        <v>0</v>
      </c>
      <c r="W572" s="9">
        <f>IF($A572=VLOOKUP(YEAR($A572),'Festive dates'!$A$2:$J$5,7,FALSE),1,0)</f>
        <v>0</v>
      </c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>
      <c r="A573" s="8">
        <v>45588</v>
      </c>
      <c r="B573" s="9">
        <v>0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f>MAX(-20,MIN(10,$A573-VLOOKUP(YEAR($A573),'Festive dates'!$A$2:$J$5,8,FALSE)))</f>
        <v>-8</v>
      </c>
      <c r="R573" s="9">
        <f>IF(AND($A573&gt;VLOOKUP(YEAR($A573),'Festive dates'!$A$2:$J$5,2,FALSE),$A573&lt;VLOOKUP(YEAR($A573),'Festive dates'!$A$2:$J$5,3,FALSE)),1,0)</f>
        <v>0</v>
      </c>
      <c r="S573" s="9">
        <f>IF($A573=VLOOKUP(YEAR($A573),'Festive dates'!$A$2:$J$5,2,FALSE),1,0)</f>
        <v>0</v>
      </c>
      <c r="T573" s="9">
        <f>IF($A573=VLOOKUP(YEAR($A573),'Festive dates'!$A$2:$J$5,3,FALSE),1,0)</f>
        <v>0</v>
      </c>
      <c r="U573" s="9">
        <f>IF($A573=VLOOKUP(YEAR($A573),'Festive dates'!$A$2:$J$5,4,FALSE),1,0)</f>
        <v>0</v>
      </c>
      <c r="V573" s="9">
        <f>IF(AND($A573&gt;=VLOOKUP(YEAR($A573),'Festive dates'!$A$2:$J$5,9,FALSE),$A573&lt;=VLOOKUP(YEAR($A573),'Festive dates'!$A$2:$J$5,10,FALSE)),1,0)</f>
        <v>0</v>
      </c>
      <c r="W573" s="9">
        <f>IF($A573=VLOOKUP(YEAR($A573),'Festive dates'!$A$2:$J$5,7,FALSE),1,0)</f>
        <v>0</v>
      </c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>
      <c r="A574" s="8">
        <v>45589</v>
      </c>
      <c r="B574" s="9">
        <v>0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f>MAX(-20,MIN(10,$A574-VLOOKUP(YEAR($A574),'Festive dates'!$A$2:$J$5,8,FALSE)))</f>
        <v>-7</v>
      </c>
      <c r="R574" s="9">
        <f>IF(AND($A574&gt;VLOOKUP(YEAR($A574),'Festive dates'!$A$2:$J$5,2,FALSE),$A574&lt;VLOOKUP(YEAR($A574),'Festive dates'!$A$2:$J$5,3,FALSE)),1,0)</f>
        <v>0</v>
      </c>
      <c r="S574" s="9">
        <f>IF($A574=VLOOKUP(YEAR($A574),'Festive dates'!$A$2:$J$5,2,FALSE),1,0)</f>
        <v>0</v>
      </c>
      <c r="T574" s="9">
        <f>IF($A574=VLOOKUP(YEAR($A574),'Festive dates'!$A$2:$J$5,3,FALSE),1,0)</f>
        <v>0</v>
      </c>
      <c r="U574" s="9">
        <f>IF($A574=VLOOKUP(YEAR($A574),'Festive dates'!$A$2:$J$5,4,FALSE),1,0)</f>
        <v>0</v>
      </c>
      <c r="V574" s="9">
        <f>IF(AND($A574&gt;=VLOOKUP(YEAR($A574),'Festive dates'!$A$2:$J$5,9,FALSE),$A574&lt;=VLOOKUP(YEAR($A574),'Festive dates'!$A$2:$J$5,10,FALSE)),1,0)</f>
        <v>0</v>
      </c>
      <c r="W574" s="9">
        <f>IF($A574=VLOOKUP(YEAR($A574),'Festive dates'!$A$2:$J$5,7,FALSE),1,0)</f>
        <v>0</v>
      </c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>
      <c r="A575" s="8">
        <v>45590</v>
      </c>
      <c r="B575" s="9">
        <v>0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f>MAX(-20,MIN(10,$A575-VLOOKUP(YEAR($A575),'Festive dates'!$A$2:$J$5,8,FALSE)))</f>
        <v>-6</v>
      </c>
      <c r="R575" s="9">
        <f>IF(AND($A575&gt;VLOOKUP(YEAR($A575),'Festive dates'!$A$2:$J$5,2,FALSE),$A575&lt;VLOOKUP(YEAR($A575),'Festive dates'!$A$2:$J$5,3,FALSE)),1,0)</f>
        <v>0</v>
      </c>
      <c r="S575" s="9">
        <f>IF($A575=VLOOKUP(YEAR($A575),'Festive dates'!$A$2:$J$5,2,FALSE),1,0)</f>
        <v>0</v>
      </c>
      <c r="T575" s="9">
        <f>IF($A575=VLOOKUP(YEAR($A575),'Festive dates'!$A$2:$J$5,3,FALSE),1,0)</f>
        <v>0</v>
      </c>
      <c r="U575" s="9">
        <f>IF($A575=VLOOKUP(YEAR($A575),'Festive dates'!$A$2:$J$5,4,FALSE),1,0)</f>
        <v>0</v>
      </c>
      <c r="V575" s="9">
        <f>IF(AND($A575&gt;=VLOOKUP(YEAR($A575),'Festive dates'!$A$2:$J$5,9,FALSE),$A575&lt;=VLOOKUP(YEAR($A575),'Festive dates'!$A$2:$J$5,10,FALSE)),1,0)</f>
        <v>0</v>
      </c>
      <c r="W575" s="9">
        <f>IF($A575=VLOOKUP(YEAR($A575),'Festive dates'!$A$2:$J$5,7,FALSE),1,0)</f>
        <v>0</v>
      </c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>
      <c r="A576" s="8">
        <v>45591</v>
      </c>
      <c r="B576" s="9">
        <v>0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f>MAX(-20,MIN(10,$A576-VLOOKUP(YEAR($A576),'Festive dates'!$A$2:$J$5,8,FALSE)))</f>
        <v>-5</v>
      </c>
      <c r="R576" s="9">
        <f>IF(AND($A576&gt;VLOOKUP(YEAR($A576),'Festive dates'!$A$2:$J$5,2,FALSE),$A576&lt;VLOOKUP(YEAR($A576),'Festive dates'!$A$2:$J$5,3,FALSE)),1,0)</f>
        <v>0</v>
      </c>
      <c r="S576" s="9">
        <f>IF($A576=VLOOKUP(YEAR($A576),'Festive dates'!$A$2:$J$5,2,FALSE),1,0)</f>
        <v>0</v>
      </c>
      <c r="T576" s="9">
        <f>IF($A576=VLOOKUP(YEAR($A576),'Festive dates'!$A$2:$J$5,3,FALSE),1,0)</f>
        <v>0</v>
      </c>
      <c r="U576" s="9">
        <f>IF($A576=VLOOKUP(YEAR($A576),'Festive dates'!$A$2:$J$5,4,FALSE),1,0)</f>
        <v>0</v>
      </c>
      <c r="V576" s="9">
        <f>IF(AND($A576&gt;=VLOOKUP(YEAR($A576),'Festive dates'!$A$2:$J$5,9,FALSE),$A576&lt;=VLOOKUP(YEAR($A576),'Festive dates'!$A$2:$J$5,10,FALSE)),1,0)</f>
        <v>0</v>
      </c>
      <c r="W576" s="9">
        <f>IF($A576=VLOOKUP(YEAR($A576),'Festive dates'!$A$2:$J$5,7,FALSE),1,0)</f>
        <v>0</v>
      </c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>
      <c r="A577" s="8">
        <v>45592</v>
      </c>
      <c r="B577" s="9">
        <v>0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f>MAX(-20,MIN(10,$A577-VLOOKUP(YEAR($A577),'Festive dates'!$A$2:$J$5,8,FALSE)))</f>
        <v>-4</v>
      </c>
      <c r="R577" s="9">
        <f>IF(AND($A577&gt;VLOOKUP(YEAR($A577),'Festive dates'!$A$2:$J$5,2,FALSE),$A577&lt;VLOOKUP(YEAR($A577),'Festive dates'!$A$2:$J$5,3,FALSE)),1,0)</f>
        <v>0</v>
      </c>
      <c r="S577" s="9">
        <f>IF($A577=VLOOKUP(YEAR($A577),'Festive dates'!$A$2:$J$5,2,FALSE),1,0)</f>
        <v>0</v>
      </c>
      <c r="T577" s="9">
        <f>IF($A577=VLOOKUP(YEAR($A577),'Festive dates'!$A$2:$J$5,3,FALSE),1,0)</f>
        <v>0</v>
      </c>
      <c r="U577" s="9">
        <f>IF($A577=VLOOKUP(YEAR($A577),'Festive dates'!$A$2:$J$5,4,FALSE),1,0)</f>
        <v>0</v>
      </c>
      <c r="V577" s="9">
        <f>IF(AND($A577&gt;=VLOOKUP(YEAR($A577),'Festive dates'!$A$2:$J$5,9,FALSE),$A577&lt;=VLOOKUP(YEAR($A577),'Festive dates'!$A$2:$J$5,10,FALSE)),1,0)</f>
        <v>0</v>
      </c>
      <c r="W577" s="9">
        <f>IF($A577=VLOOKUP(YEAR($A577),'Festive dates'!$A$2:$J$5,7,FALSE),1,0)</f>
        <v>0</v>
      </c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>
      <c r="A578" s="8">
        <v>45593</v>
      </c>
      <c r="B578" s="9">
        <v>0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f>MAX(-20,MIN(10,$A578-VLOOKUP(YEAR($A578),'Festive dates'!$A$2:$J$5,8,FALSE)))</f>
        <v>-3</v>
      </c>
      <c r="R578" s="9">
        <f>IF(AND($A578&gt;VLOOKUP(YEAR($A578),'Festive dates'!$A$2:$J$5,2,FALSE),$A578&lt;VLOOKUP(YEAR($A578),'Festive dates'!$A$2:$J$5,3,FALSE)),1,0)</f>
        <v>0</v>
      </c>
      <c r="S578" s="9">
        <f>IF($A578=VLOOKUP(YEAR($A578),'Festive dates'!$A$2:$J$5,2,FALSE),1,0)</f>
        <v>0</v>
      </c>
      <c r="T578" s="9">
        <f>IF($A578=VLOOKUP(YEAR($A578),'Festive dates'!$A$2:$J$5,3,FALSE),1,0)</f>
        <v>0</v>
      </c>
      <c r="U578" s="9">
        <f>IF($A578=VLOOKUP(YEAR($A578),'Festive dates'!$A$2:$J$5,4,FALSE),1,0)</f>
        <v>0</v>
      </c>
      <c r="V578" s="9">
        <f>IF(AND($A578&gt;=VLOOKUP(YEAR($A578),'Festive dates'!$A$2:$J$5,9,FALSE),$A578&lt;=VLOOKUP(YEAR($A578),'Festive dates'!$A$2:$J$5,10,FALSE)),1,0)</f>
        <v>0</v>
      </c>
      <c r="W578" s="9">
        <f>IF($A578=VLOOKUP(YEAR($A578),'Festive dates'!$A$2:$J$5,7,FALSE),1,0)</f>
        <v>0</v>
      </c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>
      <c r="A579" s="8">
        <v>45594</v>
      </c>
      <c r="B579" s="9">
        <v>0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f>MAX(-20,MIN(10,$A579-VLOOKUP(YEAR($A579),'Festive dates'!$A$2:$J$5,8,FALSE)))</f>
        <v>-2</v>
      </c>
      <c r="R579" s="9">
        <f>IF(AND($A579&gt;VLOOKUP(YEAR($A579),'Festive dates'!$A$2:$J$5,2,FALSE),$A579&lt;VLOOKUP(YEAR($A579),'Festive dates'!$A$2:$J$5,3,FALSE)),1,0)</f>
        <v>0</v>
      </c>
      <c r="S579" s="9">
        <f>IF($A579=VLOOKUP(YEAR($A579),'Festive dates'!$A$2:$J$5,2,FALSE),1,0)</f>
        <v>0</v>
      </c>
      <c r="T579" s="9">
        <f>IF($A579=VLOOKUP(YEAR($A579),'Festive dates'!$A$2:$J$5,3,FALSE),1,0)</f>
        <v>0</v>
      </c>
      <c r="U579" s="9">
        <f>IF($A579=VLOOKUP(YEAR($A579),'Festive dates'!$A$2:$J$5,4,FALSE),1,0)</f>
        <v>0</v>
      </c>
      <c r="V579" s="9">
        <f>IF(AND($A579&gt;=VLOOKUP(YEAR($A579),'Festive dates'!$A$2:$J$5,9,FALSE),$A579&lt;=VLOOKUP(YEAR($A579),'Festive dates'!$A$2:$J$5,10,FALSE)),1,0)</f>
        <v>0</v>
      </c>
      <c r="W579" s="9">
        <f>IF($A579=VLOOKUP(YEAR($A579),'Festive dates'!$A$2:$J$5,7,FALSE),1,0)</f>
        <v>1</v>
      </c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>
      <c r="A580" s="8">
        <v>45595</v>
      </c>
      <c r="B580" s="9">
        <v>0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f>MAX(-20,MIN(10,$A580-VLOOKUP(YEAR($A580),'Festive dates'!$A$2:$J$5,8,FALSE)))</f>
        <v>-1</v>
      </c>
      <c r="R580" s="9">
        <f>IF(AND($A580&gt;VLOOKUP(YEAR($A580),'Festive dates'!$A$2:$J$5,2,FALSE),$A580&lt;VLOOKUP(YEAR($A580),'Festive dates'!$A$2:$J$5,3,FALSE)),1,0)</f>
        <v>0</v>
      </c>
      <c r="S580" s="9">
        <f>IF($A580=VLOOKUP(YEAR($A580),'Festive dates'!$A$2:$J$5,2,FALSE),1,0)</f>
        <v>0</v>
      </c>
      <c r="T580" s="9">
        <f>IF($A580=VLOOKUP(YEAR($A580),'Festive dates'!$A$2:$J$5,3,FALSE),1,0)</f>
        <v>0</v>
      </c>
      <c r="U580" s="9">
        <f>IF($A580=VLOOKUP(YEAR($A580),'Festive dates'!$A$2:$J$5,4,FALSE),1,0)</f>
        <v>0</v>
      </c>
      <c r="V580" s="9">
        <f>IF(AND($A580&gt;=VLOOKUP(YEAR($A580),'Festive dates'!$A$2:$J$5,9,FALSE),$A580&lt;=VLOOKUP(YEAR($A580),'Festive dates'!$A$2:$J$5,10,FALSE)),1,0)</f>
        <v>0</v>
      </c>
      <c r="W580" s="9">
        <f>IF($A580=VLOOKUP(YEAR($A580),'Festive dates'!$A$2:$J$5,7,FALSE),1,0)</f>
        <v>0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>
      <c r="A581" s="8">
        <v>45596</v>
      </c>
      <c r="B581" s="9">
        <v>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f>MAX(-20,MIN(10,$A581-VLOOKUP(YEAR($A581),'Festive dates'!$A$2:$J$5,8,FALSE)))</f>
        <v>0</v>
      </c>
      <c r="R581" s="9">
        <f>IF(AND($A581&gt;VLOOKUP(YEAR($A581),'Festive dates'!$A$2:$J$5,2,FALSE),$A581&lt;VLOOKUP(YEAR($A581),'Festive dates'!$A$2:$J$5,3,FALSE)),1,0)</f>
        <v>0</v>
      </c>
      <c r="S581" s="9">
        <f>IF($A581=VLOOKUP(YEAR($A581),'Festive dates'!$A$2:$J$5,2,FALSE),1,0)</f>
        <v>0</v>
      </c>
      <c r="T581" s="9">
        <f>IF($A581=VLOOKUP(YEAR($A581),'Festive dates'!$A$2:$J$5,3,FALSE),1,0)</f>
        <v>0</v>
      </c>
      <c r="U581" s="9">
        <f>IF($A581=VLOOKUP(YEAR($A581),'Festive dates'!$A$2:$J$5,4,FALSE),1,0)</f>
        <v>0</v>
      </c>
      <c r="V581" s="9">
        <f>IF(AND($A581&gt;=VLOOKUP(YEAR($A581),'Festive dates'!$A$2:$J$5,9,FALSE),$A581&lt;=VLOOKUP(YEAR($A581),'Festive dates'!$A$2:$J$5,10,FALSE)),1,0)</f>
        <v>0</v>
      </c>
      <c r="W581" s="9">
        <f>IF($A581=VLOOKUP(YEAR($A581),'Festive dates'!$A$2:$J$5,7,FALSE),1,0)</f>
        <v>0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>
      <c r="A582" s="8">
        <v>45597</v>
      </c>
      <c r="B582" s="9">
        <v>0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f>MAX(-20,MIN(10,$A582-VLOOKUP(YEAR($A582),'Festive dates'!$A$2:$J$5,8,FALSE)))</f>
        <v>1</v>
      </c>
      <c r="R582" s="9">
        <f>IF(AND($A582&gt;VLOOKUP(YEAR($A582),'Festive dates'!$A$2:$J$5,2,FALSE),$A582&lt;VLOOKUP(YEAR($A582),'Festive dates'!$A$2:$J$5,3,FALSE)),1,0)</f>
        <v>0</v>
      </c>
      <c r="S582" s="9">
        <f>IF($A582=VLOOKUP(YEAR($A582),'Festive dates'!$A$2:$J$5,2,FALSE),1,0)</f>
        <v>0</v>
      </c>
      <c r="T582" s="9">
        <f>IF($A582=VLOOKUP(YEAR($A582),'Festive dates'!$A$2:$J$5,3,FALSE),1,0)</f>
        <v>0</v>
      </c>
      <c r="U582" s="9">
        <f>IF($A582=VLOOKUP(YEAR($A582),'Festive dates'!$A$2:$J$5,4,FALSE),1,0)</f>
        <v>0</v>
      </c>
      <c r="V582" s="9">
        <f>IF(AND($A582&gt;=VLOOKUP(YEAR($A582),'Festive dates'!$A$2:$J$5,9,FALSE),$A582&lt;=VLOOKUP(YEAR($A582),'Festive dates'!$A$2:$J$5,10,FALSE)),1,0)</f>
        <v>0</v>
      </c>
      <c r="W582" s="9">
        <f>IF($A582=VLOOKUP(YEAR($A582),'Festive dates'!$A$2:$J$5,7,FALSE),1,0)</f>
        <v>0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>
      <c r="A583" s="8">
        <v>45598</v>
      </c>
      <c r="B583" s="9">
        <v>0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f>MAX(-20,MIN(10,$A583-VLOOKUP(YEAR($A583),'Festive dates'!$A$2:$J$5,8,FALSE)))</f>
        <v>2</v>
      </c>
      <c r="R583" s="9">
        <f>IF(AND($A583&gt;VLOOKUP(YEAR($A583),'Festive dates'!$A$2:$J$5,2,FALSE),$A583&lt;VLOOKUP(YEAR($A583),'Festive dates'!$A$2:$J$5,3,FALSE)),1,0)</f>
        <v>0</v>
      </c>
      <c r="S583" s="9">
        <f>IF($A583=VLOOKUP(YEAR($A583),'Festive dates'!$A$2:$J$5,2,FALSE),1,0)</f>
        <v>0</v>
      </c>
      <c r="T583" s="9">
        <f>IF($A583=VLOOKUP(YEAR($A583),'Festive dates'!$A$2:$J$5,3,FALSE),1,0)</f>
        <v>0</v>
      </c>
      <c r="U583" s="9">
        <f>IF($A583=VLOOKUP(YEAR($A583),'Festive dates'!$A$2:$J$5,4,FALSE),1,0)</f>
        <v>0</v>
      </c>
      <c r="V583" s="9">
        <f>IF(AND($A583&gt;=VLOOKUP(YEAR($A583),'Festive dates'!$A$2:$J$5,9,FALSE),$A583&lt;=VLOOKUP(YEAR($A583),'Festive dates'!$A$2:$J$5,10,FALSE)),1,0)</f>
        <v>0</v>
      </c>
      <c r="W583" s="9">
        <f>IF($A583=VLOOKUP(YEAR($A583),'Festive dates'!$A$2:$J$5,7,FALSE),1,0)</f>
        <v>0</v>
      </c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>
      <c r="A584" s="8">
        <v>45599</v>
      </c>
      <c r="B584" s="9">
        <v>0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f>MAX(-20,MIN(10,$A584-VLOOKUP(YEAR($A584),'Festive dates'!$A$2:$J$5,8,FALSE)))</f>
        <v>3</v>
      </c>
      <c r="R584" s="9">
        <f>IF(AND($A584&gt;VLOOKUP(YEAR($A584),'Festive dates'!$A$2:$J$5,2,FALSE),$A584&lt;VLOOKUP(YEAR($A584),'Festive dates'!$A$2:$J$5,3,FALSE)),1,0)</f>
        <v>0</v>
      </c>
      <c r="S584" s="9">
        <f>IF($A584=VLOOKUP(YEAR($A584),'Festive dates'!$A$2:$J$5,2,FALSE),1,0)</f>
        <v>0</v>
      </c>
      <c r="T584" s="9">
        <f>IF($A584=VLOOKUP(YEAR($A584),'Festive dates'!$A$2:$J$5,3,FALSE),1,0)</f>
        <v>0</v>
      </c>
      <c r="U584" s="9">
        <f>IF($A584=VLOOKUP(YEAR($A584),'Festive dates'!$A$2:$J$5,4,FALSE),1,0)</f>
        <v>0</v>
      </c>
      <c r="V584" s="9">
        <f>IF(AND($A584&gt;=VLOOKUP(YEAR($A584),'Festive dates'!$A$2:$J$5,9,FALSE),$A584&lt;=VLOOKUP(YEAR($A584),'Festive dates'!$A$2:$J$5,10,FALSE)),1,0)</f>
        <v>0</v>
      </c>
      <c r="W584" s="9">
        <f>IF($A584=VLOOKUP(YEAR($A584),'Festive dates'!$A$2:$J$5,7,FALSE),1,0)</f>
        <v>0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>
      <c r="A585" s="8">
        <v>45600</v>
      </c>
      <c r="B585" s="9">
        <v>0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f>MAX(-20,MIN(10,$A585-VLOOKUP(YEAR($A585),'Festive dates'!$A$2:$J$5,8,FALSE)))</f>
        <v>4</v>
      </c>
      <c r="R585" s="9">
        <f>IF(AND($A585&gt;VLOOKUP(YEAR($A585),'Festive dates'!$A$2:$J$5,2,FALSE),$A585&lt;VLOOKUP(YEAR($A585),'Festive dates'!$A$2:$J$5,3,FALSE)),1,0)</f>
        <v>0</v>
      </c>
      <c r="S585" s="9">
        <f>IF($A585=VLOOKUP(YEAR($A585),'Festive dates'!$A$2:$J$5,2,FALSE),1,0)</f>
        <v>0</v>
      </c>
      <c r="T585" s="9">
        <f>IF($A585=VLOOKUP(YEAR($A585),'Festive dates'!$A$2:$J$5,3,FALSE),1,0)</f>
        <v>0</v>
      </c>
      <c r="U585" s="9">
        <f>IF($A585=VLOOKUP(YEAR($A585),'Festive dates'!$A$2:$J$5,4,FALSE),1,0)</f>
        <v>0</v>
      </c>
      <c r="V585" s="9">
        <f>IF(AND($A585&gt;=VLOOKUP(YEAR($A585),'Festive dates'!$A$2:$J$5,9,FALSE),$A585&lt;=VLOOKUP(YEAR($A585),'Festive dates'!$A$2:$J$5,10,FALSE)),1,0)</f>
        <v>0</v>
      </c>
      <c r="W585" s="9">
        <f>IF($A585=VLOOKUP(YEAR($A585),'Festive dates'!$A$2:$J$5,7,FALSE),1,0)</f>
        <v>0</v>
      </c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>
      <c r="A586" s="8">
        <v>45601</v>
      </c>
      <c r="B586" s="9">
        <v>0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1</v>
      </c>
      <c r="Q586" s="9">
        <f>MAX(-20,MIN(10,$A586-VLOOKUP(YEAR($A586),'Festive dates'!$A$2:$J$5,8,FALSE)))</f>
        <v>5</v>
      </c>
      <c r="R586" s="9">
        <f>IF(AND($A586&gt;VLOOKUP(YEAR($A586),'Festive dates'!$A$2:$J$5,2,FALSE),$A586&lt;VLOOKUP(YEAR($A586),'Festive dates'!$A$2:$J$5,3,FALSE)),1,0)</f>
        <v>0</v>
      </c>
      <c r="S586" s="9">
        <f>IF($A586=VLOOKUP(YEAR($A586),'Festive dates'!$A$2:$J$5,2,FALSE),1,0)</f>
        <v>0</v>
      </c>
      <c r="T586" s="9">
        <f>IF($A586=VLOOKUP(YEAR($A586),'Festive dates'!$A$2:$J$5,3,FALSE),1,0)</f>
        <v>0</v>
      </c>
      <c r="U586" s="9">
        <f>IF($A586=VLOOKUP(YEAR($A586),'Festive dates'!$A$2:$J$5,4,FALSE),1,0)</f>
        <v>0</v>
      </c>
      <c r="V586" s="9">
        <f>IF(AND($A586&gt;=VLOOKUP(YEAR($A586),'Festive dates'!$A$2:$J$5,9,FALSE),$A586&lt;=VLOOKUP(YEAR($A586),'Festive dates'!$A$2:$J$5,10,FALSE)),1,0)</f>
        <v>0</v>
      </c>
      <c r="W586" s="9">
        <f>IF($A586=VLOOKUP(YEAR($A586),'Festive dates'!$A$2:$J$5,7,FALSE),1,0)</f>
        <v>0</v>
      </c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>
      <c r="A587" s="8">
        <v>45602</v>
      </c>
      <c r="B587" s="9">
        <v>0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1</v>
      </c>
      <c r="Q587" s="9">
        <f>MAX(-20,MIN(10,$A587-VLOOKUP(YEAR($A587),'Festive dates'!$A$2:$J$5,8,FALSE)))</f>
        <v>6</v>
      </c>
      <c r="R587" s="9">
        <f>IF(AND($A587&gt;VLOOKUP(YEAR($A587),'Festive dates'!$A$2:$J$5,2,FALSE),$A587&lt;VLOOKUP(YEAR($A587),'Festive dates'!$A$2:$J$5,3,FALSE)),1,0)</f>
        <v>0</v>
      </c>
      <c r="S587" s="9">
        <f>IF($A587=VLOOKUP(YEAR($A587),'Festive dates'!$A$2:$J$5,2,FALSE),1,0)</f>
        <v>0</v>
      </c>
      <c r="T587" s="9">
        <f>IF($A587=VLOOKUP(YEAR($A587),'Festive dates'!$A$2:$J$5,3,FALSE),1,0)</f>
        <v>0</v>
      </c>
      <c r="U587" s="9">
        <f>IF($A587=VLOOKUP(YEAR($A587),'Festive dates'!$A$2:$J$5,4,FALSE),1,0)</f>
        <v>0</v>
      </c>
      <c r="V587" s="9">
        <f>IF(AND($A587&gt;=VLOOKUP(YEAR($A587),'Festive dates'!$A$2:$J$5,9,FALSE),$A587&lt;=VLOOKUP(YEAR($A587),'Festive dates'!$A$2:$J$5,10,FALSE)),1,0)</f>
        <v>0</v>
      </c>
      <c r="W587" s="9">
        <f>IF($A587=VLOOKUP(YEAR($A587),'Festive dates'!$A$2:$J$5,7,FALSE),1,0)</f>
        <v>0</v>
      </c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>
      <c r="A588" s="8">
        <v>45603</v>
      </c>
      <c r="B588" s="9">
        <v>0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f>MAX(-20,MIN(10,$A588-VLOOKUP(YEAR($A588),'Festive dates'!$A$2:$J$5,8,FALSE)))</f>
        <v>7</v>
      </c>
      <c r="R588" s="9">
        <f>IF(AND($A588&gt;VLOOKUP(YEAR($A588),'Festive dates'!$A$2:$J$5,2,FALSE),$A588&lt;VLOOKUP(YEAR($A588),'Festive dates'!$A$2:$J$5,3,FALSE)),1,0)</f>
        <v>0</v>
      </c>
      <c r="S588" s="9">
        <f>IF($A588=VLOOKUP(YEAR($A588),'Festive dates'!$A$2:$J$5,2,FALSE),1,0)</f>
        <v>0</v>
      </c>
      <c r="T588" s="9">
        <f>IF($A588=VLOOKUP(YEAR($A588),'Festive dates'!$A$2:$J$5,3,FALSE),1,0)</f>
        <v>0</v>
      </c>
      <c r="U588" s="9">
        <f>IF($A588=VLOOKUP(YEAR($A588),'Festive dates'!$A$2:$J$5,4,FALSE),1,0)</f>
        <v>0</v>
      </c>
      <c r="V588" s="9">
        <f>IF(AND($A588&gt;=VLOOKUP(YEAR($A588),'Festive dates'!$A$2:$J$5,9,FALSE),$A588&lt;=VLOOKUP(YEAR($A588),'Festive dates'!$A$2:$J$5,10,FALSE)),1,0)</f>
        <v>0</v>
      </c>
      <c r="W588" s="9">
        <f>IF($A588=VLOOKUP(YEAR($A588),'Festive dates'!$A$2:$J$5,7,FALSE),1,0)</f>
        <v>0</v>
      </c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>
      <c r="A589" s="8">
        <v>45604</v>
      </c>
      <c r="B589" s="9">
        <v>0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f>MAX(-20,MIN(10,$A589-VLOOKUP(YEAR($A589),'Festive dates'!$A$2:$J$5,8,FALSE)))</f>
        <v>8</v>
      </c>
      <c r="R589" s="9">
        <f>IF(AND($A589&gt;VLOOKUP(YEAR($A589),'Festive dates'!$A$2:$J$5,2,FALSE),$A589&lt;VLOOKUP(YEAR($A589),'Festive dates'!$A$2:$J$5,3,FALSE)),1,0)</f>
        <v>0</v>
      </c>
      <c r="S589" s="9">
        <f>IF($A589=VLOOKUP(YEAR($A589),'Festive dates'!$A$2:$J$5,2,FALSE),1,0)</f>
        <v>0</v>
      </c>
      <c r="T589" s="9">
        <f>IF($A589=VLOOKUP(YEAR($A589),'Festive dates'!$A$2:$J$5,3,FALSE),1,0)</f>
        <v>0</v>
      </c>
      <c r="U589" s="9">
        <f>IF($A589=VLOOKUP(YEAR($A589),'Festive dates'!$A$2:$J$5,4,FALSE),1,0)</f>
        <v>0</v>
      </c>
      <c r="V589" s="9">
        <f>IF(AND($A589&gt;=VLOOKUP(YEAR($A589),'Festive dates'!$A$2:$J$5,9,FALSE),$A589&lt;=VLOOKUP(YEAR($A589),'Festive dates'!$A$2:$J$5,10,FALSE)),1,0)</f>
        <v>0</v>
      </c>
      <c r="W589" s="9">
        <f>IF($A589=VLOOKUP(YEAR($A589),'Festive dates'!$A$2:$J$5,7,FALSE),1,0)</f>
        <v>0</v>
      </c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>
      <c r="A590" s="8">
        <v>45605</v>
      </c>
      <c r="B590" s="9">
        <v>0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1</v>
      </c>
      <c r="Q590" s="9">
        <f>MAX(-20,MIN(10,$A590-VLOOKUP(YEAR($A590),'Festive dates'!$A$2:$J$5,8,FALSE)))</f>
        <v>9</v>
      </c>
      <c r="R590" s="9">
        <f>IF(AND($A590&gt;VLOOKUP(YEAR($A590),'Festive dates'!$A$2:$J$5,2,FALSE),$A590&lt;VLOOKUP(YEAR($A590),'Festive dates'!$A$2:$J$5,3,FALSE)),1,0)</f>
        <v>0</v>
      </c>
      <c r="S590" s="9">
        <f>IF($A590=VLOOKUP(YEAR($A590),'Festive dates'!$A$2:$J$5,2,FALSE),1,0)</f>
        <v>0</v>
      </c>
      <c r="T590" s="9">
        <f>IF($A590=VLOOKUP(YEAR($A590),'Festive dates'!$A$2:$J$5,3,FALSE),1,0)</f>
        <v>0</v>
      </c>
      <c r="U590" s="9">
        <f>IF($A590=VLOOKUP(YEAR($A590),'Festive dates'!$A$2:$J$5,4,FALSE),1,0)</f>
        <v>0</v>
      </c>
      <c r="V590" s="9">
        <f>IF(AND($A590&gt;=VLOOKUP(YEAR($A590),'Festive dates'!$A$2:$J$5,9,FALSE),$A590&lt;=VLOOKUP(YEAR($A590),'Festive dates'!$A$2:$J$5,10,FALSE)),1,0)</f>
        <v>0</v>
      </c>
      <c r="W590" s="9">
        <f>IF($A590=VLOOKUP(YEAR($A590),'Festive dates'!$A$2:$J$5,7,FALSE),1,0)</f>
        <v>0</v>
      </c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>
      <c r="A591" s="8">
        <v>45606</v>
      </c>
      <c r="B591" s="9">
        <v>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1</v>
      </c>
      <c r="Q591" s="9">
        <f>MAX(-20,MIN(10,$A591-VLOOKUP(YEAR($A591),'Festive dates'!$A$2:$J$5,8,FALSE)))</f>
        <v>10</v>
      </c>
      <c r="R591" s="9">
        <f>IF(AND($A591&gt;VLOOKUP(YEAR($A591),'Festive dates'!$A$2:$J$5,2,FALSE),$A591&lt;VLOOKUP(YEAR($A591),'Festive dates'!$A$2:$J$5,3,FALSE)),1,0)</f>
        <v>0</v>
      </c>
      <c r="S591" s="9">
        <f>IF($A591=VLOOKUP(YEAR($A591),'Festive dates'!$A$2:$J$5,2,FALSE),1,0)</f>
        <v>0</v>
      </c>
      <c r="T591" s="9">
        <f>IF($A591=VLOOKUP(YEAR($A591),'Festive dates'!$A$2:$J$5,3,FALSE),1,0)</f>
        <v>0</v>
      </c>
      <c r="U591" s="9">
        <f>IF($A591=VLOOKUP(YEAR($A591),'Festive dates'!$A$2:$J$5,4,FALSE),1,0)</f>
        <v>0</v>
      </c>
      <c r="V591" s="9">
        <f>IF(AND($A591&gt;=VLOOKUP(YEAR($A591),'Festive dates'!$A$2:$J$5,9,FALSE),$A591&lt;=VLOOKUP(YEAR($A591),'Festive dates'!$A$2:$J$5,10,FALSE)),1,0)</f>
        <v>0</v>
      </c>
      <c r="W591" s="9">
        <f>IF($A591=VLOOKUP(YEAR($A591),'Festive dates'!$A$2:$J$5,7,FALSE),1,0)</f>
        <v>0</v>
      </c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>
      <c r="A592" s="8">
        <v>45607</v>
      </c>
      <c r="B592" s="9">
        <v>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1</v>
      </c>
      <c r="Q592" s="9">
        <f>MAX(-20,MIN(10,$A592-VLOOKUP(YEAR($A592),'Festive dates'!$A$2:$J$5,8,FALSE)))</f>
        <v>10</v>
      </c>
      <c r="R592" s="9">
        <f>IF(AND($A592&gt;VLOOKUP(YEAR($A592),'Festive dates'!$A$2:$J$5,2,FALSE),$A592&lt;VLOOKUP(YEAR($A592),'Festive dates'!$A$2:$J$5,3,FALSE)),1,0)</f>
        <v>0</v>
      </c>
      <c r="S592" s="9">
        <f>IF($A592=VLOOKUP(YEAR($A592),'Festive dates'!$A$2:$J$5,2,FALSE),1,0)</f>
        <v>0</v>
      </c>
      <c r="T592" s="9">
        <f>IF($A592=VLOOKUP(YEAR($A592),'Festive dates'!$A$2:$J$5,3,FALSE),1,0)</f>
        <v>0</v>
      </c>
      <c r="U592" s="9">
        <f>IF($A592=VLOOKUP(YEAR($A592),'Festive dates'!$A$2:$J$5,4,FALSE),1,0)</f>
        <v>0</v>
      </c>
      <c r="V592" s="9">
        <f>IF(AND($A592&gt;=VLOOKUP(YEAR($A592),'Festive dates'!$A$2:$J$5,9,FALSE),$A592&lt;=VLOOKUP(YEAR($A592),'Festive dates'!$A$2:$J$5,10,FALSE)),1,0)</f>
        <v>0</v>
      </c>
      <c r="W592" s="9">
        <f>IF($A592=VLOOKUP(YEAR($A592),'Festive dates'!$A$2:$J$5,7,FALSE),1,0)</f>
        <v>0</v>
      </c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>
      <c r="A593" s="8">
        <v>45608</v>
      </c>
      <c r="B593" s="9">
        <v>0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f>MAX(-20,MIN(10,$A593-VLOOKUP(YEAR($A593),'Festive dates'!$A$2:$J$5,8,FALSE)))</f>
        <v>10</v>
      </c>
      <c r="R593" s="9">
        <f>IF(AND($A593&gt;VLOOKUP(YEAR($A593),'Festive dates'!$A$2:$J$5,2,FALSE),$A593&lt;VLOOKUP(YEAR($A593),'Festive dates'!$A$2:$J$5,3,FALSE)),1,0)</f>
        <v>0</v>
      </c>
      <c r="S593" s="9">
        <f>IF($A593=VLOOKUP(YEAR($A593),'Festive dates'!$A$2:$J$5,2,FALSE),1,0)</f>
        <v>0</v>
      </c>
      <c r="T593" s="9">
        <f>IF($A593=VLOOKUP(YEAR($A593),'Festive dates'!$A$2:$J$5,3,FALSE),1,0)</f>
        <v>0</v>
      </c>
      <c r="U593" s="9">
        <f>IF($A593=VLOOKUP(YEAR($A593),'Festive dates'!$A$2:$J$5,4,FALSE),1,0)</f>
        <v>0</v>
      </c>
      <c r="V593" s="9">
        <f>IF(AND($A593&gt;=VLOOKUP(YEAR($A593),'Festive dates'!$A$2:$J$5,9,FALSE),$A593&lt;=VLOOKUP(YEAR($A593),'Festive dates'!$A$2:$J$5,10,FALSE)),1,0)</f>
        <v>0</v>
      </c>
      <c r="W593" s="9">
        <f>IF($A593=VLOOKUP(YEAR($A593),'Festive dates'!$A$2:$J$5,7,FALSE),1,0)</f>
        <v>0</v>
      </c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>
      <c r="A594" s="8">
        <v>45609</v>
      </c>
      <c r="B594" s="9">
        <v>0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f>MAX(-20,MIN(10,$A594-VLOOKUP(YEAR($A594),'Festive dates'!$A$2:$J$5,8,FALSE)))</f>
        <v>10</v>
      </c>
      <c r="R594" s="9">
        <f>IF(AND($A594&gt;VLOOKUP(YEAR($A594),'Festive dates'!$A$2:$J$5,2,FALSE),$A594&lt;VLOOKUP(YEAR($A594),'Festive dates'!$A$2:$J$5,3,FALSE)),1,0)</f>
        <v>0</v>
      </c>
      <c r="S594" s="9">
        <f>IF($A594=VLOOKUP(YEAR($A594),'Festive dates'!$A$2:$J$5,2,FALSE),1,0)</f>
        <v>0</v>
      </c>
      <c r="T594" s="9">
        <f>IF($A594=VLOOKUP(YEAR($A594),'Festive dates'!$A$2:$J$5,3,FALSE),1,0)</f>
        <v>0</v>
      </c>
      <c r="U594" s="9">
        <f>IF($A594=VLOOKUP(YEAR($A594),'Festive dates'!$A$2:$J$5,4,FALSE),1,0)</f>
        <v>0</v>
      </c>
      <c r="V594" s="9">
        <f>IF(AND($A594&gt;=VLOOKUP(YEAR($A594),'Festive dates'!$A$2:$J$5,9,FALSE),$A594&lt;=VLOOKUP(YEAR($A594),'Festive dates'!$A$2:$J$5,10,FALSE)),1,0)</f>
        <v>0</v>
      </c>
      <c r="W594" s="9">
        <f>IF($A594=VLOOKUP(YEAR($A594),'Festive dates'!$A$2:$J$5,7,FALSE),1,0)</f>
        <v>0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>
      <c r="A595" s="8">
        <v>45610</v>
      </c>
      <c r="B595" s="9">
        <v>0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f>MAX(-20,MIN(10,$A595-VLOOKUP(YEAR($A595),'Festive dates'!$A$2:$J$5,8,FALSE)))</f>
        <v>10</v>
      </c>
      <c r="R595" s="9">
        <f>IF(AND($A595&gt;VLOOKUP(YEAR($A595),'Festive dates'!$A$2:$J$5,2,FALSE),$A595&lt;VLOOKUP(YEAR($A595),'Festive dates'!$A$2:$J$5,3,FALSE)),1,0)</f>
        <v>0</v>
      </c>
      <c r="S595" s="9">
        <f>IF($A595=VLOOKUP(YEAR($A595),'Festive dates'!$A$2:$J$5,2,FALSE),1,0)</f>
        <v>0</v>
      </c>
      <c r="T595" s="9">
        <f>IF($A595=VLOOKUP(YEAR($A595),'Festive dates'!$A$2:$J$5,3,FALSE),1,0)</f>
        <v>0</v>
      </c>
      <c r="U595" s="9">
        <f>IF($A595=VLOOKUP(YEAR($A595),'Festive dates'!$A$2:$J$5,4,FALSE),1,0)</f>
        <v>0</v>
      </c>
      <c r="V595" s="9">
        <f>IF(AND($A595&gt;=VLOOKUP(YEAR($A595),'Festive dates'!$A$2:$J$5,9,FALSE),$A595&lt;=VLOOKUP(YEAR($A595),'Festive dates'!$A$2:$J$5,10,FALSE)),1,0)</f>
        <v>0</v>
      </c>
      <c r="W595" s="9">
        <f>IF($A595=VLOOKUP(YEAR($A595),'Festive dates'!$A$2:$J$5,7,FALSE),1,0)</f>
        <v>0</v>
      </c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>
      <c r="A596" s="8">
        <v>45611</v>
      </c>
      <c r="B596" s="9">
        <v>0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1</v>
      </c>
      <c r="Q596" s="9">
        <f>MAX(-20,MIN(10,$A596-VLOOKUP(YEAR($A596),'Festive dates'!$A$2:$J$5,8,FALSE)))</f>
        <v>10</v>
      </c>
      <c r="R596" s="9">
        <f>IF(AND($A596&gt;VLOOKUP(YEAR($A596),'Festive dates'!$A$2:$J$5,2,FALSE),$A596&lt;VLOOKUP(YEAR($A596),'Festive dates'!$A$2:$J$5,3,FALSE)),1,0)</f>
        <v>0</v>
      </c>
      <c r="S596" s="9">
        <f>IF($A596=VLOOKUP(YEAR($A596),'Festive dates'!$A$2:$J$5,2,FALSE),1,0)</f>
        <v>0</v>
      </c>
      <c r="T596" s="9">
        <f>IF($A596=VLOOKUP(YEAR($A596),'Festive dates'!$A$2:$J$5,3,FALSE),1,0)</f>
        <v>0</v>
      </c>
      <c r="U596" s="9">
        <f>IF($A596=VLOOKUP(YEAR($A596),'Festive dates'!$A$2:$J$5,4,FALSE),1,0)</f>
        <v>0</v>
      </c>
      <c r="V596" s="9">
        <f>IF(AND($A596&gt;=VLOOKUP(YEAR($A596),'Festive dates'!$A$2:$J$5,9,FALSE),$A596&lt;=VLOOKUP(YEAR($A596),'Festive dates'!$A$2:$J$5,10,FALSE)),1,0)</f>
        <v>0</v>
      </c>
      <c r="W596" s="9">
        <f>IF($A596=VLOOKUP(YEAR($A596),'Festive dates'!$A$2:$J$5,7,FALSE),1,0)</f>
        <v>0</v>
      </c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>
      <c r="A597" s="8">
        <v>45612</v>
      </c>
      <c r="B597" s="9">
        <v>0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1</v>
      </c>
      <c r="Q597" s="9">
        <f>MAX(-20,MIN(10,$A597-VLOOKUP(YEAR($A597),'Festive dates'!$A$2:$J$5,8,FALSE)))</f>
        <v>10</v>
      </c>
      <c r="R597" s="9">
        <f>IF(AND($A597&gt;VLOOKUP(YEAR($A597),'Festive dates'!$A$2:$J$5,2,FALSE),$A597&lt;VLOOKUP(YEAR($A597),'Festive dates'!$A$2:$J$5,3,FALSE)),1,0)</f>
        <v>0</v>
      </c>
      <c r="S597" s="9">
        <f>IF($A597=VLOOKUP(YEAR($A597),'Festive dates'!$A$2:$J$5,2,FALSE),1,0)</f>
        <v>0</v>
      </c>
      <c r="T597" s="9">
        <f>IF($A597=VLOOKUP(YEAR($A597),'Festive dates'!$A$2:$J$5,3,FALSE),1,0)</f>
        <v>0</v>
      </c>
      <c r="U597" s="9">
        <f>IF($A597=VLOOKUP(YEAR($A597),'Festive dates'!$A$2:$J$5,4,FALSE),1,0)</f>
        <v>0</v>
      </c>
      <c r="V597" s="9">
        <f>IF(AND($A597&gt;=VLOOKUP(YEAR($A597),'Festive dates'!$A$2:$J$5,9,FALSE),$A597&lt;=VLOOKUP(YEAR($A597),'Festive dates'!$A$2:$J$5,10,FALSE)),1,0)</f>
        <v>0</v>
      </c>
      <c r="W597" s="9">
        <f>IF($A597=VLOOKUP(YEAR($A597),'Festive dates'!$A$2:$J$5,7,FALSE),1,0)</f>
        <v>0</v>
      </c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>
      <c r="A598" s="8">
        <v>45613</v>
      </c>
      <c r="B598" s="9">
        <v>0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f>MAX(-20,MIN(10,$A598-VLOOKUP(YEAR($A598),'Festive dates'!$A$2:$J$5,8,FALSE)))</f>
        <v>10</v>
      </c>
      <c r="R598" s="9">
        <f>IF(AND($A598&gt;VLOOKUP(YEAR($A598),'Festive dates'!$A$2:$J$5,2,FALSE),$A598&lt;VLOOKUP(YEAR($A598),'Festive dates'!$A$2:$J$5,3,FALSE)),1,0)</f>
        <v>0</v>
      </c>
      <c r="S598" s="9">
        <f>IF($A598=VLOOKUP(YEAR($A598),'Festive dates'!$A$2:$J$5,2,FALSE),1,0)</f>
        <v>0</v>
      </c>
      <c r="T598" s="9">
        <f>IF($A598=VLOOKUP(YEAR($A598),'Festive dates'!$A$2:$J$5,3,FALSE),1,0)</f>
        <v>0</v>
      </c>
      <c r="U598" s="9">
        <f>IF($A598=VLOOKUP(YEAR($A598),'Festive dates'!$A$2:$J$5,4,FALSE),1,0)</f>
        <v>0</v>
      </c>
      <c r="V598" s="9">
        <f>IF(AND($A598&gt;=VLOOKUP(YEAR($A598),'Festive dates'!$A$2:$J$5,9,FALSE),$A598&lt;=VLOOKUP(YEAR($A598),'Festive dates'!$A$2:$J$5,10,FALSE)),1,0)</f>
        <v>0</v>
      </c>
      <c r="W598" s="9">
        <f>IF($A598=VLOOKUP(YEAR($A598),'Festive dates'!$A$2:$J$5,7,FALSE),1,0)</f>
        <v>0</v>
      </c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>
      <c r="A599" s="8">
        <v>45614</v>
      </c>
      <c r="B599" s="9">
        <v>0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1</v>
      </c>
      <c r="Q599" s="9">
        <f>MAX(-20,MIN(10,$A599-VLOOKUP(YEAR($A599),'Festive dates'!$A$2:$J$5,8,FALSE)))</f>
        <v>10</v>
      </c>
      <c r="R599" s="9">
        <f>IF(AND($A599&gt;VLOOKUP(YEAR($A599),'Festive dates'!$A$2:$J$5,2,FALSE),$A599&lt;VLOOKUP(YEAR($A599),'Festive dates'!$A$2:$J$5,3,FALSE)),1,0)</f>
        <v>0</v>
      </c>
      <c r="S599" s="9">
        <f>IF($A599=VLOOKUP(YEAR($A599),'Festive dates'!$A$2:$J$5,2,FALSE),1,0)</f>
        <v>0</v>
      </c>
      <c r="T599" s="9">
        <f>IF($A599=VLOOKUP(YEAR($A599),'Festive dates'!$A$2:$J$5,3,FALSE),1,0)</f>
        <v>0</v>
      </c>
      <c r="U599" s="9">
        <f>IF($A599=VLOOKUP(YEAR($A599),'Festive dates'!$A$2:$J$5,4,FALSE),1,0)</f>
        <v>0</v>
      </c>
      <c r="V599" s="9">
        <f>IF(AND($A599&gt;=VLOOKUP(YEAR($A599),'Festive dates'!$A$2:$J$5,9,FALSE),$A599&lt;=VLOOKUP(YEAR($A599),'Festive dates'!$A$2:$J$5,10,FALSE)),1,0)</f>
        <v>0</v>
      </c>
      <c r="W599" s="9">
        <f>IF($A599=VLOOKUP(YEAR($A599),'Festive dates'!$A$2:$J$5,7,FALSE),1,0)</f>
        <v>0</v>
      </c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>
      <c r="A600" s="8">
        <v>45615</v>
      </c>
      <c r="B600" s="9">
        <v>0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1</v>
      </c>
      <c r="Q600" s="9">
        <f>MAX(-20,MIN(10,$A600-VLOOKUP(YEAR($A600),'Festive dates'!$A$2:$J$5,8,FALSE)))</f>
        <v>10</v>
      </c>
      <c r="R600" s="9">
        <f>IF(AND($A600&gt;VLOOKUP(YEAR($A600),'Festive dates'!$A$2:$J$5,2,FALSE),$A600&lt;VLOOKUP(YEAR($A600),'Festive dates'!$A$2:$J$5,3,FALSE)),1,0)</f>
        <v>0</v>
      </c>
      <c r="S600" s="9">
        <f>IF($A600=VLOOKUP(YEAR($A600),'Festive dates'!$A$2:$J$5,2,FALSE),1,0)</f>
        <v>0</v>
      </c>
      <c r="T600" s="9">
        <f>IF($A600=VLOOKUP(YEAR($A600),'Festive dates'!$A$2:$J$5,3,FALSE),1,0)</f>
        <v>0</v>
      </c>
      <c r="U600" s="9">
        <f>IF($A600=VLOOKUP(YEAR($A600),'Festive dates'!$A$2:$J$5,4,FALSE),1,0)</f>
        <v>0</v>
      </c>
      <c r="V600" s="9">
        <f>IF(AND($A600&gt;=VLOOKUP(YEAR($A600),'Festive dates'!$A$2:$J$5,9,FALSE),$A600&lt;=VLOOKUP(YEAR($A600),'Festive dates'!$A$2:$J$5,10,FALSE)),1,0)</f>
        <v>0</v>
      </c>
      <c r="W600" s="9">
        <f>IF($A600=VLOOKUP(YEAR($A600),'Festive dates'!$A$2:$J$5,7,FALSE),1,0)</f>
        <v>0</v>
      </c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>
      <c r="A601" s="8">
        <v>45616</v>
      </c>
      <c r="B601" s="9">
        <v>0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f>MAX(-20,MIN(10,$A601-VLOOKUP(YEAR($A601),'Festive dates'!$A$2:$J$5,8,FALSE)))</f>
        <v>10</v>
      </c>
      <c r="R601" s="9">
        <f>IF(AND($A601&gt;VLOOKUP(YEAR($A601),'Festive dates'!$A$2:$J$5,2,FALSE),$A601&lt;VLOOKUP(YEAR($A601),'Festive dates'!$A$2:$J$5,3,FALSE)),1,0)</f>
        <v>0</v>
      </c>
      <c r="S601" s="9">
        <f>IF($A601=VLOOKUP(YEAR($A601),'Festive dates'!$A$2:$J$5,2,FALSE),1,0)</f>
        <v>0</v>
      </c>
      <c r="T601" s="9">
        <f>IF($A601=VLOOKUP(YEAR($A601),'Festive dates'!$A$2:$J$5,3,FALSE),1,0)</f>
        <v>0</v>
      </c>
      <c r="U601" s="9">
        <f>IF($A601=VLOOKUP(YEAR($A601),'Festive dates'!$A$2:$J$5,4,FALSE),1,0)</f>
        <v>0</v>
      </c>
      <c r="V601" s="9">
        <f>IF(AND($A601&gt;=VLOOKUP(YEAR($A601),'Festive dates'!$A$2:$J$5,9,FALSE),$A601&lt;=VLOOKUP(YEAR($A601),'Festive dates'!$A$2:$J$5,10,FALSE)),1,0)</f>
        <v>0</v>
      </c>
      <c r="W601" s="9">
        <f>IF($A601=VLOOKUP(YEAR($A601),'Festive dates'!$A$2:$J$5,7,FALSE),1,0)</f>
        <v>0</v>
      </c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>
      <c r="A602" s="8">
        <v>45617</v>
      </c>
      <c r="B602" s="9">
        <v>0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1</v>
      </c>
      <c r="Q602" s="9">
        <f>MAX(-20,MIN(10,$A602-VLOOKUP(YEAR($A602),'Festive dates'!$A$2:$J$5,8,FALSE)))</f>
        <v>10</v>
      </c>
      <c r="R602" s="9">
        <f>IF(AND($A602&gt;VLOOKUP(YEAR($A602),'Festive dates'!$A$2:$J$5,2,FALSE),$A602&lt;VLOOKUP(YEAR($A602),'Festive dates'!$A$2:$J$5,3,FALSE)),1,0)</f>
        <v>0</v>
      </c>
      <c r="S602" s="9">
        <f>IF($A602=VLOOKUP(YEAR($A602),'Festive dates'!$A$2:$J$5,2,FALSE),1,0)</f>
        <v>0</v>
      </c>
      <c r="T602" s="9">
        <f>IF($A602=VLOOKUP(YEAR($A602),'Festive dates'!$A$2:$J$5,3,FALSE),1,0)</f>
        <v>0</v>
      </c>
      <c r="U602" s="9">
        <f>IF($A602=VLOOKUP(YEAR($A602),'Festive dates'!$A$2:$J$5,4,FALSE),1,0)</f>
        <v>0</v>
      </c>
      <c r="V602" s="9">
        <f>IF(AND($A602&gt;=VLOOKUP(YEAR($A602),'Festive dates'!$A$2:$J$5,9,FALSE),$A602&lt;=VLOOKUP(YEAR($A602),'Festive dates'!$A$2:$J$5,10,FALSE)),1,0)</f>
        <v>0</v>
      </c>
      <c r="W602" s="9">
        <f>IF($A602=VLOOKUP(YEAR($A602),'Festive dates'!$A$2:$J$5,7,FALSE),1,0)</f>
        <v>0</v>
      </c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>
      <c r="A603" s="8">
        <v>45618</v>
      </c>
      <c r="B603" s="9">
        <v>0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1</v>
      </c>
      <c r="Q603" s="9">
        <f>MAX(-20,MIN(10,$A603-VLOOKUP(YEAR($A603),'Festive dates'!$A$2:$J$5,8,FALSE)))</f>
        <v>10</v>
      </c>
      <c r="R603" s="9">
        <f>IF(AND($A603&gt;VLOOKUP(YEAR($A603),'Festive dates'!$A$2:$J$5,2,FALSE),$A603&lt;VLOOKUP(YEAR($A603),'Festive dates'!$A$2:$J$5,3,FALSE)),1,0)</f>
        <v>0</v>
      </c>
      <c r="S603" s="9">
        <f>IF($A603=VLOOKUP(YEAR($A603),'Festive dates'!$A$2:$J$5,2,FALSE),1,0)</f>
        <v>0</v>
      </c>
      <c r="T603" s="9">
        <f>IF($A603=VLOOKUP(YEAR($A603),'Festive dates'!$A$2:$J$5,3,FALSE),1,0)</f>
        <v>0</v>
      </c>
      <c r="U603" s="9">
        <f>IF($A603=VLOOKUP(YEAR($A603),'Festive dates'!$A$2:$J$5,4,FALSE),1,0)</f>
        <v>0</v>
      </c>
      <c r="V603" s="9">
        <f>IF(AND($A603&gt;=VLOOKUP(YEAR($A603),'Festive dates'!$A$2:$J$5,9,FALSE),$A603&lt;=VLOOKUP(YEAR($A603),'Festive dates'!$A$2:$J$5,10,FALSE)),1,0)</f>
        <v>0</v>
      </c>
      <c r="W603" s="9">
        <f>IF($A603=VLOOKUP(YEAR($A603),'Festive dates'!$A$2:$J$5,7,FALSE),1,0)</f>
        <v>0</v>
      </c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>
      <c r="A604" s="8">
        <v>45619</v>
      </c>
      <c r="B604" s="9">
        <v>0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f>MAX(-20,MIN(10,$A604-VLOOKUP(YEAR($A604),'Festive dates'!$A$2:$J$5,8,FALSE)))</f>
        <v>10</v>
      </c>
      <c r="R604" s="9">
        <f>IF(AND($A604&gt;VLOOKUP(YEAR($A604),'Festive dates'!$A$2:$J$5,2,FALSE),$A604&lt;VLOOKUP(YEAR($A604),'Festive dates'!$A$2:$J$5,3,FALSE)),1,0)</f>
        <v>0</v>
      </c>
      <c r="S604" s="9">
        <f>IF($A604=VLOOKUP(YEAR($A604),'Festive dates'!$A$2:$J$5,2,FALSE),1,0)</f>
        <v>0</v>
      </c>
      <c r="T604" s="9">
        <f>IF($A604=VLOOKUP(YEAR($A604),'Festive dates'!$A$2:$J$5,3,FALSE),1,0)</f>
        <v>0</v>
      </c>
      <c r="U604" s="9">
        <f>IF($A604=VLOOKUP(YEAR($A604),'Festive dates'!$A$2:$J$5,4,FALSE),1,0)</f>
        <v>0</v>
      </c>
      <c r="V604" s="9">
        <f>IF(AND($A604&gt;=VLOOKUP(YEAR($A604),'Festive dates'!$A$2:$J$5,9,FALSE),$A604&lt;=VLOOKUP(YEAR($A604),'Festive dates'!$A$2:$J$5,10,FALSE)),1,0)</f>
        <v>0</v>
      </c>
      <c r="W604" s="9">
        <f>IF($A604=VLOOKUP(YEAR($A604),'Festive dates'!$A$2:$J$5,7,FALSE),1,0)</f>
        <v>0</v>
      </c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>
      <c r="A605" s="8">
        <v>45620</v>
      </c>
      <c r="B605" s="9">
        <v>0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f>MAX(-20,MIN(10,$A605-VLOOKUP(YEAR($A605),'Festive dates'!$A$2:$J$5,8,FALSE)))</f>
        <v>10</v>
      </c>
      <c r="R605" s="9">
        <f>IF(AND($A605&gt;VLOOKUP(YEAR($A605),'Festive dates'!$A$2:$J$5,2,FALSE),$A605&lt;VLOOKUP(YEAR($A605),'Festive dates'!$A$2:$J$5,3,FALSE)),1,0)</f>
        <v>0</v>
      </c>
      <c r="S605" s="9">
        <f>IF($A605=VLOOKUP(YEAR($A605),'Festive dates'!$A$2:$J$5,2,FALSE),1,0)</f>
        <v>0</v>
      </c>
      <c r="T605" s="9">
        <f>IF($A605=VLOOKUP(YEAR($A605),'Festive dates'!$A$2:$J$5,3,FALSE),1,0)</f>
        <v>0</v>
      </c>
      <c r="U605" s="9">
        <f>IF($A605=VLOOKUP(YEAR($A605),'Festive dates'!$A$2:$J$5,4,FALSE),1,0)</f>
        <v>0</v>
      </c>
      <c r="V605" s="9">
        <f>IF(AND($A605&gt;=VLOOKUP(YEAR($A605),'Festive dates'!$A$2:$J$5,9,FALSE),$A605&lt;=VLOOKUP(YEAR($A605),'Festive dates'!$A$2:$J$5,10,FALSE)),1,0)</f>
        <v>0</v>
      </c>
      <c r="W605" s="9">
        <f>IF($A605=VLOOKUP(YEAR($A605),'Festive dates'!$A$2:$J$5,7,FALSE),1,0)</f>
        <v>0</v>
      </c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>
      <c r="A606" s="8">
        <v>45621</v>
      </c>
      <c r="B606" s="9">
        <v>0</v>
      </c>
      <c r="C606" s="9">
        <v>0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f>MAX(-20,MIN(10,$A606-VLOOKUP(YEAR($A606),'Festive dates'!$A$2:$J$5,8,FALSE)))</f>
        <v>10</v>
      </c>
      <c r="R606" s="9">
        <f>IF(AND($A606&gt;VLOOKUP(YEAR($A606),'Festive dates'!$A$2:$J$5,2,FALSE),$A606&lt;VLOOKUP(YEAR($A606),'Festive dates'!$A$2:$J$5,3,FALSE)),1,0)</f>
        <v>0</v>
      </c>
      <c r="S606" s="9">
        <f>IF($A606=VLOOKUP(YEAR($A606),'Festive dates'!$A$2:$J$5,2,FALSE),1,0)</f>
        <v>0</v>
      </c>
      <c r="T606" s="9">
        <f>IF($A606=VLOOKUP(YEAR($A606),'Festive dates'!$A$2:$J$5,3,FALSE),1,0)</f>
        <v>0</v>
      </c>
      <c r="U606" s="9">
        <f>IF($A606=VLOOKUP(YEAR($A606),'Festive dates'!$A$2:$J$5,4,FALSE),1,0)</f>
        <v>0</v>
      </c>
      <c r="V606" s="9">
        <f>IF(AND($A606&gt;=VLOOKUP(YEAR($A606),'Festive dates'!$A$2:$J$5,9,FALSE),$A606&lt;=VLOOKUP(YEAR($A606),'Festive dates'!$A$2:$J$5,10,FALSE)),1,0)</f>
        <v>0</v>
      </c>
      <c r="W606" s="9">
        <f>IF($A606=VLOOKUP(YEAR($A606),'Festive dates'!$A$2:$J$5,7,FALSE),1,0)</f>
        <v>0</v>
      </c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>
      <c r="A607" s="8">
        <v>45622</v>
      </c>
      <c r="B607" s="9">
        <v>0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f>MAX(-20,MIN(10,$A607-VLOOKUP(YEAR($A607),'Festive dates'!$A$2:$J$5,8,FALSE)))</f>
        <v>10</v>
      </c>
      <c r="R607" s="9">
        <f>IF(AND($A607&gt;VLOOKUP(YEAR($A607),'Festive dates'!$A$2:$J$5,2,FALSE),$A607&lt;VLOOKUP(YEAR($A607),'Festive dates'!$A$2:$J$5,3,FALSE)),1,0)</f>
        <v>0</v>
      </c>
      <c r="S607" s="9">
        <f>IF($A607=VLOOKUP(YEAR($A607),'Festive dates'!$A$2:$J$5,2,FALSE),1,0)</f>
        <v>0</v>
      </c>
      <c r="T607" s="9">
        <f>IF($A607=VLOOKUP(YEAR($A607),'Festive dates'!$A$2:$J$5,3,FALSE),1,0)</f>
        <v>0</v>
      </c>
      <c r="U607" s="9">
        <f>IF($A607=VLOOKUP(YEAR($A607),'Festive dates'!$A$2:$J$5,4,FALSE),1,0)</f>
        <v>0</v>
      </c>
      <c r="V607" s="9">
        <f>IF(AND($A607&gt;=VLOOKUP(YEAR($A607),'Festive dates'!$A$2:$J$5,9,FALSE),$A607&lt;=VLOOKUP(YEAR($A607),'Festive dates'!$A$2:$J$5,10,FALSE)),1,0)</f>
        <v>0</v>
      </c>
      <c r="W607" s="9">
        <f>IF($A607=VLOOKUP(YEAR($A607),'Festive dates'!$A$2:$J$5,7,FALSE),1,0)</f>
        <v>0</v>
      </c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>
      <c r="A608" s="8">
        <v>45623</v>
      </c>
      <c r="B608" s="9">
        <v>0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1</v>
      </c>
      <c r="Q608" s="9">
        <f>MAX(-20,MIN(10,$A608-VLOOKUP(YEAR($A608),'Festive dates'!$A$2:$J$5,8,FALSE)))</f>
        <v>10</v>
      </c>
      <c r="R608" s="9">
        <f>IF(AND($A608&gt;VLOOKUP(YEAR($A608),'Festive dates'!$A$2:$J$5,2,FALSE),$A608&lt;VLOOKUP(YEAR($A608),'Festive dates'!$A$2:$J$5,3,FALSE)),1,0)</f>
        <v>0</v>
      </c>
      <c r="S608" s="9">
        <f>IF($A608=VLOOKUP(YEAR($A608),'Festive dates'!$A$2:$J$5,2,FALSE),1,0)</f>
        <v>0</v>
      </c>
      <c r="T608" s="9">
        <f>IF($A608=VLOOKUP(YEAR($A608),'Festive dates'!$A$2:$J$5,3,FALSE),1,0)</f>
        <v>0</v>
      </c>
      <c r="U608" s="9">
        <f>IF($A608=VLOOKUP(YEAR($A608),'Festive dates'!$A$2:$J$5,4,FALSE),1,0)</f>
        <v>0</v>
      </c>
      <c r="V608" s="9">
        <f>IF(AND($A608&gt;=VLOOKUP(YEAR($A608),'Festive dates'!$A$2:$J$5,9,FALSE),$A608&lt;=VLOOKUP(YEAR($A608),'Festive dates'!$A$2:$J$5,10,FALSE)),1,0)</f>
        <v>0</v>
      </c>
      <c r="W608" s="9">
        <f>IF($A608=VLOOKUP(YEAR($A608),'Festive dates'!$A$2:$J$5,7,FALSE),1,0)</f>
        <v>0</v>
      </c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>
      <c r="A609" s="8">
        <v>45624</v>
      </c>
      <c r="B609" s="9">
        <v>0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1</v>
      </c>
      <c r="Q609" s="9">
        <f>MAX(-20,MIN(10,$A609-VLOOKUP(YEAR($A609),'Festive dates'!$A$2:$J$5,8,FALSE)))</f>
        <v>10</v>
      </c>
      <c r="R609" s="9">
        <f>IF(AND($A609&gt;VLOOKUP(YEAR($A609),'Festive dates'!$A$2:$J$5,2,FALSE),$A609&lt;VLOOKUP(YEAR($A609),'Festive dates'!$A$2:$J$5,3,FALSE)),1,0)</f>
        <v>0</v>
      </c>
      <c r="S609" s="9">
        <f>IF($A609=VLOOKUP(YEAR($A609),'Festive dates'!$A$2:$J$5,2,FALSE),1,0)</f>
        <v>0</v>
      </c>
      <c r="T609" s="9">
        <f>IF($A609=VLOOKUP(YEAR($A609),'Festive dates'!$A$2:$J$5,3,FALSE),1,0)</f>
        <v>0</v>
      </c>
      <c r="U609" s="9">
        <f>IF($A609=VLOOKUP(YEAR($A609),'Festive dates'!$A$2:$J$5,4,FALSE),1,0)</f>
        <v>0</v>
      </c>
      <c r="V609" s="9">
        <f>IF(AND($A609&gt;=VLOOKUP(YEAR($A609),'Festive dates'!$A$2:$J$5,9,FALSE),$A609&lt;=VLOOKUP(YEAR($A609),'Festive dates'!$A$2:$J$5,10,FALSE)),1,0)</f>
        <v>0</v>
      </c>
      <c r="W609" s="9">
        <f>IF($A609=VLOOKUP(YEAR($A609),'Festive dates'!$A$2:$J$5,7,FALSE),1,0)</f>
        <v>0</v>
      </c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>
      <c r="A610" s="8">
        <v>45625</v>
      </c>
      <c r="B610" s="9">
        <v>0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f>MAX(-20,MIN(10,$A610-VLOOKUP(YEAR($A610),'Festive dates'!$A$2:$J$5,8,FALSE)))</f>
        <v>10</v>
      </c>
      <c r="R610" s="9">
        <f>IF(AND($A610&gt;VLOOKUP(YEAR($A610),'Festive dates'!$A$2:$J$5,2,FALSE),$A610&lt;VLOOKUP(YEAR($A610),'Festive dates'!$A$2:$J$5,3,FALSE)),1,0)</f>
        <v>0</v>
      </c>
      <c r="S610" s="9">
        <f>IF($A610=VLOOKUP(YEAR($A610),'Festive dates'!$A$2:$J$5,2,FALSE),1,0)</f>
        <v>0</v>
      </c>
      <c r="T610" s="9">
        <f>IF($A610=VLOOKUP(YEAR($A610),'Festive dates'!$A$2:$J$5,3,FALSE),1,0)</f>
        <v>0</v>
      </c>
      <c r="U610" s="9">
        <f>IF($A610=VLOOKUP(YEAR($A610),'Festive dates'!$A$2:$J$5,4,FALSE),1,0)</f>
        <v>0</v>
      </c>
      <c r="V610" s="9">
        <f>IF(AND($A610&gt;=VLOOKUP(YEAR($A610),'Festive dates'!$A$2:$J$5,9,FALSE),$A610&lt;=VLOOKUP(YEAR($A610),'Festive dates'!$A$2:$J$5,10,FALSE)),1,0)</f>
        <v>0</v>
      </c>
      <c r="W610" s="9">
        <f>IF($A610=VLOOKUP(YEAR($A610),'Festive dates'!$A$2:$J$5,7,FALSE),1,0)</f>
        <v>0</v>
      </c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>
      <c r="A611" s="8">
        <v>45626</v>
      </c>
      <c r="B611" s="9">
        <v>0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f>MAX(-20,MIN(10,$A611-VLOOKUP(YEAR($A611),'Festive dates'!$A$2:$J$5,8,FALSE)))</f>
        <v>10</v>
      </c>
      <c r="R611" s="9">
        <f>IF(AND($A611&gt;VLOOKUP(YEAR($A611),'Festive dates'!$A$2:$J$5,2,FALSE),$A611&lt;VLOOKUP(YEAR($A611),'Festive dates'!$A$2:$J$5,3,FALSE)),1,0)</f>
        <v>0</v>
      </c>
      <c r="S611" s="9">
        <f>IF($A611=VLOOKUP(YEAR($A611),'Festive dates'!$A$2:$J$5,2,FALSE),1,0)</f>
        <v>0</v>
      </c>
      <c r="T611" s="9">
        <f>IF($A611=VLOOKUP(YEAR($A611),'Festive dates'!$A$2:$J$5,3,FALSE),1,0)</f>
        <v>0</v>
      </c>
      <c r="U611" s="9">
        <f>IF($A611=VLOOKUP(YEAR($A611),'Festive dates'!$A$2:$J$5,4,FALSE),1,0)</f>
        <v>0</v>
      </c>
      <c r="V611" s="9">
        <f>IF(AND($A611&gt;=VLOOKUP(YEAR($A611),'Festive dates'!$A$2:$J$5,9,FALSE),$A611&lt;=VLOOKUP(YEAR($A611),'Festive dates'!$A$2:$J$5,10,FALSE)),1,0)</f>
        <v>0</v>
      </c>
      <c r="W611" s="9">
        <f>IF($A611=VLOOKUP(YEAR($A611),'Festive dates'!$A$2:$J$5,7,FALSE),1,0)</f>
        <v>0</v>
      </c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>
      <c r="A612" s="8">
        <v>45627</v>
      </c>
      <c r="B612" s="9">
        <v>0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f>MAX(-20,MIN(10,$A612-VLOOKUP(YEAR($A612),'Festive dates'!$A$2:$J$5,8,FALSE)))</f>
        <v>10</v>
      </c>
      <c r="R612" s="9">
        <f>IF(AND($A612&gt;VLOOKUP(YEAR($A612),'Festive dates'!$A$2:$J$5,2,FALSE),$A612&lt;VLOOKUP(YEAR($A612),'Festive dates'!$A$2:$J$5,3,FALSE)),1,0)</f>
        <v>0</v>
      </c>
      <c r="S612" s="9">
        <f>IF($A612=VLOOKUP(YEAR($A612),'Festive dates'!$A$2:$J$5,2,FALSE),1,0)</f>
        <v>0</v>
      </c>
      <c r="T612" s="9">
        <f>IF($A612=VLOOKUP(YEAR($A612),'Festive dates'!$A$2:$J$5,3,FALSE),1,0)</f>
        <v>0</v>
      </c>
      <c r="U612" s="9">
        <f>IF($A612=VLOOKUP(YEAR($A612),'Festive dates'!$A$2:$J$5,4,FALSE),1,0)</f>
        <v>0</v>
      </c>
      <c r="V612" s="9">
        <f>IF(AND($A612&gt;=VLOOKUP(YEAR($A612),'Festive dates'!$A$2:$J$5,9,FALSE),$A612&lt;=VLOOKUP(YEAR($A612),'Festive dates'!$A$2:$J$5,10,FALSE)),1,0)</f>
        <v>0</v>
      </c>
      <c r="W612" s="9">
        <f>IF($A612=VLOOKUP(YEAR($A612),'Festive dates'!$A$2:$J$5,7,FALSE),1,0)</f>
        <v>0</v>
      </c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>
      <c r="A613" s="8">
        <v>45628</v>
      </c>
      <c r="B613" s="9">
        <v>0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1</v>
      </c>
      <c r="Q613" s="9">
        <f>MAX(-20,MIN(10,$A613-VLOOKUP(YEAR($A613),'Festive dates'!$A$2:$J$5,8,FALSE)))</f>
        <v>10</v>
      </c>
      <c r="R613" s="9">
        <f>IF(AND($A613&gt;VLOOKUP(YEAR($A613),'Festive dates'!$A$2:$J$5,2,FALSE),$A613&lt;VLOOKUP(YEAR($A613),'Festive dates'!$A$2:$J$5,3,FALSE)),1,0)</f>
        <v>0</v>
      </c>
      <c r="S613" s="9">
        <f>IF($A613=VLOOKUP(YEAR($A613),'Festive dates'!$A$2:$J$5,2,FALSE),1,0)</f>
        <v>0</v>
      </c>
      <c r="T613" s="9">
        <f>IF($A613=VLOOKUP(YEAR($A613),'Festive dates'!$A$2:$J$5,3,FALSE),1,0)</f>
        <v>0</v>
      </c>
      <c r="U613" s="9">
        <f>IF($A613=VLOOKUP(YEAR($A613),'Festive dates'!$A$2:$J$5,4,FALSE),1,0)</f>
        <v>0</v>
      </c>
      <c r="V613" s="9">
        <f>IF(AND($A613&gt;=VLOOKUP(YEAR($A613),'Festive dates'!$A$2:$J$5,9,FALSE),$A613&lt;=VLOOKUP(YEAR($A613),'Festive dates'!$A$2:$J$5,10,FALSE)),1,0)</f>
        <v>0</v>
      </c>
      <c r="W613" s="9">
        <f>IF($A613=VLOOKUP(YEAR($A613),'Festive dates'!$A$2:$J$5,7,FALSE),1,0)</f>
        <v>0</v>
      </c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>
      <c r="A614" s="8">
        <v>45629</v>
      </c>
      <c r="B614" s="9">
        <v>0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1</v>
      </c>
      <c r="Q614" s="9">
        <f>MAX(-20,MIN(10,$A614-VLOOKUP(YEAR($A614),'Festive dates'!$A$2:$J$5,8,FALSE)))</f>
        <v>10</v>
      </c>
      <c r="R614" s="9">
        <f>IF(AND($A614&gt;VLOOKUP(YEAR($A614),'Festive dates'!$A$2:$J$5,2,FALSE),$A614&lt;VLOOKUP(YEAR($A614),'Festive dates'!$A$2:$J$5,3,FALSE)),1,0)</f>
        <v>0</v>
      </c>
      <c r="S614" s="9">
        <f>IF($A614=VLOOKUP(YEAR($A614),'Festive dates'!$A$2:$J$5,2,FALSE),1,0)</f>
        <v>0</v>
      </c>
      <c r="T614" s="9">
        <f>IF($A614=VLOOKUP(YEAR($A614),'Festive dates'!$A$2:$J$5,3,FALSE),1,0)</f>
        <v>0</v>
      </c>
      <c r="U614" s="9">
        <f>IF($A614=VLOOKUP(YEAR($A614),'Festive dates'!$A$2:$J$5,4,FALSE),1,0)</f>
        <v>0</v>
      </c>
      <c r="V614" s="9">
        <f>IF(AND($A614&gt;=VLOOKUP(YEAR($A614),'Festive dates'!$A$2:$J$5,9,FALSE),$A614&lt;=VLOOKUP(YEAR($A614),'Festive dates'!$A$2:$J$5,10,FALSE)),1,0)</f>
        <v>0</v>
      </c>
      <c r="W614" s="9">
        <f>IF($A614=VLOOKUP(YEAR($A614),'Festive dates'!$A$2:$J$5,7,FALSE),1,0)</f>
        <v>0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>
      <c r="A615" s="8">
        <v>45630</v>
      </c>
      <c r="B615" s="9">
        <v>0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f>MAX(-20,MIN(10,$A615-VLOOKUP(YEAR($A615),'Festive dates'!$A$2:$J$5,8,FALSE)))</f>
        <v>10</v>
      </c>
      <c r="R615" s="9">
        <f>IF(AND($A615&gt;VLOOKUP(YEAR($A615),'Festive dates'!$A$2:$J$5,2,FALSE),$A615&lt;VLOOKUP(YEAR($A615),'Festive dates'!$A$2:$J$5,3,FALSE)),1,0)</f>
        <v>0</v>
      </c>
      <c r="S615" s="9">
        <f>IF($A615=VLOOKUP(YEAR($A615),'Festive dates'!$A$2:$J$5,2,FALSE),1,0)</f>
        <v>0</v>
      </c>
      <c r="T615" s="9">
        <f>IF($A615=VLOOKUP(YEAR($A615),'Festive dates'!$A$2:$J$5,3,FALSE),1,0)</f>
        <v>0</v>
      </c>
      <c r="U615" s="9">
        <f>IF($A615=VLOOKUP(YEAR($A615),'Festive dates'!$A$2:$J$5,4,FALSE),1,0)</f>
        <v>0</v>
      </c>
      <c r="V615" s="9">
        <f>IF(AND($A615&gt;=VLOOKUP(YEAR($A615),'Festive dates'!$A$2:$J$5,9,FALSE),$A615&lt;=VLOOKUP(YEAR($A615),'Festive dates'!$A$2:$J$5,10,FALSE)),1,0)</f>
        <v>0</v>
      </c>
      <c r="W615" s="9">
        <f>IF($A615=VLOOKUP(YEAR($A615),'Festive dates'!$A$2:$J$5,7,FALSE),1,0)</f>
        <v>0</v>
      </c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>
      <c r="A616" s="8">
        <v>45631</v>
      </c>
      <c r="B616" s="9">
        <v>0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f>MAX(-20,MIN(10,$A616-VLOOKUP(YEAR($A616),'Festive dates'!$A$2:$J$5,8,FALSE)))</f>
        <v>10</v>
      </c>
      <c r="R616" s="9">
        <f>IF(AND($A616&gt;VLOOKUP(YEAR($A616),'Festive dates'!$A$2:$J$5,2,FALSE),$A616&lt;VLOOKUP(YEAR($A616),'Festive dates'!$A$2:$J$5,3,FALSE)),1,0)</f>
        <v>0</v>
      </c>
      <c r="S616" s="9">
        <f>IF($A616=VLOOKUP(YEAR($A616),'Festive dates'!$A$2:$J$5,2,FALSE),1,0)</f>
        <v>0</v>
      </c>
      <c r="T616" s="9">
        <f>IF($A616=VLOOKUP(YEAR($A616),'Festive dates'!$A$2:$J$5,3,FALSE),1,0)</f>
        <v>0</v>
      </c>
      <c r="U616" s="9">
        <f>IF($A616=VLOOKUP(YEAR($A616),'Festive dates'!$A$2:$J$5,4,FALSE),1,0)</f>
        <v>0</v>
      </c>
      <c r="V616" s="9">
        <f>IF(AND($A616&gt;=VLOOKUP(YEAR($A616),'Festive dates'!$A$2:$J$5,9,FALSE),$A616&lt;=VLOOKUP(YEAR($A616),'Festive dates'!$A$2:$J$5,10,FALSE)),1,0)</f>
        <v>0</v>
      </c>
      <c r="W616" s="9">
        <f>IF($A616=VLOOKUP(YEAR($A616),'Festive dates'!$A$2:$J$5,7,FALSE),1,0)</f>
        <v>0</v>
      </c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>
      <c r="A617" s="8">
        <v>45632</v>
      </c>
      <c r="B617" s="9">
        <v>0</v>
      </c>
      <c r="C617" s="9">
        <v>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f>MAX(-20,MIN(10,$A617-VLOOKUP(YEAR($A617),'Festive dates'!$A$2:$J$5,8,FALSE)))</f>
        <v>10</v>
      </c>
      <c r="R617" s="9">
        <f>IF(AND($A617&gt;VLOOKUP(YEAR($A617),'Festive dates'!$A$2:$J$5,2,FALSE),$A617&lt;VLOOKUP(YEAR($A617),'Festive dates'!$A$2:$J$5,3,FALSE)),1,0)</f>
        <v>0</v>
      </c>
      <c r="S617" s="9">
        <f>IF($A617=VLOOKUP(YEAR($A617),'Festive dates'!$A$2:$J$5,2,FALSE),1,0)</f>
        <v>0</v>
      </c>
      <c r="T617" s="9">
        <f>IF($A617=VLOOKUP(YEAR($A617),'Festive dates'!$A$2:$J$5,3,FALSE),1,0)</f>
        <v>0</v>
      </c>
      <c r="U617" s="9">
        <f>IF($A617=VLOOKUP(YEAR($A617),'Festive dates'!$A$2:$J$5,4,FALSE),1,0)</f>
        <v>0</v>
      </c>
      <c r="V617" s="9">
        <f>IF(AND($A617&gt;=VLOOKUP(YEAR($A617),'Festive dates'!$A$2:$J$5,9,FALSE),$A617&lt;=VLOOKUP(YEAR($A617),'Festive dates'!$A$2:$J$5,10,FALSE)),1,0)</f>
        <v>0</v>
      </c>
      <c r="W617" s="9">
        <f>IF($A617=VLOOKUP(YEAR($A617),'Festive dates'!$A$2:$J$5,7,FALSE),1,0)</f>
        <v>0</v>
      </c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>
      <c r="A618" s="8">
        <v>45633</v>
      </c>
      <c r="B618" s="9">
        <v>0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1</v>
      </c>
      <c r="Q618" s="9">
        <f>MAX(-20,MIN(10,$A618-VLOOKUP(YEAR($A618),'Festive dates'!$A$2:$J$5,8,FALSE)))</f>
        <v>10</v>
      </c>
      <c r="R618" s="9">
        <f>IF(AND($A618&gt;VLOOKUP(YEAR($A618),'Festive dates'!$A$2:$J$5,2,FALSE),$A618&lt;VLOOKUP(YEAR($A618),'Festive dates'!$A$2:$J$5,3,FALSE)),1,0)</f>
        <v>0</v>
      </c>
      <c r="S618" s="9">
        <f>IF($A618=VLOOKUP(YEAR($A618),'Festive dates'!$A$2:$J$5,2,FALSE),1,0)</f>
        <v>0</v>
      </c>
      <c r="T618" s="9">
        <f>IF($A618=VLOOKUP(YEAR($A618),'Festive dates'!$A$2:$J$5,3,FALSE),1,0)</f>
        <v>0</v>
      </c>
      <c r="U618" s="9">
        <f>IF($A618=VLOOKUP(YEAR($A618),'Festive dates'!$A$2:$J$5,4,FALSE),1,0)</f>
        <v>0</v>
      </c>
      <c r="V618" s="9">
        <f>IF(AND($A618&gt;=VLOOKUP(YEAR($A618),'Festive dates'!$A$2:$J$5,9,FALSE),$A618&lt;=VLOOKUP(YEAR($A618),'Festive dates'!$A$2:$J$5,10,FALSE)),1,0)</f>
        <v>0</v>
      </c>
      <c r="W618" s="9">
        <f>IF($A618=VLOOKUP(YEAR($A618),'Festive dates'!$A$2:$J$5,7,FALSE),1,0)</f>
        <v>0</v>
      </c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>
      <c r="A619" s="8">
        <v>45634</v>
      </c>
      <c r="B619" s="9">
        <v>0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f>MAX(-20,MIN(10,$A619-VLOOKUP(YEAR($A619),'Festive dates'!$A$2:$J$5,8,FALSE)))</f>
        <v>10</v>
      </c>
      <c r="R619" s="9">
        <f>IF(AND($A619&gt;VLOOKUP(YEAR($A619),'Festive dates'!$A$2:$J$5,2,FALSE),$A619&lt;VLOOKUP(YEAR($A619),'Festive dates'!$A$2:$J$5,3,FALSE)),1,0)</f>
        <v>0</v>
      </c>
      <c r="S619" s="9">
        <f>IF($A619=VLOOKUP(YEAR($A619),'Festive dates'!$A$2:$J$5,2,FALSE),1,0)</f>
        <v>0</v>
      </c>
      <c r="T619" s="9">
        <f>IF($A619=VLOOKUP(YEAR($A619),'Festive dates'!$A$2:$J$5,3,FALSE),1,0)</f>
        <v>0</v>
      </c>
      <c r="U619" s="9">
        <f>IF($A619=VLOOKUP(YEAR($A619),'Festive dates'!$A$2:$J$5,4,FALSE),1,0)</f>
        <v>0</v>
      </c>
      <c r="V619" s="9">
        <f>IF(AND($A619&gt;=VLOOKUP(YEAR($A619),'Festive dates'!$A$2:$J$5,9,FALSE),$A619&lt;=VLOOKUP(YEAR($A619),'Festive dates'!$A$2:$J$5,10,FALSE)),1,0)</f>
        <v>0</v>
      </c>
      <c r="W619" s="9">
        <f>IF($A619=VLOOKUP(YEAR($A619),'Festive dates'!$A$2:$J$5,7,FALSE),1,0)</f>
        <v>0</v>
      </c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>
      <c r="A620" s="8">
        <v>45635</v>
      </c>
      <c r="B620" s="9">
        <v>0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f>MAX(-20,MIN(10,$A620-VLOOKUP(YEAR($A620),'Festive dates'!$A$2:$J$5,8,FALSE)))</f>
        <v>10</v>
      </c>
      <c r="R620" s="9">
        <f>IF(AND($A620&gt;VLOOKUP(YEAR($A620),'Festive dates'!$A$2:$J$5,2,FALSE),$A620&lt;VLOOKUP(YEAR($A620),'Festive dates'!$A$2:$J$5,3,FALSE)),1,0)</f>
        <v>0</v>
      </c>
      <c r="S620" s="9">
        <f>IF($A620=VLOOKUP(YEAR($A620),'Festive dates'!$A$2:$J$5,2,FALSE),1,0)</f>
        <v>0</v>
      </c>
      <c r="T620" s="9">
        <f>IF($A620=VLOOKUP(YEAR($A620),'Festive dates'!$A$2:$J$5,3,FALSE),1,0)</f>
        <v>0</v>
      </c>
      <c r="U620" s="9">
        <f>IF($A620=VLOOKUP(YEAR($A620),'Festive dates'!$A$2:$J$5,4,FALSE),1,0)</f>
        <v>0</v>
      </c>
      <c r="V620" s="9">
        <f>IF(AND($A620&gt;=VLOOKUP(YEAR($A620),'Festive dates'!$A$2:$J$5,9,FALSE),$A620&lt;=VLOOKUP(YEAR($A620),'Festive dates'!$A$2:$J$5,10,FALSE)),1,0)</f>
        <v>0</v>
      </c>
      <c r="W620" s="9">
        <f>IF($A620=VLOOKUP(YEAR($A620),'Festive dates'!$A$2:$J$5,7,FALSE),1,0)</f>
        <v>0</v>
      </c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>
      <c r="A621" s="8">
        <v>45636</v>
      </c>
      <c r="B621" s="9">
        <v>0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f>MAX(-20,MIN(10,$A621-VLOOKUP(YEAR($A621),'Festive dates'!$A$2:$J$5,8,FALSE)))</f>
        <v>10</v>
      </c>
      <c r="R621" s="9">
        <f>IF(AND($A621&gt;VLOOKUP(YEAR($A621),'Festive dates'!$A$2:$J$5,2,FALSE),$A621&lt;VLOOKUP(YEAR($A621),'Festive dates'!$A$2:$J$5,3,FALSE)),1,0)</f>
        <v>0</v>
      </c>
      <c r="S621" s="9">
        <f>IF($A621=VLOOKUP(YEAR($A621),'Festive dates'!$A$2:$J$5,2,FALSE),1,0)</f>
        <v>0</v>
      </c>
      <c r="T621" s="9">
        <f>IF($A621=VLOOKUP(YEAR($A621),'Festive dates'!$A$2:$J$5,3,FALSE),1,0)</f>
        <v>0</v>
      </c>
      <c r="U621" s="9">
        <f>IF($A621=VLOOKUP(YEAR($A621),'Festive dates'!$A$2:$J$5,4,FALSE),1,0)</f>
        <v>0</v>
      </c>
      <c r="V621" s="9">
        <f>IF(AND($A621&gt;=VLOOKUP(YEAR($A621),'Festive dates'!$A$2:$J$5,9,FALSE),$A621&lt;=VLOOKUP(YEAR($A621),'Festive dates'!$A$2:$J$5,10,FALSE)),1,0)</f>
        <v>0</v>
      </c>
      <c r="W621" s="9">
        <f>IF($A621=VLOOKUP(YEAR($A621),'Festive dates'!$A$2:$J$5,7,FALSE),1,0)</f>
        <v>0</v>
      </c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>
      <c r="A622" s="8">
        <v>45637</v>
      </c>
      <c r="B622" s="9">
        <v>0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f>MAX(-20,MIN(10,$A622-VLOOKUP(YEAR($A622),'Festive dates'!$A$2:$J$5,8,FALSE)))</f>
        <v>10</v>
      </c>
      <c r="R622" s="9">
        <f>IF(AND($A622&gt;VLOOKUP(YEAR($A622),'Festive dates'!$A$2:$J$5,2,FALSE),$A622&lt;VLOOKUP(YEAR($A622),'Festive dates'!$A$2:$J$5,3,FALSE)),1,0)</f>
        <v>0</v>
      </c>
      <c r="S622" s="9">
        <f>IF($A622=VLOOKUP(YEAR($A622),'Festive dates'!$A$2:$J$5,2,FALSE),1,0)</f>
        <v>0</v>
      </c>
      <c r="T622" s="9">
        <f>IF($A622=VLOOKUP(YEAR($A622),'Festive dates'!$A$2:$J$5,3,FALSE),1,0)</f>
        <v>0</v>
      </c>
      <c r="U622" s="9">
        <f>IF($A622=VLOOKUP(YEAR($A622),'Festive dates'!$A$2:$J$5,4,FALSE),1,0)</f>
        <v>0</v>
      </c>
      <c r="V622" s="9">
        <f>IF(AND($A622&gt;=VLOOKUP(YEAR($A622),'Festive dates'!$A$2:$J$5,9,FALSE),$A622&lt;=VLOOKUP(YEAR($A622),'Festive dates'!$A$2:$J$5,10,FALSE)),1,0)</f>
        <v>0</v>
      </c>
      <c r="W622" s="9">
        <f>IF($A622=VLOOKUP(YEAR($A622),'Festive dates'!$A$2:$J$5,7,FALSE),1,0)</f>
        <v>0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>
      <c r="A623" s="8">
        <v>45638</v>
      </c>
      <c r="B623" s="9">
        <v>0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f>MAX(-20,MIN(10,$A623-VLOOKUP(YEAR($A623),'Festive dates'!$A$2:$J$5,8,FALSE)))</f>
        <v>10</v>
      </c>
      <c r="R623" s="9">
        <f>IF(AND($A623&gt;VLOOKUP(YEAR($A623),'Festive dates'!$A$2:$J$5,2,FALSE),$A623&lt;VLOOKUP(YEAR($A623),'Festive dates'!$A$2:$J$5,3,FALSE)),1,0)</f>
        <v>0</v>
      </c>
      <c r="S623" s="9">
        <f>IF($A623=VLOOKUP(YEAR($A623),'Festive dates'!$A$2:$J$5,2,FALSE),1,0)</f>
        <v>0</v>
      </c>
      <c r="T623" s="9">
        <f>IF($A623=VLOOKUP(YEAR($A623),'Festive dates'!$A$2:$J$5,3,FALSE),1,0)</f>
        <v>0</v>
      </c>
      <c r="U623" s="9">
        <f>IF($A623=VLOOKUP(YEAR($A623),'Festive dates'!$A$2:$J$5,4,FALSE),1,0)</f>
        <v>0</v>
      </c>
      <c r="V623" s="9">
        <f>IF(AND($A623&gt;=VLOOKUP(YEAR($A623),'Festive dates'!$A$2:$J$5,9,FALSE),$A623&lt;=VLOOKUP(YEAR($A623),'Festive dates'!$A$2:$J$5,10,FALSE)),1,0)</f>
        <v>0</v>
      </c>
      <c r="W623" s="9">
        <f>IF($A623=VLOOKUP(YEAR($A623),'Festive dates'!$A$2:$J$5,7,FALSE),1,0)</f>
        <v>0</v>
      </c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>
      <c r="A624" s="8">
        <v>45639</v>
      </c>
      <c r="B624" s="9">
        <v>0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f>MAX(-20,MIN(10,$A624-VLOOKUP(YEAR($A624),'Festive dates'!$A$2:$J$5,8,FALSE)))</f>
        <v>10</v>
      </c>
      <c r="R624" s="9">
        <f>IF(AND($A624&gt;VLOOKUP(YEAR($A624),'Festive dates'!$A$2:$J$5,2,FALSE),$A624&lt;VLOOKUP(YEAR($A624),'Festive dates'!$A$2:$J$5,3,FALSE)),1,0)</f>
        <v>0</v>
      </c>
      <c r="S624" s="9">
        <f>IF($A624=VLOOKUP(YEAR($A624),'Festive dates'!$A$2:$J$5,2,FALSE),1,0)</f>
        <v>0</v>
      </c>
      <c r="T624" s="9">
        <f>IF($A624=VLOOKUP(YEAR($A624),'Festive dates'!$A$2:$J$5,3,FALSE),1,0)</f>
        <v>0</v>
      </c>
      <c r="U624" s="9">
        <f>IF($A624=VLOOKUP(YEAR($A624),'Festive dates'!$A$2:$J$5,4,FALSE),1,0)</f>
        <v>0</v>
      </c>
      <c r="V624" s="9">
        <f>IF(AND($A624&gt;=VLOOKUP(YEAR($A624),'Festive dates'!$A$2:$J$5,9,FALSE),$A624&lt;=VLOOKUP(YEAR($A624),'Festive dates'!$A$2:$J$5,10,FALSE)),1,0)</f>
        <v>0</v>
      </c>
      <c r="W624" s="9">
        <f>IF($A624=VLOOKUP(YEAR($A624),'Festive dates'!$A$2:$J$5,7,FALSE),1,0)</f>
        <v>0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>
      <c r="A625" s="8">
        <v>45640</v>
      </c>
      <c r="B625" s="9">
        <v>0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f>MAX(-20,MIN(10,$A625-VLOOKUP(YEAR($A625),'Festive dates'!$A$2:$J$5,8,FALSE)))</f>
        <v>10</v>
      </c>
      <c r="R625" s="9">
        <f>IF(AND($A625&gt;VLOOKUP(YEAR($A625),'Festive dates'!$A$2:$J$5,2,FALSE),$A625&lt;VLOOKUP(YEAR($A625),'Festive dates'!$A$2:$J$5,3,FALSE)),1,0)</f>
        <v>0</v>
      </c>
      <c r="S625" s="9">
        <f>IF($A625=VLOOKUP(YEAR($A625),'Festive dates'!$A$2:$J$5,2,FALSE),1,0)</f>
        <v>0</v>
      </c>
      <c r="T625" s="9">
        <f>IF($A625=VLOOKUP(YEAR($A625),'Festive dates'!$A$2:$J$5,3,FALSE),1,0)</f>
        <v>0</v>
      </c>
      <c r="U625" s="9">
        <f>IF($A625=VLOOKUP(YEAR($A625),'Festive dates'!$A$2:$J$5,4,FALSE),1,0)</f>
        <v>0</v>
      </c>
      <c r="V625" s="9">
        <f>IF(AND($A625&gt;=VLOOKUP(YEAR($A625),'Festive dates'!$A$2:$J$5,9,FALSE),$A625&lt;=VLOOKUP(YEAR($A625),'Festive dates'!$A$2:$J$5,10,FALSE)),1,0)</f>
        <v>0</v>
      </c>
      <c r="W625" s="9">
        <f>IF($A625=VLOOKUP(YEAR($A625),'Festive dates'!$A$2:$J$5,7,FALSE),1,0)</f>
        <v>0</v>
      </c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>
      <c r="A626" s="8">
        <v>45641</v>
      </c>
      <c r="B626" s="9">
        <v>0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f>MAX(-20,MIN(10,$A626-VLOOKUP(YEAR($A626),'Festive dates'!$A$2:$J$5,8,FALSE)))</f>
        <v>10</v>
      </c>
      <c r="R626" s="9">
        <f>IF(AND($A626&gt;VLOOKUP(YEAR($A626),'Festive dates'!$A$2:$J$5,2,FALSE),$A626&lt;VLOOKUP(YEAR($A626),'Festive dates'!$A$2:$J$5,3,FALSE)),1,0)</f>
        <v>0</v>
      </c>
      <c r="S626" s="9">
        <f>IF($A626=VLOOKUP(YEAR($A626),'Festive dates'!$A$2:$J$5,2,FALSE),1,0)</f>
        <v>0</v>
      </c>
      <c r="T626" s="9">
        <f>IF($A626=VLOOKUP(YEAR($A626),'Festive dates'!$A$2:$J$5,3,FALSE),1,0)</f>
        <v>0</v>
      </c>
      <c r="U626" s="9">
        <f>IF($A626=VLOOKUP(YEAR($A626),'Festive dates'!$A$2:$J$5,4,FALSE),1,0)</f>
        <v>0</v>
      </c>
      <c r="V626" s="9">
        <f>IF(AND($A626&gt;=VLOOKUP(YEAR($A626),'Festive dates'!$A$2:$J$5,9,FALSE),$A626&lt;=VLOOKUP(YEAR($A626),'Festive dates'!$A$2:$J$5,10,FALSE)),1,0)</f>
        <v>0</v>
      </c>
      <c r="W626" s="9">
        <f>IF($A626=VLOOKUP(YEAR($A626),'Festive dates'!$A$2:$J$5,7,FALSE),1,0)</f>
        <v>0</v>
      </c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>
      <c r="A627" s="8">
        <v>45642</v>
      </c>
      <c r="B627" s="9">
        <v>0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f>MAX(-20,MIN(10,$A627-VLOOKUP(YEAR($A627),'Festive dates'!$A$2:$J$5,8,FALSE)))</f>
        <v>10</v>
      </c>
      <c r="R627" s="9">
        <f>IF(AND($A627&gt;VLOOKUP(YEAR($A627),'Festive dates'!$A$2:$J$5,2,FALSE),$A627&lt;VLOOKUP(YEAR($A627),'Festive dates'!$A$2:$J$5,3,FALSE)),1,0)</f>
        <v>0</v>
      </c>
      <c r="S627" s="9">
        <f>IF($A627=VLOOKUP(YEAR($A627),'Festive dates'!$A$2:$J$5,2,FALSE),1,0)</f>
        <v>0</v>
      </c>
      <c r="T627" s="9">
        <f>IF($A627=VLOOKUP(YEAR($A627),'Festive dates'!$A$2:$J$5,3,FALSE),1,0)</f>
        <v>0</v>
      </c>
      <c r="U627" s="9">
        <f>IF($A627=VLOOKUP(YEAR($A627),'Festive dates'!$A$2:$J$5,4,FALSE),1,0)</f>
        <v>0</v>
      </c>
      <c r="V627" s="9">
        <f>IF(AND($A627&gt;=VLOOKUP(YEAR($A627),'Festive dates'!$A$2:$J$5,9,FALSE),$A627&lt;=VLOOKUP(YEAR($A627),'Festive dates'!$A$2:$J$5,10,FALSE)),1,0)</f>
        <v>0</v>
      </c>
      <c r="W627" s="9">
        <f>IF($A627=VLOOKUP(YEAR($A627),'Festive dates'!$A$2:$J$5,7,FALSE),1,0)</f>
        <v>0</v>
      </c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>
      <c r="A628" s="8">
        <v>45643</v>
      </c>
      <c r="B628" s="9">
        <v>0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f>MAX(-20,MIN(10,$A628-VLOOKUP(YEAR($A628),'Festive dates'!$A$2:$J$5,8,FALSE)))</f>
        <v>10</v>
      </c>
      <c r="R628" s="9">
        <f>IF(AND($A628&gt;VLOOKUP(YEAR($A628),'Festive dates'!$A$2:$J$5,2,FALSE),$A628&lt;VLOOKUP(YEAR($A628),'Festive dates'!$A$2:$J$5,3,FALSE)),1,0)</f>
        <v>0</v>
      </c>
      <c r="S628" s="9">
        <f>IF($A628=VLOOKUP(YEAR($A628),'Festive dates'!$A$2:$J$5,2,FALSE),1,0)</f>
        <v>0</v>
      </c>
      <c r="T628" s="9">
        <f>IF($A628=VLOOKUP(YEAR($A628),'Festive dates'!$A$2:$J$5,3,FALSE),1,0)</f>
        <v>0</v>
      </c>
      <c r="U628" s="9">
        <f>IF($A628=VLOOKUP(YEAR($A628),'Festive dates'!$A$2:$J$5,4,FALSE),1,0)</f>
        <v>0</v>
      </c>
      <c r="V628" s="9">
        <f>IF(AND($A628&gt;=VLOOKUP(YEAR($A628),'Festive dates'!$A$2:$J$5,9,FALSE),$A628&lt;=VLOOKUP(YEAR($A628),'Festive dates'!$A$2:$J$5,10,FALSE)),1,0)</f>
        <v>0</v>
      </c>
      <c r="W628" s="9">
        <f>IF($A628=VLOOKUP(YEAR($A628),'Festive dates'!$A$2:$J$5,7,FALSE),1,0)</f>
        <v>0</v>
      </c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>
      <c r="A629" s="8">
        <v>45644</v>
      </c>
      <c r="B629" s="9">
        <v>0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f>MAX(-20,MIN(10,$A629-VLOOKUP(YEAR($A629),'Festive dates'!$A$2:$J$5,8,FALSE)))</f>
        <v>10</v>
      </c>
      <c r="R629" s="9">
        <f>IF(AND($A629&gt;VLOOKUP(YEAR($A629),'Festive dates'!$A$2:$J$5,2,FALSE),$A629&lt;VLOOKUP(YEAR($A629),'Festive dates'!$A$2:$J$5,3,FALSE)),1,0)</f>
        <v>0</v>
      </c>
      <c r="S629" s="9">
        <f>IF($A629=VLOOKUP(YEAR($A629),'Festive dates'!$A$2:$J$5,2,FALSE),1,0)</f>
        <v>0</v>
      </c>
      <c r="T629" s="9">
        <f>IF($A629=VLOOKUP(YEAR($A629),'Festive dates'!$A$2:$J$5,3,FALSE),1,0)</f>
        <v>0</v>
      </c>
      <c r="U629" s="9">
        <f>IF($A629=VLOOKUP(YEAR($A629),'Festive dates'!$A$2:$J$5,4,FALSE),1,0)</f>
        <v>0</v>
      </c>
      <c r="V629" s="9">
        <f>IF(AND($A629&gt;=VLOOKUP(YEAR($A629),'Festive dates'!$A$2:$J$5,9,FALSE),$A629&lt;=VLOOKUP(YEAR($A629),'Festive dates'!$A$2:$J$5,10,FALSE)),1,0)</f>
        <v>0</v>
      </c>
      <c r="W629" s="9">
        <f>IF($A629=VLOOKUP(YEAR($A629),'Festive dates'!$A$2:$J$5,7,FALSE),1,0)</f>
        <v>0</v>
      </c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>
      <c r="A630" s="8">
        <v>45645</v>
      </c>
      <c r="B630" s="9">
        <v>0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f>MAX(-20,MIN(10,$A630-VLOOKUP(YEAR($A630),'Festive dates'!$A$2:$J$5,8,FALSE)))</f>
        <v>10</v>
      </c>
      <c r="R630" s="9">
        <f>IF(AND($A630&gt;VLOOKUP(YEAR($A630),'Festive dates'!$A$2:$J$5,2,FALSE),$A630&lt;VLOOKUP(YEAR($A630),'Festive dates'!$A$2:$J$5,3,FALSE)),1,0)</f>
        <v>0</v>
      </c>
      <c r="S630" s="9">
        <f>IF($A630=VLOOKUP(YEAR($A630),'Festive dates'!$A$2:$J$5,2,FALSE),1,0)</f>
        <v>0</v>
      </c>
      <c r="T630" s="9">
        <f>IF($A630=VLOOKUP(YEAR($A630),'Festive dates'!$A$2:$J$5,3,FALSE),1,0)</f>
        <v>0</v>
      </c>
      <c r="U630" s="9">
        <f>IF($A630=VLOOKUP(YEAR($A630),'Festive dates'!$A$2:$J$5,4,FALSE),1,0)</f>
        <v>0</v>
      </c>
      <c r="V630" s="9">
        <f>IF(AND($A630&gt;=VLOOKUP(YEAR($A630),'Festive dates'!$A$2:$J$5,9,FALSE),$A630&lt;=VLOOKUP(YEAR($A630),'Festive dates'!$A$2:$J$5,10,FALSE)),1,0)</f>
        <v>0</v>
      </c>
      <c r="W630" s="9">
        <f>IF($A630=VLOOKUP(YEAR($A630),'Festive dates'!$A$2:$J$5,7,FALSE),1,0)</f>
        <v>0</v>
      </c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>
      <c r="A631" s="8">
        <v>45646</v>
      </c>
      <c r="B631" s="9">
        <v>0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f>MAX(-20,MIN(10,$A631-VLOOKUP(YEAR($A631),'Festive dates'!$A$2:$J$5,8,FALSE)))</f>
        <v>10</v>
      </c>
      <c r="R631" s="9">
        <f>IF(AND($A631&gt;VLOOKUP(YEAR($A631),'Festive dates'!$A$2:$J$5,2,FALSE),$A631&lt;VLOOKUP(YEAR($A631),'Festive dates'!$A$2:$J$5,3,FALSE)),1,0)</f>
        <v>0</v>
      </c>
      <c r="S631" s="9">
        <f>IF($A631=VLOOKUP(YEAR($A631),'Festive dates'!$A$2:$J$5,2,FALSE),1,0)</f>
        <v>0</v>
      </c>
      <c r="T631" s="9">
        <f>IF($A631=VLOOKUP(YEAR($A631),'Festive dates'!$A$2:$J$5,3,FALSE),1,0)</f>
        <v>0</v>
      </c>
      <c r="U631" s="9">
        <f>IF($A631=VLOOKUP(YEAR($A631),'Festive dates'!$A$2:$J$5,4,FALSE),1,0)</f>
        <v>0</v>
      </c>
      <c r="V631" s="9">
        <f>IF(AND($A631&gt;=VLOOKUP(YEAR($A631),'Festive dates'!$A$2:$J$5,9,FALSE),$A631&lt;=VLOOKUP(YEAR($A631),'Festive dates'!$A$2:$J$5,10,FALSE)),1,0)</f>
        <v>0</v>
      </c>
      <c r="W631" s="9">
        <f>IF($A631=VLOOKUP(YEAR($A631),'Festive dates'!$A$2:$J$5,7,FALSE),1,0)</f>
        <v>0</v>
      </c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>
      <c r="A632" s="8">
        <v>45647</v>
      </c>
      <c r="B632" s="9">
        <v>0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f>MAX(-20,MIN(10,$A632-VLOOKUP(YEAR($A632),'Festive dates'!$A$2:$J$5,8,FALSE)))</f>
        <v>10</v>
      </c>
      <c r="R632" s="9">
        <f>IF(AND($A632&gt;VLOOKUP(YEAR($A632),'Festive dates'!$A$2:$J$5,2,FALSE),$A632&lt;VLOOKUP(YEAR($A632),'Festive dates'!$A$2:$J$5,3,FALSE)),1,0)</f>
        <v>0</v>
      </c>
      <c r="S632" s="9">
        <f>IF($A632=VLOOKUP(YEAR($A632),'Festive dates'!$A$2:$J$5,2,FALSE),1,0)</f>
        <v>0</v>
      </c>
      <c r="T632" s="9">
        <f>IF($A632=VLOOKUP(YEAR($A632),'Festive dates'!$A$2:$J$5,3,FALSE),1,0)</f>
        <v>0</v>
      </c>
      <c r="U632" s="9">
        <f>IF($A632=VLOOKUP(YEAR($A632),'Festive dates'!$A$2:$J$5,4,FALSE),1,0)</f>
        <v>0</v>
      </c>
      <c r="V632" s="9">
        <f>IF(AND($A632&gt;=VLOOKUP(YEAR($A632),'Festive dates'!$A$2:$J$5,9,FALSE),$A632&lt;=VLOOKUP(YEAR($A632),'Festive dates'!$A$2:$J$5,10,FALSE)),1,0)</f>
        <v>0</v>
      </c>
      <c r="W632" s="9">
        <f>IF($A632=VLOOKUP(YEAR($A632),'Festive dates'!$A$2:$J$5,7,FALSE),1,0)</f>
        <v>0</v>
      </c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>
      <c r="A633" s="8">
        <v>45648</v>
      </c>
      <c r="B633" s="9">
        <v>0</v>
      </c>
      <c r="C633" s="9">
        <v>0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f>MAX(-20,MIN(10,$A633-VLOOKUP(YEAR($A633),'Festive dates'!$A$2:$J$5,8,FALSE)))</f>
        <v>10</v>
      </c>
      <c r="R633" s="9">
        <f>IF(AND($A633&gt;VLOOKUP(YEAR($A633),'Festive dates'!$A$2:$J$5,2,FALSE),$A633&lt;VLOOKUP(YEAR($A633),'Festive dates'!$A$2:$J$5,3,FALSE)),1,0)</f>
        <v>0</v>
      </c>
      <c r="S633" s="9">
        <f>IF($A633=VLOOKUP(YEAR($A633),'Festive dates'!$A$2:$J$5,2,FALSE),1,0)</f>
        <v>0</v>
      </c>
      <c r="T633" s="9">
        <f>IF($A633=VLOOKUP(YEAR($A633),'Festive dates'!$A$2:$J$5,3,FALSE),1,0)</f>
        <v>0</v>
      </c>
      <c r="U633" s="9">
        <f>IF($A633=VLOOKUP(YEAR($A633),'Festive dates'!$A$2:$J$5,4,FALSE),1,0)</f>
        <v>0</v>
      </c>
      <c r="V633" s="9">
        <f>IF(AND($A633&gt;=VLOOKUP(YEAR($A633),'Festive dates'!$A$2:$J$5,9,FALSE),$A633&lt;=VLOOKUP(YEAR($A633),'Festive dates'!$A$2:$J$5,10,FALSE)),1,0)</f>
        <v>0</v>
      </c>
      <c r="W633" s="9">
        <f>IF($A633=VLOOKUP(YEAR($A633),'Festive dates'!$A$2:$J$5,7,FALSE),1,0)</f>
        <v>0</v>
      </c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>
      <c r="A634" s="8">
        <v>45649</v>
      </c>
      <c r="B634" s="9">
        <v>0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f>MAX(-20,MIN(10,$A634-VLOOKUP(YEAR($A634),'Festive dates'!$A$2:$J$5,8,FALSE)))</f>
        <v>10</v>
      </c>
      <c r="R634" s="9">
        <f>IF(AND($A634&gt;VLOOKUP(YEAR($A634),'Festive dates'!$A$2:$J$5,2,FALSE),$A634&lt;VLOOKUP(YEAR($A634),'Festive dates'!$A$2:$J$5,3,FALSE)),1,0)</f>
        <v>0</v>
      </c>
      <c r="S634" s="9">
        <f>IF($A634=VLOOKUP(YEAR($A634),'Festive dates'!$A$2:$J$5,2,FALSE),1,0)</f>
        <v>0</v>
      </c>
      <c r="T634" s="9">
        <f>IF($A634=VLOOKUP(YEAR($A634),'Festive dates'!$A$2:$J$5,3,FALSE),1,0)</f>
        <v>0</v>
      </c>
      <c r="U634" s="9">
        <f>IF($A634=VLOOKUP(YEAR($A634),'Festive dates'!$A$2:$J$5,4,FALSE),1,0)</f>
        <v>0</v>
      </c>
      <c r="V634" s="9">
        <f>IF(AND($A634&gt;=VLOOKUP(YEAR($A634),'Festive dates'!$A$2:$J$5,9,FALSE),$A634&lt;=VLOOKUP(YEAR($A634),'Festive dates'!$A$2:$J$5,10,FALSE)),1,0)</f>
        <v>0</v>
      </c>
      <c r="W634" s="9">
        <f>IF($A634=VLOOKUP(YEAR($A634),'Festive dates'!$A$2:$J$5,7,FALSE),1,0)</f>
        <v>0</v>
      </c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>
      <c r="A635" s="8">
        <v>45650</v>
      </c>
      <c r="B635" s="9">
        <v>0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f>MAX(-20,MIN(10,$A635-VLOOKUP(YEAR($A635),'Festive dates'!$A$2:$J$5,8,FALSE)))</f>
        <v>10</v>
      </c>
      <c r="R635" s="9">
        <f>IF(AND($A635&gt;VLOOKUP(YEAR($A635),'Festive dates'!$A$2:$J$5,2,FALSE),$A635&lt;VLOOKUP(YEAR($A635),'Festive dates'!$A$2:$J$5,3,FALSE)),1,0)</f>
        <v>0</v>
      </c>
      <c r="S635" s="9">
        <f>IF($A635=VLOOKUP(YEAR($A635),'Festive dates'!$A$2:$J$5,2,FALSE),1,0)</f>
        <v>0</v>
      </c>
      <c r="T635" s="9">
        <f>IF($A635=VLOOKUP(YEAR($A635),'Festive dates'!$A$2:$J$5,3,FALSE),1,0)</f>
        <v>0</v>
      </c>
      <c r="U635" s="9">
        <f>IF($A635=VLOOKUP(YEAR($A635),'Festive dates'!$A$2:$J$5,4,FALSE),1,0)</f>
        <v>0</v>
      </c>
      <c r="V635" s="9">
        <f>IF(AND($A635&gt;=VLOOKUP(YEAR($A635),'Festive dates'!$A$2:$J$5,9,FALSE),$A635&lt;=VLOOKUP(YEAR($A635),'Festive dates'!$A$2:$J$5,10,FALSE)),1,0)</f>
        <v>0</v>
      </c>
      <c r="W635" s="9">
        <f>IF($A635=VLOOKUP(YEAR($A635),'Festive dates'!$A$2:$J$5,7,FALSE),1,0)</f>
        <v>0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>
      <c r="A636" s="8">
        <v>45651</v>
      </c>
      <c r="B636" s="9">
        <v>0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f>MAX(-20,MIN(10,$A636-VLOOKUP(YEAR($A636),'Festive dates'!$A$2:$J$5,8,FALSE)))</f>
        <v>10</v>
      </c>
      <c r="R636" s="9">
        <f>IF(AND($A636&gt;VLOOKUP(YEAR($A636),'Festive dates'!$A$2:$J$5,2,FALSE),$A636&lt;VLOOKUP(YEAR($A636),'Festive dates'!$A$2:$J$5,3,FALSE)),1,0)</f>
        <v>0</v>
      </c>
      <c r="S636" s="9">
        <f>IF($A636=VLOOKUP(YEAR($A636),'Festive dates'!$A$2:$J$5,2,FALSE),1,0)</f>
        <v>0</v>
      </c>
      <c r="T636" s="9">
        <f>IF($A636=VLOOKUP(YEAR($A636),'Festive dates'!$A$2:$J$5,3,FALSE),1,0)</f>
        <v>0</v>
      </c>
      <c r="U636" s="9">
        <f>IF($A636=VLOOKUP(YEAR($A636),'Festive dates'!$A$2:$J$5,4,FALSE),1,0)</f>
        <v>0</v>
      </c>
      <c r="V636" s="9">
        <f>IF(AND($A636&gt;=VLOOKUP(YEAR($A636),'Festive dates'!$A$2:$J$5,9,FALSE),$A636&lt;=VLOOKUP(YEAR($A636),'Festive dates'!$A$2:$J$5,10,FALSE)),1,0)</f>
        <v>0</v>
      </c>
      <c r="W636" s="9">
        <f>IF($A636=VLOOKUP(YEAR($A636),'Festive dates'!$A$2:$J$5,7,FALSE),1,0)</f>
        <v>0</v>
      </c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>
      <c r="A637" s="8">
        <v>45652</v>
      </c>
      <c r="B637" s="9">
        <v>0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f>MAX(-20,MIN(10,$A637-VLOOKUP(YEAR($A637),'Festive dates'!$A$2:$J$5,8,FALSE)))</f>
        <v>10</v>
      </c>
      <c r="R637" s="9">
        <f>IF(AND($A637&gt;VLOOKUP(YEAR($A637),'Festive dates'!$A$2:$J$5,2,FALSE),$A637&lt;VLOOKUP(YEAR($A637),'Festive dates'!$A$2:$J$5,3,FALSE)),1,0)</f>
        <v>0</v>
      </c>
      <c r="S637" s="9">
        <f>IF($A637=VLOOKUP(YEAR($A637),'Festive dates'!$A$2:$J$5,2,FALSE),1,0)</f>
        <v>0</v>
      </c>
      <c r="T637" s="9">
        <f>IF($A637=VLOOKUP(YEAR($A637),'Festive dates'!$A$2:$J$5,3,FALSE),1,0)</f>
        <v>0</v>
      </c>
      <c r="U637" s="9">
        <f>IF($A637=VLOOKUP(YEAR($A637),'Festive dates'!$A$2:$J$5,4,FALSE),1,0)</f>
        <v>0</v>
      </c>
      <c r="V637" s="9">
        <f>IF(AND($A637&gt;=VLOOKUP(YEAR($A637),'Festive dates'!$A$2:$J$5,9,FALSE),$A637&lt;=VLOOKUP(YEAR($A637),'Festive dates'!$A$2:$J$5,10,FALSE)),1,0)</f>
        <v>0</v>
      </c>
      <c r="W637" s="9">
        <f>IF($A637=VLOOKUP(YEAR($A637),'Festive dates'!$A$2:$J$5,7,FALSE),1,0)</f>
        <v>0</v>
      </c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>
      <c r="A638" s="8">
        <v>45653</v>
      </c>
      <c r="B638" s="9">
        <v>0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f>MAX(-20,MIN(10,$A638-VLOOKUP(YEAR($A638),'Festive dates'!$A$2:$J$5,8,FALSE)))</f>
        <v>10</v>
      </c>
      <c r="R638" s="9">
        <f>IF(AND($A638&gt;VLOOKUP(YEAR($A638),'Festive dates'!$A$2:$J$5,2,FALSE),$A638&lt;VLOOKUP(YEAR($A638),'Festive dates'!$A$2:$J$5,3,FALSE)),1,0)</f>
        <v>0</v>
      </c>
      <c r="S638" s="9">
        <f>IF($A638=VLOOKUP(YEAR($A638),'Festive dates'!$A$2:$J$5,2,FALSE),1,0)</f>
        <v>0</v>
      </c>
      <c r="T638" s="9">
        <f>IF($A638=VLOOKUP(YEAR($A638),'Festive dates'!$A$2:$J$5,3,FALSE),1,0)</f>
        <v>0</v>
      </c>
      <c r="U638" s="9">
        <f>IF($A638=VLOOKUP(YEAR($A638),'Festive dates'!$A$2:$J$5,4,FALSE),1,0)</f>
        <v>0</v>
      </c>
      <c r="V638" s="9">
        <f>IF(AND($A638&gt;=VLOOKUP(YEAR($A638),'Festive dates'!$A$2:$J$5,9,FALSE),$A638&lt;=VLOOKUP(YEAR($A638),'Festive dates'!$A$2:$J$5,10,FALSE)),1,0)</f>
        <v>0</v>
      </c>
      <c r="W638" s="9">
        <f>IF($A638=VLOOKUP(YEAR($A638),'Festive dates'!$A$2:$J$5,7,FALSE),1,0)</f>
        <v>0</v>
      </c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>
      <c r="A639" s="8">
        <v>45654</v>
      </c>
      <c r="B639" s="9">
        <v>0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f>MAX(-20,MIN(10,$A639-VLOOKUP(YEAR($A639),'Festive dates'!$A$2:$J$5,8,FALSE)))</f>
        <v>10</v>
      </c>
      <c r="R639" s="9">
        <f>IF(AND($A639&gt;VLOOKUP(YEAR($A639),'Festive dates'!$A$2:$J$5,2,FALSE),$A639&lt;VLOOKUP(YEAR($A639),'Festive dates'!$A$2:$J$5,3,FALSE)),1,0)</f>
        <v>0</v>
      </c>
      <c r="S639" s="9">
        <f>IF($A639=VLOOKUP(YEAR($A639),'Festive dates'!$A$2:$J$5,2,FALSE),1,0)</f>
        <v>0</v>
      </c>
      <c r="T639" s="9">
        <f>IF($A639=VLOOKUP(YEAR($A639),'Festive dates'!$A$2:$J$5,3,FALSE),1,0)</f>
        <v>0</v>
      </c>
      <c r="U639" s="9">
        <f>IF($A639=VLOOKUP(YEAR($A639),'Festive dates'!$A$2:$J$5,4,FALSE),1,0)</f>
        <v>0</v>
      </c>
      <c r="V639" s="9">
        <f>IF(AND($A639&gt;=VLOOKUP(YEAR($A639),'Festive dates'!$A$2:$J$5,9,FALSE),$A639&lt;=VLOOKUP(YEAR($A639),'Festive dates'!$A$2:$J$5,10,FALSE)),1,0)</f>
        <v>0</v>
      </c>
      <c r="W639" s="9">
        <f>IF($A639=VLOOKUP(YEAR($A639),'Festive dates'!$A$2:$J$5,7,FALSE),1,0)</f>
        <v>0</v>
      </c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>
      <c r="A640" s="8">
        <v>45655</v>
      </c>
      <c r="B640" s="9">
        <v>0</v>
      </c>
      <c r="C640" s="9">
        <v>0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f>MAX(-20,MIN(10,$A640-VLOOKUP(YEAR($A640),'Festive dates'!$A$2:$J$5,8,FALSE)))</f>
        <v>10</v>
      </c>
      <c r="R640" s="9">
        <f>IF(AND($A640&gt;VLOOKUP(YEAR($A640),'Festive dates'!$A$2:$J$5,2,FALSE),$A640&lt;VLOOKUP(YEAR($A640),'Festive dates'!$A$2:$J$5,3,FALSE)),1,0)</f>
        <v>0</v>
      </c>
      <c r="S640" s="9">
        <f>IF($A640=VLOOKUP(YEAR($A640),'Festive dates'!$A$2:$J$5,2,FALSE),1,0)</f>
        <v>0</v>
      </c>
      <c r="T640" s="9">
        <f>IF($A640=VLOOKUP(YEAR($A640),'Festive dates'!$A$2:$J$5,3,FALSE),1,0)</f>
        <v>0</v>
      </c>
      <c r="U640" s="9">
        <f>IF($A640=VLOOKUP(YEAR($A640),'Festive dates'!$A$2:$J$5,4,FALSE),1,0)</f>
        <v>0</v>
      </c>
      <c r="V640" s="9">
        <f>IF(AND($A640&gt;=VLOOKUP(YEAR($A640),'Festive dates'!$A$2:$J$5,9,FALSE),$A640&lt;=VLOOKUP(YEAR($A640),'Festive dates'!$A$2:$J$5,10,FALSE)),1,0)</f>
        <v>0</v>
      </c>
      <c r="W640" s="9">
        <f>IF($A640=VLOOKUP(YEAR($A640),'Festive dates'!$A$2:$J$5,7,FALSE),1,0)</f>
        <v>0</v>
      </c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>
      <c r="A641" s="8">
        <v>45656</v>
      </c>
      <c r="B641" s="9">
        <v>0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f>MAX(-20,MIN(10,$A641-VLOOKUP(YEAR($A641),'Festive dates'!$A$2:$J$5,8,FALSE)))</f>
        <v>10</v>
      </c>
      <c r="R641" s="9">
        <f>IF(AND($A641&gt;VLOOKUP(YEAR($A641),'Festive dates'!$A$2:$J$5,2,FALSE),$A641&lt;VLOOKUP(YEAR($A641),'Festive dates'!$A$2:$J$5,3,FALSE)),1,0)</f>
        <v>0</v>
      </c>
      <c r="S641" s="9">
        <f>IF($A641=VLOOKUP(YEAR($A641),'Festive dates'!$A$2:$J$5,2,FALSE),1,0)</f>
        <v>0</v>
      </c>
      <c r="T641" s="9">
        <f>IF($A641=VLOOKUP(YEAR($A641),'Festive dates'!$A$2:$J$5,3,FALSE),1,0)</f>
        <v>0</v>
      </c>
      <c r="U641" s="9">
        <f>IF($A641=VLOOKUP(YEAR($A641),'Festive dates'!$A$2:$J$5,4,FALSE),1,0)</f>
        <v>0</v>
      </c>
      <c r="V641" s="9">
        <f>IF(AND($A641&gt;=VLOOKUP(YEAR($A641),'Festive dates'!$A$2:$J$5,9,FALSE),$A641&lt;=VLOOKUP(YEAR($A641),'Festive dates'!$A$2:$J$5,10,FALSE)),1,0)</f>
        <v>0</v>
      </c>
      <c r="W641" s="9">
        <f>IF($A641=VLOOKUP(YEAR($A641),'Festive dates'!$A$2:$J$5,7,FALSE),1,0)</f>
        <v>0</v>
      </c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>
      <c r="A642" s="8">
        <v>45657</v>
      </c>
      <c r="B642" s="9">
        <v>0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f>MAX(-20,MIN(10,$A642-VLOOKUP(YEAR($A642),'Festive dates'!$A$2:$J$5,8,FALSE)))</f>
        <v>10</v>
      </c>
      <c r="R642" s="9">
        <f>IF(AND($A642&gt;VLOOKUP(YEAR($A642),'Festive dates'!$A$2:$J$5,2,FALSE),$A642&lt;VLOOKUP(YEAR($A642),'Festive dates'!$A$2:$J$5,3,FALSE)),1,0)</f>
        <v>0</v>
      </c>
      <c r="S642" s="9">
        <f>IF($A642=VLOOKUP(YEAR($A642),'Festive dates'!$A$2:$J$5,2,FALSE),1,0)</f>
        <v>0</v>
      </c>
      <c r="T642" s="9">
        <f>IF($A642=VLOOKUP(YEAR($A642),'Festive dates'!$A$2:$J$5,3,FALSE),1,0)</f>
        <v>0</v>
      </c>
      <c r="U642" s="9">
        <f>IF($A642=VLOOKUP(YEAR($A642),'Festive dates'!$A$2:$J$5,4,FALSE),1,0)</f>
        <v>0</v>
      </c>
      <c r="V642" s="9">
        <f>IF(AND($A642&gt;=VLOOKUP(YEAR($A642),'Festive dates'!$A$2:$J$5,9,FALSE),$A642&lt;=VLOOKUP(YEAR($A642),'Festive dates'!$A$2:$J$5,10,FALSE)),1,0)</f>
        <v>0</v>
      </c>
      <c r="W642" s="9">
        <f>IF($A642=VLOOKUP(YEAR($A642),'Festive dates'!$A$2:$J$5,7,FALSE),1,0)</f>
        <v>0</v>
      </c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>
      <c r="A643" s="8">
        <v>45658</v>
      </c>
      <c r="B643" s="9">
        <v>0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f>MAX(-20,MIN(10,$A643-VLOOKUP(YEAR($A643),'Festive dates'!$A$2:$J$5,8,FALSE)))</f>
        <v>-20</v>
      </c>
      <c r="R643" s="9">
        <f>IF(AND($A643&gt;VLOOKUP(YEAR($A643),'Festive dates'!$A$2:$J$5,2,FALSE),$A643&lt;VLOOKUP(YEAR($A643),'Festive dates'!$A$2:$J$5,3,FALSE)),1,0)</f>
        <v>0</v>
      </c>
      <c r="S643" s="9">
        <f>IF($A643=VLOOKUP(YEAR($A643),'Festive dates'!$A$2:$J$5,2,FALSE),1,0)</f>
        <v>0</v>
      </c>
      <c r="T643" s="9">
        <f>IF($A643=VLOOKUP(YEAR($A643),'Festive dates'!$A$2:$J$5,3,FALSE),1,0)</f>
        <v>0</v>
      </c>
      <c r="U643" s="9">
        <f>IF($A643=VLOOKUP(YEAR($A643),'Festive dates'!$A$2:$J$5,4,FALSE),1,0)</f>
        <v>0</v>
      </c>
      <c r="V643" s="9">
        <f>IF(AND($A643&gt;=VLOOKUP(YEAR($A643),'Festive dates'!$A$2:$J$5,9,FALSE),$A643&lt;=VLOOKUP(YEAR($A643),'Festive dates'!$A$2:$J$5,10,FALSE)),1,0)</f>
        <v>0</v>
      </c>
      <c r="W643" s="9">
        <f>IF($A643=VLOOKUP(YEAR($A643),'Festive dates'!$A$2:$J$5,7,FALSE),1,0)</f>
        <v>0</v>
      </c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>
      <c r="A644" s="8">
        <v>45659</v>
      </c>
      <c r="B644" s="9">
        <v>0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f>MAX(-20,MIN(10,$A644-VLOOKUP(YEAR($A644),'Festive dates'!$A$2:$J$5,8,FALSE)))</f>
        <v>-20</v>
      </c>
      <c r="R644" s="9">
        <f>IF(AND($A644&gt;VLOOKUP(YEAR($A644),'Festive dates'!$A$2:$J$5,2,FALSE),$A644&lt;VLOOKUP(YEAR($A644),'Festive dates'!$A$2:$J$5,3,FALSE)),1,0)</f>
        <v>0</v>
      </c>
      <c r="S644" s="9">
        <f>IF($A644=VLOOKUP(YEAR($A644),'Festive dates'!$A$2:$J$5,2,FALSE),1,0)</f>
        <v>0</v>
      </c>
      <c r="T644" s="9">
        <f>IF($A644=VLOOKUP(YEAR($A644),'Festive dates'!$A$2:$J$5,3,FALSE),1,0)</f>
        <v>0</v>
      </c>
      <c r="U644" s="9">
        <f>IF($A644=VLOOKUP(YEAR($A644),'Festive dates'!$A$2:$J$5,4,FALSE),1,0)</f>
        <v>0</v>
      </c>
      <c r="V644" s="9">
        <f>IF(AND($A644&gt;=VLOOKUP(YEAR($A644),'Festive dates'!$A$2:$J$5,9,FALSE),$A644&lt;=VLOOKUP(YEAR($A644),'Festive dates'!$A$2:$J$5,10,FALSE)),1,0)</f>
        <v>0</v>
      </c>
      <c r="W644" s="9">
        <f>IF($A644=VLOOKUP(YEAR($A644),'Festive dates'!$A$2:$J$5,7,FALSE),1,0)</f>
        <v>0</v>
      </c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>
      <c r="A645" s="8">
        <v>45660</v>
      </c>
      <c r="B645" s="9">
        <v>0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f>MAX(-20,MIN(10,$A645-VLOOKUP(YEAR($A645),'Festive dates'!$A$2:$J$5,8,FALSE)))</f>
        <v>-20</v>
      </c>
      <c r="R645" s="9">
        <f>IF(AND($A645&gt;VLOOKUP(YEAR($A645),'Festive dates'!$A$2:$J$5,2,FALSE),$A645&lt;VLOOKUP(YEAR($A645),'Festive dates'!$A$2:$J$5,3,FALSE)),1,0)</f>
        <v>0</v>
      </c>
      <c r="S645" s="9">
        <f>IF($A645=VLOOKUP(YEAR($A645),'Festive dates'!$A$2:$J$5,2,FALSE),1,0)</f>
        <v>0</v>
      </c>
      <c r="T645" s="9">
        <f>IF($A645=VLOOKUP(YEAR($A645),'Festive dates'!$A$2:$J$5,3,FALSE),1,0)</f>
        <v>0</v>
      </c>
      <c r="U645" s="9">
        <f>IF($A645=VLOOKUP(YEAR($A645),'Festive dates'!$A$2:$J$5,4,FALSE),1,0)</f>
        <v>0</v>
      </c>
      <c r="V645" s="9">
        <f>IF(AND($A645&gt;=VLOOKUP(YEAR($A645),'Festive dates'!$A$2:$J$5,9,FALSE),$A645&lt;=VLOOKUP(YEAR($A645),'Festive dates'!$A$2:$J$5,10,FALSE)),1,0)</f>
        <v>0</v>
      </c>
      <c r="W645" s="9">
        <f>IF($A645=VLOOKUP(YEAR($A645),'Festive dates'!$A$2:$J$5,7,FALSE),1,0)</f>
        <v>0</v>
      </c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>
      <c r="A646" s="8">
        <v>45661</v>
      </c>
      <c r="B646" s="9">
        <v>0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f>MAX(-20,MIN(10,$A646-VLOOKUP(YEAR($A646),'Festive dates'!$A$2:$J$5,8,FALSE)))</f>
        <v>-20</v>
      </c>
      <c r="R646" s="9">
        <f>IF(AND($A646&gt;VLOOKUP(YEAR($A646),'Festive dates'!$A$2:$J$5,2,FALSE),$A646&lt;VLOOKUP(YEAR($A646),'Festive dates'!$A$2:$J$5,3,FALSE)),1,0)</f>
        <v>0</v>
      </c>
      <c r="S646" s="9">
        <f>IF($A646=VLOOKUP(YEAR($A646),'Festive dates'!$A$2:$J$5,2,FALSE),1,0)</f>
        <v>0</v>
      </c>
      <c r="T646" s="9">
        <f>IF($A646=VLOOKUP(YEAR($A646),'Festive dates'!$A$2:$J$5,3,FALSE),1,0)</f>
        <v>0</v>
      </c>
      <c r="U646" s="9">
        <f>IF($A646=VLOOKUP(YEAR($A646),'Festive dates'!$A$2:$J$5,4,FALSE),1,0)</f>
        <v>0</v>
      </c>
      <c r="V646" s="9">
        <f>IF(AND($A646&gt;=VLOOKUP(YEAR($A646),'Festive dates'!$A$2:$J$5,9,FALSE),$A646&lt;=VLOOKUP(YEAR($A646),'Festive dates'!$A$2:$J$5,10,FALSE)),1,0)</f>
        <v>0</v>
      </c>
      <c r="W646" s="9">
        <f>IF($A646=VLOOKUP(YEAR($A646),'Festive dates'!$A$2:$J$5,7,FALSE),1,0)</f>
        <v>0</v>
      </c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>
      <c r="A647" s="8">
        <v>45662</v>
      </c>
      <c r="B647" s="9">
        <v>0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f>MAX(-20,MIN(10,$A647-VLOOKUP(YEAR($A647),'Festive dates'!$A$2:$J$5,8,FALSE)))</f>
        <v>-20</v>
      </c>
      <c r="R647" s="9">
        <f>IF(AND($A647&gt;VLOOKUP(YEAR($A647),'Festive dates'!$A$2:$J$5,2,FALSE),$A647&lt;VLOOKUP(YEAR($A647),'Festive dates'!$A$2:$J$5,3,FALSE)),1,0)</f>
        <v>0</v>
      </c>
      <c r="S647" s="9">
        <f>IF($A647=VLOOKUP(YEAR($A647),'Festive dates'!$A$2:$J$5,2,FALSE),1,0)</f>
        <v>0</v>
      </c>
      <c r="T647" s="9">
        <f>IF($A647=VLOOKUP(YEAR($A647),'Festive dates'!$A$2:$J$5,3,FALSE),1,0)</f>
        <v>0</v>
      </c>
      <c r="U647" s="9">
        <f>IF($A647=VLOOKUP(YEAR($A647),'Festive dates'!$A$2:$J$5,4,FALSE),1,0)</f>
        <v>0</v>
      </c>
      <c r="V647" s="9">
        <f>IF(AND($A647&gt;=VLOOKUP(YEAR($A647),'Festive dates'!$A$2:$J$5,9,FALSE),$A647&lt;=VLOOKUP(YEAR($A647),'Festive dates'!$A$2:$J$5,10,FALSE)),1,0)</f>
        <v>0</v>
      </c>
      <c r="W647" s="9">
        <f>IF($A647=VLOOKUP(YEAR($A647),'Festive dates'!$A$2:$J$5,7,FALSE),1,0)</f>
        <v>0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>
      <c r="A648" s="8">
        <v>45663</v>
      </c>
      <c r="B648" s="9">
        <v>0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f>MAX(-20,MIN(10,$A648-VLOOKUP(YEAR($A648),'Festive dates'!$A$2:$J$5,8,FALSE)))</f>
        <v>-20</v>
      </c>
      <c r="R648" s="9">
        <f>IF(AND($A648&gt;VLOOKUP(YEAR($A648),'Festive dates'!$A$2:$J$5,2,FALSE),$A648&lt;VLOOKUP(YEAR($A648),'Festive dates'!$A$2:$J$5,3,FALSE)),1,0)</f>
        <v>0</v>
      </c>
      <c r="S648" s="9">
        <f>IF($A648=VLOOKUP(YEAR($A648),'Festive dates'!$A$2:$J$5,2,FALSE),1,0)</f>
        <v>0</v>
      </c>
      <c r="T648" s="9">
        <f>IF($A648=VLOOKUP(YEAR($A648),'Festive dates'!$A$2:$J$5,3,FALSE),1,0)</f>
        <v>0</v>
      </c>
      <c r="U648" s="9">
        <f>IF($A648=VLOOKUP(YEAR($A648),'Festive dates'!$A$2:$J$5,4,FALSE),1,0)</f>
        <v>0</v>
      </c>
      <c r="V648" s="9">
        <f>IF(AND($A648&gt;=VLOOKUP(YEAR($A648),'Festive dates'!$A$2:$J$5,9,FALSE),$A648&lt;=VLOOKUP(YEAR($A648),'Festive dates'!$A$2:$J$5,10,FALSE)),1,0)</f>
        <v>0</v>
      </c>
      <c r="W648" s="9">
        <f>IF($A648=VLOOKUP(YEAR($A648),'Festive dates'!$A$2:$J$5,7,FALSE),1,0)</f>
        <v>0</v>
      </c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>
      <c r="A649" s="8">
        <v>45664</v>
      </c>
      <c r="B649" s="9">
        <v>0</v>
      </c>
      <c r="C649" s="9">
        <v>0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f>MAX(-20,MIN(10,$A649-VLOOKUP(YEAR($A649),'Festive dates'!$A$2:$J$5,8,FALSE)))</f>
        <v>-20</v>
      </c>
      <c r="R649" s="9">
        <f>IF(AND($A649&gt;VLOOKUP(YEAR($A649),'Festive dates'!$A$2:$J$5,2,FALSE),$A649&lt;VLOOKUP(YEAR($A649),'Festive dates'!$A$2:$J$5,3,FALSE)),1,0)</f>
        <v>0</v>
      </c>
      <c r="S649" s="9">
        <f>IF($A649=VLOOKUP(YEAR($A649),'Festive dates'!$A$2:$J$5,2,FALSE),1,0)</f>
        <v>0</v>
      </c>
      <c r="T649" s="9">
        <f>IF($A649=VLOOKUP(YEAR($A649),'Festive dates'!$A$2:$J$5,3,FALSE),1,0)</f>
        <v>0</v>
      </c>
      <c r="U649" s="9">
        <f>IF($A649=VLOOKUP(YEAR($A649),'Festive dates'!$A$2:$J$5,4,FALSE),1,0)</f>
        <v>0</v>
      </c>
      <c r="V649" s="9">
        <f>IF(AND($A649&gt;=VLOOKUP(YEAR($A649),'Festive dates'!$A$2:$J$5,9,FALSE),$A649&lt;=VLOOKUP(YEAR($A649),'Festive dates'!$A$2:$J$5,10,FALSE)),1,0)</f>
        <v>0</v>
      </c>
      <c r="W649" s="9">
        <f>IF($A649=VLOOKUP(YEAR($A649),'Festive dates'!$A$2:$J$5,7,FALSE),1,0)</f>
        <v>0</v>
      </c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>
      <c r="A650" s="8">
        <v>45665</v>
      </c>
      <c r="B650" s="9">
        <v>0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f>MAX(-20,MIN(10,$A650-VLOOKUP(YEAR($A650),'Festive dates'!$A$2:$J$5,8,FALSE)))</f>
        <v>-20</v>
      </c>
      <c r="R650" s="9">
        <f>IF(AND($A650&gt;VLOOKUP(YEAR($A650),'Festive dates'!$A$2:$J$5,2,FALSE),$A650&lt;VLOOKUP(YEAR($A650),'Festive dates'!$A$2:$J$5,3,FALSE)),1,0)</f>
        <v>0</v>
      </c>
      <c r="S650" s="9">
        <f>IF($A650=VLOOKUP(YEAR($A650),'Festive dates'!$A$2:$J$5,2,FALSE),1,0)</f>
        <v>0</v>
      </c>
      <c r="T650" s="9">
        <f>IF($A650=VLOOKUP(YEAR($A650),'Festive dates'!$A$2:$J$5,3,FALSE),1,0)</f>
        <v>0</v>
      </c>
      <c r="U650" s="9">
        <f>IF($A650=VLOOKUP(YEAR($A650),'Festive dates'!$A$2:$J$5,4,FALSE),1,0)</f>
        <v>0</v>
      </c>
      <c r="V650" s="9">
        <f>IF(AND($A650&gt;=VLOOKUP(YEAR($A650),'Festive dates'!$A$2:$J$5,9,FALSE),$A650&lt;=VLOOKUP(YEAR($A650),'Festive dates'!$A$2:$J$5,10,FALSE)),1,0)</f>
        <v>0</v>
      </c>
      <c r="W650" s="9">
        <f>IF($A650=VLOOKUP(YEAR($A650),'Festive dates'!$A$2:$J$5,7,FALSE),1,0)</f>
        <v>0</v>
      </c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>
      <c r="A651" s="8">
        <v>45666</v>
      </c>
      <c r="B651" s="9">
        <v>0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1</v>
      </c>
      <c r="Q651" s="9">
        <f>MAX(-20,MIN(10,$A651-VLOOKUP(YEAR($A651),'Festive dates'!$A$2:$J$5,8,FALSE)))</f>
        <v>-20</v>
      </c>
      <c r="R651" s="9">
        <f>IF(AND($A651&gt;VLOOKUP(YEAR($A651),'Festive dates'!$A$2:$J$5,2,FALSE),$A651&lt;VLOOKUP(YEAR($A651),'Festive dates'!$A$2:$J$5,3,FALSE)),1,0)</f>
        <v>0</v>
      </c>
      <c r="S651" s="9">
        <f>IF($A651=VLOOKUP(YEAR($A651),'Festive dates'!$A$2:$J$5,2,FALSE),1,0)</f>
        <v>0</v>
      </c>
      <c r="T651" s="9">
        <f>IF($A651=VLOOKUP(YEAR($A651),'Festive dates'!$A$2:$J$5,3,FALSE),1,0)</f>
        <v>0</v>
      </c>
      <c r="U651" s="9">
        <f>IF($A651=VLOOKUP(YEAR($A651),'Festive dates'!$A$2:$J$5,4,FALSE),1,0)</f>
        <v>0</v>
      </c>
      <c r="V651" s="9">
        <f>IF(AND($A651&gt;=VLOOKUP(YEAR($A651),'Festive dates'!$A$2:$J$5,9,FALSE),$A651&lt;=VLOOKUP(YEAR($A651),'Festive dates'!$A$2:$J$5,10,FALSE)),1,0)</f>
        <v>0</v>
      </c>
      <c r="W651" s="9">
        <f>IF($A651=VLOOKUP(YEAR($A651),'Festive dates'!$A$2:$J$5,7,FALSE),1,0)</f>
        <v>0</v>
      </c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>
      <c r="A652" s="8">
        <v>45667</v>
      </c>
      <c r="B652" s="9">
        <v>0</v>
      </c>
      <c r="C652" s="9">
        <v>0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1</v>
      </c>
      <c r="Q652" s="9">
        <f>MAX(-20,MIN(10,$A652-VLOOKUP(YEAR($A652),'Festive dates'!$A$2:$J$5,8,FALSE)))</f>
        <v>-20</v>
      </c>
      <c r="R652" s="9">
        <f>IF(AND($A652&gt;VLOOKUP(YEAR($A652),'Festive dates'!$A$2:$J$5,2,FALSE),$A652&lt;VLOOKUP(YEAR($A652),'Festive dates'!$A$2:$J$5,3,FALSE)),1,0)</f>
        <v>0</v>
      </c>
      <c r="S652" s="9">
        <f>IF($A652=VLOOKUP(YEAR($A652),'Festive dates'!$A$2:$J$5,2,FALSE),1,0)</f>
        <v>0</v>
      </c>
      <c r="T652" s="9">
        <f>IF($A652=VLOOKUP(YEAR($A652),'Festive dates'!$A$2:$J$5,3,FALSE),1,0)</f>
        <v>0</v>
      </c>
      <c r="U652" s="9">
        <f>IF($A652=VLOOKUP(YEAR($A652),'Festive dates'!$A$2:$J$5,4,FALSE),1,0)</f>
        <v>0</v>
      </c>
      <c r="V652" s="9">
        <f>IF(AND($A652&gt;=VLOOKUP(YEAR($A652),'Festive dates'!$A$2:$J$5,9,FALSE),$A652&lt;=VLOOKUP(YEAR($A652),'Festive dates'!$A$2:$J$5,10,FALSE)),1,0)</f>
        <v>0</v>
      </c>
      <c r="W652" s="9">
        <f>IF($A652=VLOOKUP(YEAR($A652),'Festive dates'!$A$2:$J$5,7,FALSE),1,0)</f>
        <v>0</v>
      </c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>
      <c r="A653" s="8">
        <v>45668</v>
      </c>
      <c r="B653" s="9">
        <v>0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1</v>
      </c>
      <c r="Q653" s="9">
        <f>MAX(-20,MIN(10,$A653-VLOOKUP(YEAR($A653),'Festive dates'!$A$2:$J$5,8,FALSE)))</f>
        <v>-20</v>
      </c>
      <c r="R653" s="9">
        <f>IF(AND($A653&gt;VLOOKUP(YEAR($A653),'Festive dates'!$A$2:$J$5,2,FALSE),$A653&lt;VLOOKUP(YEAR($A653),'Festive dates'!$A$2:$J$5,3,FALSE)),1,0)</f>
        <v>0</v>
      </c>
      <c r="S653" s="9">
        <f>IF($A653=VLOOKUP(YEAR($A653),'Festive dates'!$A$2:$J$5,2,FALSE),1,0)</f>
        <v>0</v>
      </c>
      <c r="T653" s="9">
        <f>IF($A653=VLOOKUP(YEAR($A653),'Festive dates'!$A$2:$J$5,3,FALSE),1,0)</f>
        <v>0</v>
      </c>
      <c r="U653" s="9">
        <f>IF($A653=VLOOKUP(YEAR($A653),'Festive dates'!$A$2:$J$5,4,FALSE),1,0)</f>
        <v>0</v>
      </c>
      <c r="V653" s="9">
        <f>IF(AND($A653&gt;=VLOOKUP(YEAR($A653),'Festive dates'!$A$2:$J$5,9,FALSE),$A653&lt;=VLOOKUP(YEAR($A653),'Festive dates'!$A$2:$J$5,10,FALSE)),1,0)</f>
        <v>0</v>
      </c>
      <c r="W653" s="9">
        <f>IF($A653=VLOOKUP(YEAR($A653),'Festive dates'!$A$2:$J$5,7,FALSE),1,0)</f>
        <v>0</v>
      </c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>
      <c r="A654" s="8">
        <v>45669</v>
      </c>
      <c r="B654" s="9">
        <v>0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1</v>
      </c>
      <c r="Q654" s="9">
        <f>MAX(-20,MIN(10,$A654-VLOOKUP(YEAR($A654),'Festive dates'!$A$2:$J$5,8,FALSE)))</f>
        <v>-20</v>
      </c>
      <c r="R654" s="9">
        <f>IF(AND($A654&gt;VLOOKUP(YEAR($A654),'Festive dates'!$A$2:$J$5,2,FALSE),$A654&lt;VLOOKUP(YEAR($A654),'Festive dates'!$A$2:$J$5,3,FALSE)),1,0)</f>
        <v>0</v>
      </c>
      <c r="S654" s="9">
        <f>IF($A654=VLOOKUP(YEAR($A654),'Festive dates'!$A$2:$J$5,2,FALSE),1,0)</f>
        <v>0</v>
      </c>
      <c r="T654" s="9">
        <f>IF($A654=VLOOKUP(YEAR($A654),'Festive dates'!$A$2:$J$5,3,FALSE),1,0)</f>
        <v>0</v>
      </c>
      <c r="U654" s="9">
        <f>IF($A654=VLOOKUP(YEAR($A654),'Festive dates'!$A$2:$J$5,4,FALSE),1,0)</f>
        <v>0</v>
      </c>
      <c r="V654" s="9">
        <f>IF(AND($A654&gt;=VLOOKUP(YEAR($A654),'Festive dates'!$A$2:$J$5,9,FALSE),$A654&lt;=VLOOKUP(YEAR($A654),'Festive dates'!$A$2:$J$5,10,FALSE)),1,0)</f>
        <v>0</v>
      </c>
      <c r="W654" s="9">
        <f>IF($A654=VLOOKUP(YEAR($A654),'Festive dates'!$A$2:$J$5,7,FALSE),1,0)</f>
        <v>0</v>
      </c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>
      <c r="A655" s="8">
        <v>45670</v>
      </c>
      <c r="B655" s="9">
        <v>0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1</v>
      </c>
      <c r="Q655" s="9">
        <f>MAX(-20,MIN(10,$A655-VLOOKUP(YEAR($A655),'Festive dates'!$A$2:$J$5,8,FALSE)))</f>
        <v>-20</v>
      </c>
      <c r="R655" s="9">
        <f>IF(AND($A655&gt;VLOOKUP(YEAR($A655),'Festive dates'!$A$2:$J$5,2,FALSE),$A655&lt;VLOOKUP(YEAR($A655),'Festive dates'!$A$2:$J$5,3,FALSE)),1,0)</f>
        <v>0</v>
      </c>
      <c r="S655" s="9">
        <f>IF($A655=VLOOKUP(YEAR($A655),'Festive dates'!$A$2:$J$5,2,FALSE),1,0)</f>
        <v>0</v>
      </c>
      <c r="T655" s="9">
        <f>IF($A655=VLOOKUP(YEAR($A655),'Festive dates'!$A$2:$J$5,3,FALSE),1,0)</f>
        <v>0</v>
      </c>
      <c r="U655" s="9">
        <f>IF($A655=VLOOKUP(YEAR($A655),'Festive dates'!$A$2:$J$5,4,FALSE),1,0)</f>
        <v>0</v>
      </c>
      <c r="V655" s="9">
        <f>IF(AND($A655&gt;=VLOOKUP(YEAR($A655),'Festive dates'!$A$2:$J$5,9,FALSE),$A655&lt;=VLOOKUP(YEAR($A655),'Festive dates'!$A$2:$J$5,10,FALSE)),1,0)</f>
        <v>0</v>
      </c>
      <c r="W655" s="9">
        <f>IF($A655=VLOOKUP(YEAR($A655),'Festive dates'!$A$2:$J$5,7,FALSE),1,0)</f>
        <v>0</v>
      </c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>
      <c r="A656" s="8">
        <v>45671</v>
      </c>
      <c r="B656" s="9">
        <v>0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1</v>
      </c>
      <c r="Q656" s="9">
        <f>MAX(-20,MIN(10,$A656-VLOOKUP(YEAR($A656),'Festive dates'!$A$2:$J$5,8,FALSE)))</f>
        <v>-20</v>
      </c>
      <c r="R656" s="9">
        <f>IF(AND($A656&gt;VLOOKUP(YEAR($A656),'Festive dates'!$A$2:$J$5,2,FALSE),$A656&lt;VLOOKUP(YEAR($A656),'Festive dates'!$A$2:$J$5,3,FALSE)),1,0)</f>
        <v>0</v>
      </c>
      <c r="S656" s="9">
        <f>IF($A656=VLOOKUP(YEAR($A656),'Festive dates'!$A$2:$J$5,2,FALSE),1,0)</f>
        <v>0</v>
      </c>
      <c r="T656" s="9">
        <f>IF($A656=VLOOKUP(YEAR($A656),'Festive dates'!$A$2:$J$5,3,FALSE),1,0)</f>
        <v>0</v>
      </c>
      <c r="U656" s="9">
        <f>IF($A656=VLOOKUP(YEAR($A656),'Festive dates'!$A$2:$J$5,4,FALSE),1,0)</f>
        <v>0</v>
      </c>
      <c r="V656" s="9">
        <f>IF(AND($A656&gt;=VLOOKUP(YEAR($A656),'Festive dates'!$A$2:$J$5,9,FALSE),$A656&lt;=VLOOKUP(YEAR($A656),'Festive dates'!$A$2:$J$5,10,FALSE)),1,0)</f>
        <v>0</v>
      </c>
      <c r="W656" s="9">
        <f>IF($A656=VLOOKUP(YEAR($A656),'Festive dates'!$A$2:$J$5,7,FALSE),1,0)</f>
        <v>0</v>
      </c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>
      <c r="A657" s="8">
        <v>45672</v>
      </c>
      <c r="B657" s="9">
        <v>0</v>
      </c>
      <c r="C657" s="9">
        <v>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f>MAX(-20,MIN(10,$A657-VLOOKUP(YEAR($A657),'Festive dates'!$A$2:$J$5,8,FALSE)))</f>
        <v>-20</v>
      </c>
      <c r="R657" s="9">
        <f>IF(AND($A657&gt;VLOOKUP(YEAR($A657),'Festive dates'!$A$2:$J$5,2,FALSE),$A657&lt;VLOOKUP(YEAR($A657),'Festive dates'!$A$2:$J$5,3,FALSE)),1,0)</f>
        <v>0</v>
      </c>
      <c r="S657" s="9">
        <f>IF($A657=VLOOKUP(YEAR($A657),'Festive dates'!$A$2:$J$5,2,FALSE),1,0)</f>
        <v>0</v>
      </c>
      <c r="T657" s="9">
        <f>IF($A657=VLOOKUP(YEAR($A657),'Festive dates'!$A$2:$J$5,3,FALSE),1,0)</f>
        <v>0</v>
      </c>
      <c r="U657" s="9">
        <f>IF($A657=VLOOKUP(YEAR($A657),'Festive dates'!$A$2:$J$5,4,FALSE),1,0)</f>
        <v>0</v>
      </c>
      <c r="V657" s="9">
        <f>IF(AND($A657&gt;=VLOOKUP(YEAR($A657),'Festive dates'!$A$2:$J$5,9,FALSE),$A657&lt;=VLOOKUP(YEAR($A657),'Festive dates'!$A$2:$J$5,10,FALSE)),1,0)</f>
        <v>0</v>
      </c>
      <c r="W657" s="9">
        <f>IF($A657=VLOOKUP(YEAR($A657),'Festive dates'!$A$2:$J$5,7,FALSE),1,0)</f>
        <v>0</v>
      </c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>
      <c r="A658" s="8">
        <v>45673</v>
      </c>
      <c r="B658" s="9">
        <v>0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1</v>
      </c>
      <c r="Q658" s="9">
        <f>MAX(-20,MIN(10,$A658-VLOOKUP(YEAR($A658),'Festive dates'!$A$2:$J$5,8,FALSE)))</f>
        <v>-20</v>
      </c>
      <c r="R658" s="9">
        <f>IF(AND($A658&gt;VLOOKUP(YEAR($A658),'Festive dates'!$A$2:$J$5,2,FALSE),$A658&lt;VLOOKUP(YEAR($A658),'Festive dates'!$A$2:$J$5,3,FALSE)),1,0)</f>
        <v>0</v>
      </c>
      <c r="S658" s="9">
        <f>IF($A658=VLOOKUP(YEAR($A658),'Festive dates'!$A$2:$J$5,2,FALSE),1,0)</f>
        <v>0</v>
      </c>
      <c r="T658" s="9">
        <f>IF($A658=VLOOKUP(YEAR($A658),'Festive dates'!$A$2:$J$5,3,FALSE),1,0)</f>
        <v>0</v>
      </c>
      <c r="U658" s="9">
        <f>IF($A658=VLOOKUP(YEAR($A658),'Festive dates'!$A$2:$J$5,4,FALSE),1,0)</f>
        <v>0</v>
      </c>
      <c r="V658" s="9">
        <f>IF(AND($A658&gt;=VLOOKUP(YEAR($A658),'Festive dates'!$A$2:$J$5,9,FALSE),$A658&lt;=VLOOKUP(YEAR($A658),'Festive dates'!$A$2:$J$5,10,FALSE)),1,0)</f>
        <v>0</v>
      </c>
      <c r="W658" s="9">
        <f>IF($A658=VLOOKUP(YEAR($A658),'Festive dates'!$A$2:$J$5,7,FALSE),1,0)</f>
        <v>0</v>
      </c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>
      <c r="A659" s="8">
        <v>45674</v>
      </c>
      <c r="B659" s="9">
        <v>0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1</v>
      </c>
      <c r="Q659" s="9">
        <f>MAX(-20,MIN(10,$A659-VLOOKUP(YEAR($A659),'Festive dates'!$A$2:$J$5,8,FALSE)))</f>
        <v>-20</v>
      </c>
      <c r="R659" s="9">
        <f>IF(AND($A659&gt;VLOOKUP(YEAR($A659),'Festive dates'!$A$2:$J$5,2,FALSE),$A659&lt;VLOOKUP(YEAR($A659),'Festive dates'!$A$2:$J$5,3,FALSE)),1,0)</f>
        <v>0</v>
      </c>
      <c r="S659" s="9">
        <f>IF($A659=VLOOKUP(YEAR($A659),'Festive dates'!$A$2:$J$5,2,FALSE),1,0)</f>
        <v>0</v>
      </c>
      <c r="T659" s="9">
        <f>IF($A659=VLOOKUP(YEAR($A659),'Festive dates'!$A$2:$J$5,3,FALSE),1,0)</f>
        <v>0</v>
      </c>
      <c r="U659" s="9">
        <f>IF($A659=VLOOKUP(YEAR($A659),'Festive dates'!$A$2:$J$5,4,FALSE),1,0)</f>
        <v>0</v>
      </c>
      <c r="V659" s="9">
        <f>IF(AND($A659&gt;=VLOOKUP(YEAR($A659),'Festive dates'!$A$2:$J$5,9,FALSE),$A659&lt;=VLOOKUP(YEAR($A659),'Festive dates'!$A$2:$J$5,10,FALSE)),1,0)</f>
        <v>0</v>
      </c>
      <c r="W659" s="9">
        <f>IF($A659=VLOOKUP(YEAR($A659),'Festive dates'!$A$2:$J$5,7,FALSE),1,0)</f>
        <v>0</v>
      </c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>
      <c r="A660" s="8">
        <v>45675</v>
      </c>
      <c r="B660" s="9">
        <v>0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1</v>
      </c>
      <c r="Q660" s="9">
        <f>MAX(-20,MIN(10,$A660-VLOOKUP(YEAR($A660),'Festive dates'!$A$2:$J$5,8,FALSE)))</f>
        <v>-20</v>
      </c>
      <c r="R660" s="9">
        <f>IF(AND($A660&gt;VLOOKUP(YEAR($A660),'Festive dates'!$A$2:$J$5,2,FALSE),$A660&lt;VLOOKUP(YEAR($A660),'Festive dates'!$A$2:$J$5,3,FALSE)),1,0)</f>
        <v>0</v>
      </c>
      <c r="S660" s="9">
        <f>IF($A660=VLOOKUP(YEAR($A660),'Festive dates'!$A$2:$J$5,2,FALSE),1,0)</f>
        <v>0</v>
      </c>
      <c r="T660" s="9">
        <f>IF($A660=VLOOKUP(YEAR($A660),'Festive dates'!$A$2:$J$5,3,FALSE),1,0)</f>
        <v>0</v>
      </c>
      <c r="U660" s="9">
        <f>IF($A660=VLOOKUP(YEAR($A660),'Festive dates'!$A$2:$J$5,4,FALSE),1,0)</f>
        <v>0</v>
      </c>
      <c r="V660" s="9">
        <f>IF(AND($A660&gt;=VLOOKUP(YEAR($A660),'Festive dates'!$A$2:$J$5,9,FALSE),$A660&lt;=VLOOKUP(YEAR($A660),'Festive dates'!$A$2:$J$5,10,FALSE)),1,0)</f>
        <v>0</v>
      </c>
      <c r="W660" s="9">
        <f>IF($A660=VLOOKUP(YEAR($A660),'Festive dates'!$A$2:$J$5,7,FALSE),1,0)</f>
        <v>0</v>
      </c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>
      <c r="A661" s="8">
        <v>45676</v>
      </c>
      <c r="B661" s="9">
        <v>0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1</v>
      </c>
      <c r="Q661" s="9">
        <f>MAX(-20,MIN(10,$A661-VLOOKUP(YEAR($A661),'Festive dates'!$A$2:$J$5,8,FALSE)))</f>
        <v>-20</v>
      </c>
      <c r="R661" s="9">
        <f>IF(AND($A661&gt;VLOOKUP(YEAR($A661),'Festive dates'!$A$2:$J$5,2,FALSE),$A661&lt;VLOOKUP(YEAR($A661),'Festive dates'!$A$2:$J$5,3,FALSE)),1,0)</f>
        <v>0</v>
      </c>
      <c r="S661" s="9">
        <f>IF($A661=VLOOKUP(YEAR($A661),'Festive dates'!$A$2:$J$5,2,FALSE),1,0)</f>
        <v>0</v>
      </c>
      <c r="T661" s="9">
        <f>IF($A661=VLOOKUP(YEAR($A661),'Festive dates'!$A$2:$J$5,3,FALSE),1,0)</f>
        <v>0</v>
      </c>
      <c r="U661" s="9">
        <f>IF($A661=VLOOKUP(YEAR($A661),'Festive dates'!$A$2:$J$5,4,FALSE),1,0)</f>
        <v>0</v>
      </c>
      <c r="V661" s="9">
        <f>IF(AND($A661&gt;=VLOOKUP(YEAR($A661),'Festive dates'!$A$2:$J$5,9,FALSE),$A661&lt;=VLOOKUP(YEAR($A661),'Festive dates'!$A$2:$J$5,10,FALSE)),1,0)</f>
        <v>0</v>
      </c>
      <c r="W661" s="9">
        <f>IF($A661=VLOOKUP(YEAR($A661),'Festive dates'!$A$2:$J$5,7,FALSE),1,0)</f>
        <v>0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>
      <c r="A662" s="8">
        <v>45677</v>
      </c>
      <c r="B662" s="9">
        <v>0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1</v>
      </c>
      <c r="Q662" s="9">
        <f>MAX(-20,MIN(10,$A662-VLOOKUP(YEAR($A662),'Festive dates'!$A$2:$J$5,8,FALSE)))</f>
        <v>-20</v>
      </c>
      <c r="R662" s="9">
        <f>IF(AND($A662&gt;VLOOKUP(YEAR($A662),'Festive dates'!$A$2:$J$5,2,FALSE),$A662&lt;VLOOKUP(YEAR($A662),'Festive dates'!$A$2:$J$5,3,FALSE)),1,0)</f>
        <v>0</v>
      </c>
      <c r="S662" s="9">
        <f>IF($A662=VLOOKUP(YEAR($A662),'Festive dates'!$A$2:$J$5,2,FALSE),1,0)</f>
        <v>0</v>
      </c>
      <c r="T662" s="9">
        <f>IF($A662=VLOOKUP(YEAR($A662),'Festive dates'!$A$2:$J$5,3,FALSE),1,0)</f>
        <v>0</v>
      </c>
      <c r="U662" s="9">
        <f>IF($A662=VLOOKUP(YEAR($A662),'Festive dates'!$A$2:$J$5,4,FALSE),1,0)</f>
        <v>0</v>
      </c>
      <c r="V662" s="9">
        <f>IF(AND($A662&gt;=VLOOKUP(YEAR($A662),'Festive dates'!$A$2:$J$5,9,FALSE),$A662&lt;=VLOOKUP(YEAR($A662),'Festive dates'!$A$2:$J$5,10,FALSE)),1,0)</f>
        <v>0</v>
      </c>
      <c r="W662" s="9">
        <f>IF($A662=VLOOKUP(YEAR($A662),'Festive dates'!$A$2:$J$5,7,FALSE),1,0)</f>
        <v>0</v>
      </c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>
      <c r="A663" s="8">
        <v>45678</v>
      </c>
      <c r="B663" s="9">
        <v>0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f>MAX(-20,MIN(10,$A663-VLOOKUP(YEAR($A663),'Festive dates'!$A$2:$J$5,8,FALSE)))</f>
        <v>-20</v>
      </c>
      <c r="R663" s="9">
        <f>IF(AND($A663&gt;VLOOKUP(YEAR($A663),'Festive dates'!$A$2:$J$5,2,FALSE),$A663&lt;VLOOKUP(YEAR($A663),'Festive dates'!$A$2:$J$5,3,FALSE)),1,0)</f>
        <v>0</v>
      </c>
      <c r="S663" s="9">
        <f>IF($A663=VLOOKUP(YEAR($A663),'Festive dates'!$A$2:$J$5,2,FALSE),1,0)</f>
        <v>0</v>
      </c>
      <c r="T663" s="9">
        <f>IF($A663=VLOOKUP(YEAR($A663),'Festive dates'!$A$2:$J$5,3,FALSE),1,0)</f>
        <v>0</v>
      </c>
      <c r="U663" s="9">
        <f>IF($A663=VLOOKUP(YEAR($A663),'Festive dates'!$A$2:$J$5,4,FALSE),1,0)</f>
        <v>0</v>
      </c>
      <c r="V663" s="9">
        <f>IF(AND($A663&gt;=VLOOKUP(YEAR($A663),'Festive dates'!$A$2:$J$5,9,FALSE),$A663&lt;=VLOOKUP(YEAR($A663),'Festive dates'!$A$2:$J$5,10,FALSE)),1,0)</f>
        <v>0</v>
      </c>
      <c r="W663" s="9">
        <f>IF($A663=VLOOKUP(YEAR($A663),'Festive dates'!$A$2:$J$5,7,FALSE),1,0)</f>
        <v>0</v>
      </c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>
      <c r="A664" s="8">
        <v>45679</v>
      </c>
      <c r="B664" s="9">
        <v>0</v>
      </c>
      <c r="C664" s="9">
        <v>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f>MAX(-20,MIN(10,$A664-VLOOKUP(YEAR($A664),'Festive dates'!$A$2:$J$5,8,FALSE)))</f>
        <v>-20</v>
      </c>
      <c r="R664" s="9">
        <f>IF(AND($A664&gt;VLOOKUP(YEAR($A664),'Festive dates'!$A$2:$J$5,2,FALSE),$A664&lt;VLOOKUP(YEAR($A664),'Festive dates'!$A$2:$J$5,3,FALSE)),1,0)</f>
        <v>0</v>
      </c>
      <c r="S664" s="9">
        <f>IF($A664=VLOOKUP(YEAR($A664),'Festive dates'!$A$2:$J$5,2,FALSE),1,0)</f>
        <v>0</v>
      </c>
      <c r="T664" s="9">
        <f>IF($A664=VLOOKUP(YEAR($A664),'Festive dates'!$A$2:$J$5,3,FALSE),1,0)</f>
        <v>0</v>
      </c>
      <c r="U664" s="9">
        <f>IF($A664=VLOOKUP(YEAR($A664),'Festive dates'!$A$2:$J$5,4,FALSE),1,0)</f>
        <v>0</v>
      </c>
      <c r="V664" s="9">
        <f>IF(AND($A664&gt;=VLOOKUP(YEAR($A664),'Festive dates'!$A$2:$J$5,9,FALSE),$A664&lt;=VLOOKUP(YEAR($A664),'Festive dates'!$A$2:$J$5,10,FALSE)),1,0)</f>
        <v>0</v>
      </c>
      <c r="W664" s="9">
        <f>IF($A664=VLOOKUP(YEAR($A664),'Festive dates'!$A$2:$J$5,7,FALSE),1,0)</f>
        <v>0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>
      <c r="A665" s="8">
        <v>45680</v>
      </c>
      <c r="B665" s="9">
        <v>0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f>MAX(-20,MIN(10,$A665-VLOOKUP(YEAR($A665),'Festive dates'!$A$2:$J$5,8,FALSE)))</f>
        <v>-20</v>
      </c>
      <c r="R665" s="9">
        <f>IF(AND($A665&gt;VLOOKUP(YEAR($A665),'Festive dates'!$A$2:$J$5,2,FALSE),$A665&lt;VLOOKUP(YEAR($A665),'Festive dates'!$A$2:$J$5,3,FALSE)),1,0)</f>
        <v>0</v>
      </c>
      <c r="S665" s="9">
        <f>IF($A665=VLOOKUP(YEAR($A665),'Festive dates'!$A$2:$J$5,2,FALSE),1,0)</f>
        <v>0</v>
      </c>
      <c r="T665" s="9">
        <f>IF($A665=VLOOKUP(YEAR($A665),'Festive dates'!$A$2:$J$5,3,FALSE),1,0)</f>
        <v>0</v>
      </c>
      <c r="U665" s="9">
        <f>IF($A665=VLOOKUP(YEAR($A665),'Festive dates'!$A$2:$J$5,4,FALSE),1,0)</f>
        <v>0</v>
      </c>
      <c r="V665" s="9">
        <f>IF(AND($A665&gt;=VLOOKUP(YEAR($A665),'Festive dates'!$A$2:$J$5,9,FALSE),$A665&lt;=VLOOKUP(YEAR($A665),'Festive dates'!$A$2:$J$5,10,FALSE)),1,0)</f>
        <v>0</v>
      </c>
      <c r="W665" s="9">
        <f>IF($A665=VLOOKUP(YEAR($A665),'Festive dates'!$A$2:$J$5,7,FALSE),1,0)</f>
        <v>0</v>
      </c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>
      <c r="A666" s="8">
        <v>45681</v>
      </c>
      <c r="B666" s="9">
        <v>0</v>
      </c>
      <c r="C666" s="9">
        <v>0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f>MAX(-20,MIN(10,$A666-VLOOKUP(YEAR($A666),'Festive dates'!$A$2:$J$5,8,FALSE)))</f>
        <v>-20</v>
      </c>
      <c r="R666" s="9">
        <f>IF(AND($A666&gt;VLOOKUP(YEAR($A666),'Festive dates'!$A$2:$J$5,2,FALSE),$A666&lt;VLOOKUP(YEAR($A666),'Festive dates'!$A$2:$J$5,3,FALSE)),1,0)</f>
        <v>0</v>
      </c>
      <c r="S666" s="9">
        <f>IF($A666=VLOOKUP(YEAR($A666),'Festive dates'!$A$2:$J$5,2,FALSE),1,0)</f>
        <v>0</v>
      </c>
      <c r="T666" s="9">
        <f>IF($A666=VLOOKUP(YEAR($A666),'Festive dates'!$A$2:$J$5,3,FALSE),1,0)</f>
        <v>0</v>
      </c>
      <c r="U666" s="9">
        <f>IF($A666=VLOOKUP(YEAR($A666),'Festive dates'!$A$2:$J$5,4,FALSE),1,0)</f>
        <v>0</v>
      </c>
      <c r="V666" s="9">
        <f>IF(AND($A666&gt;=VLOOKUP(YEAR($A666),'Festive dates'!$A$2:$J$5,9,FALSE),$A666&lt;=VLOOKUP(YEAR($A666),'Festive dates'!$A$2:$J$5,10,FALSE)),1,0)</f>
        <v>0</v>
      </c>
      <c r="W666" s="9">
        <f>IF($A666=VLOOKUP(YEAR($A666),'Festive dates'!$A$2:$J$5,7,FALSE),1,0)</f>
        <v>0</v>
      </c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>
      <c r="A667" s="8">
        <v>45682</v>
      </c>
      <c r="B667" s="9">
        <v>0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f>MAX(-20,MIN(10,$A667-VLOOKUP(YEAR($A667),'Festive dates'!$A$2:$J$5,8,FALSE)))</f>
        <v>-20</v>
      </c>
      <c r="R667" s="9">
        <f>IF(AND($A667&gt;VLOOKUP(YEAR($A667),'Festive dates'!$A$2:$J$5,2,FALSE),$A667&lt;VLOOKUP(YEAR($A667),'Festive dates'!$A$2:$J$5,3,FALSE)),1,0)</f>
        <v>0</v>
      </c>
      <c r="S667" s="9">
        <f>IF($A667=VLOOKUP(YEAR($A667),'Festive dates'!$A$2:$J$5,2,FALSE),1,0)</f>
        <v>0</v>
      </c>
      <c r="T667" s="9">
        <f>IF($A667=VLOOKUP(YEAR($A667),'Festive dates'!$A$2:$J$5,3,FALSE),1,0)</f>
        <v>0</v>
      </c>
      <c r="U667" s="9">
        <f>IF($A667=VLOOKUP(YEAR($A667),'Festive dates'!$A$2:$J$5,4,FALSE),1,0)</f>
        <v>0</v>
      </c>
      <c r="V667" s="9">
        <f>IF(AND($A667&gt;=VLOOKUP(YEAR($A667),'Festive dates'!$A$2:$J$5,9,FALSE),$A667&lt;=VLOOKUP(YEAR($A667),'Festive dates'!$A$2:$J$5,10,FALSE)),1,0)</f>
        <v>0</v>
      </c>
      <c r="W667" s="9">
        <f>IF($A667=VLOOKUP(YEAR($A667),'Festive dates'!$A$2:$J$5,7,FALSE),1,0)</f>
        <v>0</v>
      </c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>
      <c r="A668" s="8">
        <v>45683</v>
      </c>
      <c r="B668" s="9">
        <v>0</v>
      </c>
      <c r="C668" s="9">
        <v>0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1</v>
      </c>
      <c r="Q668" s="9">
        <f>MAX(-20,MIN(10,$A668-VLOOKUP(YEAR($A668),'Festive dates'!$A$2:$J$5,8,FALSE)))</f>
        <v>-20</v>
      </c>
      <c r="R668" s="9">
        <f>IF(AND($A668&gt;VLOOKUP(YEAR($A668),'Festive dates'!$A$2:$J$5,2,FALSE),$A668&lt;VLOOKUP(YEAR($A668),'Festive dates'!$A$2:$J$5,3,FALSE)),1,0)</f>
        <v>0</v>
      </c>
      <c r="S668" s="9">
        <f>IF($A668=VLOOKUP(YEAR($A668),'Festive dates'!$A$2:$J$5,2,FALSE),1,0)</f>
        <v>0</v>
      </c>
      <c r="T668" s="9">
        <f>IF($A668=VLOOKUP(YEAR($A668),'Festive dates'!$A$2:$J$5,3,FALSE),1,0)</f>
        <v>0</v>
      </c>
      <c r="U668" s="9">
        <f>IF($A668=VLOOKUP(YEAR($A668),'Festive dates'!$A$2:$J$5,4,FALSE),1,0)</f>
        <v>0</v>
      </c>
      <c r="V668" s="9">
        <f>IF(AND($A668&gt;=VLOOKUP(YEAR($A668),'Festive dates'!$A$2:$J$5,9,FALSE),$A668&lt;=VLOOKUP(YEAR($A668),'Festive dates'!$A$2:$J$5,10,FALSE)),1,0)</f>
        <v>0</v>
      </c>
      <c r="W668" s="9">
        <f>IF($A668=VLOOKUP(YEAR($A668),'Festive dates'!$A$2:$J$5,7,FALSE),1,0)</f>
        <v>0</v>
      </c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>
      <c r="A669" s="8">
        <v>45684</v>
      </c>
      <c r="B669" s="9">
        <v>0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1</v>
      </c>
      <c r="Q669" s="9">
        <f>MAX(-20,MIN(10,$A669-VLOOKUP(YEAR($A669),'Festive dates'!$A$2:$J$5,8,FALSE)))</f>
        <v>-20</v>
      </c>
      <c r="R669" s="9">
        <f>IF(AND($A669&gt;VLOOKUP(YEAR($A669),'Festive dates'!$A$2:$J$5,2,FALSE),$A669&lt;VLOOKUP(YEAR($A669),'Festive dates'!$A$2:$J$5,3,FALSE)),1,0)</f>
        <v>0</v>
      </c>
      <c r="S669" s="9">
        <f>IF($A669=VLOOKUP(YEAR($A669),'Festive dates'!$A$2:$J$5,2,FALSE),1,0)</f>
        <v>0</v>
      </c>
      <c r="T669" s="9">
        <f>IF($A669=VLOOKUP(YEAR($A669),'Festive dates'!$A$2:$J$5,3,FALSE),1,0)</f>
        <v>0</v>
      </c>
      <c r="U669" s="9">
        <f>IF($A669=VLOOKUP(YEAR($A669),'Festive dates'!$A$2:$J$5,4,FALSE),1,0)</f>
        <v>0</v>
      </c>
      <c r="V669" s="9">
        <f>IF(AND($A669&gt;=VLOOKUP(YEAR($A669),'Festive dates'!$A$2:$J$5,9,FALSE),$A669&lt;=VLOOKUP(YEAR($A669),'Festive dates'!$A$2:$J$5,10,FALSE)),1,0)</f>
        <v>0</v>
      </c>
      <c r="W669" s="9">
        <f>IF($A669=VLOOKUP(YEAR($A669),'Festive dates'!$A$2:$J$5,7,FALSE),1,0)</f>
        <v>0</v>
      </c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>
      <c r="A670" s="8">
        <v>45685</v>
      </c>
      <c r="B670" s="9">
        <v>0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f>MAX(-20,MIN(10,$A670-VLOOKUP(YEAR($A670),'Festive dates'!$A$2:$J$5,8,FALSE)))</f>
        <v>-20</v>
      </c>
      <c r="R670" s="9">
        <f>IF(AND($A670&gt;VLOOKUP(YEAR($A670),'Festive dates'!$A$2:$J$5,2,FALSE),$A670&lt;VLOOKUP(YEAR($A670),'Festive dates'!$A$2:$J$5,3,FALSE)),1,0)</f>
        <v>0</v>
      </c>
      <c r="S670" s="9">
        <f>IF($A670=VLOOKUP(YEAR($A670),'Festive dates'!$A$2:$J$5,2,FALSE),1,0)</f>
        <v>0</v>
      </c>
      <c r="T670" s="9">
        <f>IF($A670=VLOOKUP(YEAR($A670),'Festive dates'!$A$2:$J$5,3,FALSE),1,0)</f>
        <v>0</v>
      </c>
      <c r="U670" s="9">
        <f>IF($A670=VLOOKUP(YEAR($A670),'Festive dates'!$A$2:$J$5,4,FALSE),1,0)</f>
        <v>0</v>
      </c>
      <c r="V670" s="9">
        <f>IF(AND($A670&gt;=VLOOKUP(YEAR($A670),'Festive dates'!$A$2:$J$5,9,FALSE),$A670&lt;=VLOOKUP(YEAR($A670),'Festive dates'!$A$2:$J$5,10,FALSE)),1,0)</f>
        <v>0</v>
      </c>
      <c r="W670" s="9">
        <f>IF($A670=VLOOKUP(YEAR($A670),'Festive dates'!$A$2:$J$5,7,FALSE),1,0)</f>
        <v>0</v>
      </c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>
      <c r="A671" s="8">
        <v>45686</v>
      </c>
      <c r="B671" s="9">
        <v>0</v>
      </c>
      <c r="C671" s="9">
        <v>0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f>MAX(-20,MIN(10,$A671-VLOOKUP(YEAR($A671),'Festive dates'!$A$2:$J$5,8,FALSE)))</f>
        <v>-20</v>
      </c>
      <c r="R671" s="9">
        <f>IF(AND($A671&gt;VLOOKUP(YEAR($A671),'Festive dates'!$A$2:$J$5,2,FALSE),$A671&lt;VLOOKUP(YEAR($A671),'Festive dates'!$A$2:$J$5,3,FALSE)),1,0)</f>
        <v>0</v>
      </c>
      <c r="S671" s="9">
        <f>IF($A671=VLOOKUP(YEAR($A671),'Festive dates'!$A$2:$J$5,2,FALSE),1,0)</f>
        <v>0</v>
      </c>
      <c r="T671" s="9">
        <f>IF($A671=VLOOKUP(YEAR($A671),'Festive dates'!$A$2:$J$5,3,FALSE),1,0)</f>
        <v>0</v>
      </c>
      <c r="U671" s="9">
        <f>IF($A671=VLOOKUP(YEAR($A671),'Festive dates'!$A$2:$J$5,4,FALSE),1,0)</f>
        <v>0</v>
      </c>
      <c r="V671" s="9">
        <f>IF(AND($A671&gt;=VLOOKUP(YEAR($A671),'Festive dates'!$A$2:$J$5,9,FALSE),$A671&lt;=VLOOKUP(YEAR($A671),'Festive dates'!$A$2:$J$5,10,FALSE)),1,0)</f>
        <v>0</v>
      </c>
      <c r="W671" s="9">
        <f>IF($A671=VLOOKUP(YEAR($A671),'Festive dates'!$A$2:$J$5,7,FALSE),1,0)</f>
        <v>0</v>
      </c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>
      <c r="A672" s="8">
        <v>45687</v>
      </c>
      <c r="B672" s="9">
        <v>0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1</v>
      </c>
      <c r="Q672" s="9">
        <f>MAX(-20,MIN(10,$A672-VLOOKUP(YEAR($A672),'Festive dates'!$A$2:$J$5,8,FALSE)))</f>
        <v>-20</v>
      </c>
      <c r="R672" s="9">
        <f>IF(AND($A672&gt;VLOOKUP(YEAR($A672),'Festive dates'!$A$2:$J$5,2,FALSE),$A672&lt;VLOOKUP(YEAR($A672),'Festive dates'!$A$2:$J$5,3,FALSE)),1,0)</f>
        <v>0</v>
      </c>
      <c r="S672" s="9">
        <f>IF($A672=VLOOKUP(YEAR($A672),'Festive dates'!$A$2:$J$5,2,FALSE),1,0)</f>
        <v>0</v>
      </c>
      <c r="T672" s="9">
        <f>IF($A672=VLOOKUP(YEAR($A672),'Festive dates'!$A$2:$J$5,3,FALSE),1,0)</f>
        <v>0</v>
      </c>
      <c r="U672" s="9">
        <f>IF($A672=VLOOKUP(YEAR($A672),'Festive dates'!$A$2:$J$5,4,FALSE),1,0)</f>
        <v>0</v>
      </c>
      <c r="V672" s="9">
        <f>IF(AND($A672&gt;=VLOOKUP(YEAR($A672),'Festive dates'!$A$2:$J$5,9,FALSE),$A672&lt;=VLOOKUP(YEAR($A672),'Festive dates'!$A$2:$J$5,10,FALSE)),1,0)</f>
        <v>0</v>
      </c>
      <c r="W672" s="9">
        <f>IF($A672=VLOOKUP(YEAR($A672),'Festive dates'!$A$2:$J$5,7,FALSE),1,0)</f>
        <v>0</v>
      </c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>
      <c r="A673" s="8">
        <v>45688</v>
      </c>
      <c r="B673" s="9">
        <v>0</v>
      </c>
      <c r="C673" s="9">
        <v>0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1</v>
      </c>
      <c r="Q673" s="9">
        <f>MAX(-20,MIN(10,$A673-VLOOKUP(YEAR($A673),'Festive dates'!$A$2:$J$5,8,FALSE)))</f>
        <v>-20</v>
      </c>
      <c r="R673" s="9">
        <f>IF(AND($A673&gt;VLOOKUP(YEAR($A673),'Festive dates'!$A$2:$J$5,2,FALSE),$A673&lt;VLOOKUP(YEAR($A673),'Festive dates'!$A$2:$J$5,3,FALSE)),1,0)</f>
        <v>0</v>
      </c>
      <c r="S673" s="9">
        <f>IF($A673=VLOOKUP(YEAR($A673),'Festive dates'!$A$2:$J$5,2,FALSE),1,0)</f>
        <v>0</v>
      </c>
      <c r="T673" s="9">
        <f>IF($A673=VLOOKUP(YEAR($A673),'Festive dates'!$A$2:$J$5,3,FALSE),1,0)</f>
        <v>0</v>
      </c>
      <c r="U673" s="9">
        <f>IF($A673=VLOOKUP(YEAR($A673),'Festive dates'!$A$2:$J$5,4,FALSE),1,0)</f>
        <v>0</v>
      </c>
      <c r="V673" s="9">
        <f>IF(AND($A673&gt;=VLOOKUP(YEAR($A673),'Festive dates'!$A$2:$J$5,9,FALSE),$A673&lt;=VLOOKUP(YEAR($A673),'Festive dates'!$A$2:$J$5,10,FALSE)),1,0)</f>
        <v>0</v>
      </c>
      <c r="W673" s="9">
        <f>IF($A673=VLOOKUP(YEAR($A673),'Festive dates'!$A$2:$J$5,7,FALSE),1,0)</f>
        <v>0</v>
      </c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>
      <c r="A674" s="8">
        <v>45689</v>
      </c>
      <c r="B674" s="9">
        <v>0</v>
      </c>
      <c r="C674" s="9">
        <v>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f>MAX(-20,MIN(10,$A674-VLOOKUP(YEAR($A674),'Festive dates'!$A$2:$J$5,8,FALSE)))</f>
        <v>-20</v>
      </c>
      <c r="R674" s="9">
        <f>IF(AND($A674&gt;VLOOKUP(YEAR($A674),'Festive dates'!$A$2:$J$5,2,FALSE),$A674&lt;VLOOKUP(YEAR($A674),'Festive dates'!$A$2:$J$5,3,FALSE)),1,0)</f>
        <v>0</v>
      </c>
      <c r="S674" s="9">
        <f>IF($A674=VLOOKUP(YEAR($A674),'Festive dates'!$A$2:$J$5,2,FALSE),1,0)</f>
        <v>0</v>
      </c>
      <c r="T674" s="9">
        <f>IF($A674=VLOOKUP(YEAR($A674),'Festive dates'!$A$2:$J$5,3,FALSE),1,0)</f>
        <v>0</v>
      </c>
      <c r="U674" s="9">
        <f>IF($A674=VLOOKUP(YEAR($A674),'Festive dates'!$A$2:$J$5,4,FALSE),1,0)</f>
        <v>0</v>
      </c>
      <c r="V674" s="9">
        <f>IF(AND($A674&gt;=VLOOKUP(YEAR($A674),'Festive dates'!$A$2:$J$5,9,FALSE),$A674&lt;=VLOOKUP(YEAR($A674),'Festive dates'!$A$2:$J$5,10,FALSE)),1,0)</f>
        <v>0</v>
      </c>
      <c r="W674" s="9">
        <f>IF($A674=VLOOKUP(YEAR($A674),'Festive dates'!$A$2:$J$5,7,FALSE),1,0)</f>
        <v>0</v>
      </c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>
      <c r="A675" s="8">
        <v>45690</v>
      </c>
      <c r="B675" s="9">
        <v>0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f>MAX(-20,MIN(10,$A675-VLOOKUP(YEAR($A675),'Festive dates'!$A$2:$J$5,8,FALSE)))</f>
        <v>-20</v>
      </c>
      <c r="R675" s="9">
        <f>IF(AND($A675&gt;VLOOKUP(YEAR($A675),'Festive dates'!$A$2:$J$5,2,FALSE),$A675&lt;VLOOKUP(YEAR($A675),'Festive dates'!$A$2:$J$5,3,FALSE)),1,0)</f>
        <v>0</v>
      </c>
      <c r="S675" s="9">
        <f>IF($A675=VLOOKUP(YEAR($A675),'Festive dates'!$A$2:$J$5,2,FALSE),1,0)</f>
        <v>0</v>
      </c>
      <c r="T675" s="9">
        <f>IF($A675=VLOOKUP(YEAR($A675),'Festive dates'!$A$2:$J$5,3,FALSE),1,0)</f>
        <v>0</v>
      </c>
      <c r="U675" s="9">
        <f>IF($A675=VLOOKUP(YEAR($A675),'Festive dates'!$A$2:$J$5,4,FALSE),1,0)</f>
        <v>0</v>
      </c>
      <c r="V675" s="9">
        <f>IF(AND($A675&gt;=VLOOKUP(YEAR($A675),'Festive dates'!$A$2:$J$5,9,FALSE),$A675&lt;=VLOOKUP(YEAR($A675),'Festive dates'!$A$2:$J$5,10,FALSE)),1,0)</f>
        <v>0</v>
      </c>
      <c r="W675" s="9">
        <f>IF($A675=VLOOKUP(YEAR($A675),'Festive dates'!$A$2:$J$5,7,FALSE),1,0)</f>
        <v>0</v>
      </c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>
      <c r="A676" s="8">
        <v>45691</v>
      </c>
      <c r="B676" s="9">
        <v>0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f>MAX(-20,MIN(10,$A676-VLOOKUP(YEAR($A676),'Festive dates'!$A$2:$J$5,8,FALSE)))</f>
        <v>-20</v>
      </c>
      <c r="R676" s="9">
        <f>IF(AND($A676&gt;VLOOKUP(YEAR($A676),'Festive dates'!$A$2:$J$5,2,FALSE),$A676&lt;VLOOKUP(YEAR($A676),'Festive dates'!$A$2:$J$5,3,FALSE)),1,0)</f>
        <v>0</v>
      </c>
      <c r="S676" s="9">
        <f>IF($A676=VLOOKUP(YEAR($A676),'Festive dates'!$A$2:$J$5,2,FALSE),1,0)</f>
        <v>0</v>
      </c>
      <c r="T676" s="9">
        <f>IF($A676=VLOOKUP(YEAR($A676),'Festive dates'!$A$2:$J$5,3,FALSE),1,0)</f>
        <v>0</v>
      </c>
      <c r="U676" s="9">
        <f>IF($A676=VLOOKUP(YEAR($A676),'Festive dates'!$A$2:$J$5,4,FALSE),1,0)</f>
        <v>0</v>
      </c>
      <c r="V676" s="9">
        <f>IF(AND($A676&gt;=VLOOKUP(YEAR($A676),'Festive dates'!$A$2:$J$5,9,FALSE),$A676&lt;=VLOOKUP(YEAR($A676),'Festive dates'!$A$2:$J$5,10,FALSE)),1,0)</f>
        <v>0</v>
      </c>
      <c r="W676" s="9">
        <f>IF($A676=VLOOKUP(YEAR($A676),'Festive dates'!$A$2:$J$5,7,FALSE),1,0)</f>
        <v>0</v>
      </c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>
      <c r="A677" s="8">
        <v>45692</v>
      </c>
      <c r="B677" s="9">
        <v>0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f>MAX(-20,MIN(10,$A677-VLOOKUP(YEAR($A677),'Festive dates'!$A$2:$J$5,8,FALSE)))</f>
        <v>-20</v>
      </c>
      <c r="R677" s="9">
        <f>IF(AND($A677&gt;VLOOKUP(YEAR($A677),'Festive dates'!$A$2:$J$5,2,FALSE),$A677&lt;VLOOKUP(YEAR($A677),'Festive dates'!$A$2:$J$5,3,FALSE)),1,0)</f>
        <v>0</v>
      </c>
      <c r="S677" s="9">
        <f>IF($A677=VLOOKUP(YEAR($A677),'Festive dates'!$A$2:$J$5,2,FALSE),1,0)</f>
        <v>0</v>
      </c>
      <c r="T677" s="9">
        <f>IF($A677=VLOOKUP(YEAR($A677),'Festive dates'!$A$2:$J$5,3,FALSE),1,0)</f>
        <v>0</v>
      </c>
      <c r="U677" s="9">
        <f>IF($A677=VLOOKUP(YEAR($A677),'Festive dates'!$A$2:$J$5,4,FALSE),1,0)</f>
        <v>0</v>
      </c>
      <c r="V677" s="9">
        <f>IF(AND($A677&gt;=VLOOKUP(YEAR($A677),'Festive dates'!$A$2:$J$5,9,FALSE),$A677&lt;=VLOOKUP(YEAR($A677),'Festive dates'!$A$2:$J$5,10,FALSE)),1,0)</f>
        <v>0</v>
      </c>
      <c r="W677" s="9">
        <f>IF($A677=VLOOKUP(YEAR($A677),'Festive dates'!$A$2:$J$5,7,FALSE),1,0)</f>
        <v>0</v>
      </c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>
      <c r="A678" s="8">
        <v>45693</v>
      </c>
      <c r="B678" s="9">
        <v>0</v>
      </c>
      <c r="C678" s="9">
        <v>0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1</v>
      </c>
      <c r="Q678" s="9">
        <f>MAX(-20,MIN(10,$A678-VLOOKUP(YEAR($A678),'Festive dates'!$A$2:$J$5,8,FALSE)))</f>
        <v>-20</v>
      </c>
      <c r="R678" s="9">
        <f>IF(AND($A678&gt;VLOOKUP(YEAR($A678),'Festive dates'!$A$2:$J$5,2,FALSE),$A678&lt;VLOOKUP(YEAR($A678),'Festive dates'!$A$2:$J$5,3,FALSE)),1,0)</f>
        <v>0</v>
      </c>
      <c r="S678" s="9">
        <f>IF($A678=VLOOKUP(YEAR($A678),'Festive dates'!$A$2:$J$5,2,FALSE),1,0)</f>
        <v>0</v>
      </c>
      <c r="T678" s="9">
        <f>IF($A678=VLOOKUP(YEAR($A678),'Festive dates'!$A$2:$J$5,3,FALSE),1,0)</f>
        <v>0</v>
      </c>
      <c r="U678" s="9">
        <f>IF($A678=VLOOKUP(YEAR($A678),'Festive dates'!$A$2:$J$5,4,FALSE),1,0)</f>
        <v>0</v>
      </c>
      <c r="V678" s="9">
        <f>IF(AND($A678&gt;=VLOOKUP(YEAR($A678),'Festive dates'!$A$2:$J$5,9,FALSE),$A678&lt;=VLOOKUP(YEAR($A678),'Festive dates'!$A$2:$J$5,10,FALSE)),1,0)</f>
        <v>0</v>
      </c>
      <c r="W678" s="9">
        <f>IF($A678=VLOOKUP(YEAR($A678),'Festive dates'!$A$2:$J$5,7,FALSE),1,0)</f>
        <v>0</v>
      </c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>
      <c r="A679" s="8">
        <v>45694</v>
      </c>
      <c r="B679" s="9">
        <v>0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1</v>
      </c>
      <c r="Q679" s="9">
        <f>MAX(-20,MIN(10,$A679-VLOOKUP(YEAR($A679),'Festive dates'!$A$2:$J$5,8,FALSE)))</f>
        <v>-20</v>
      </c>
      <c r="R679" s="9">
        <f>IF(AND($A679&gt;VLOOKUP(YEAR($A679),'Festive dates'!$A$2:$J$5,2,FALSE),$A679&lt;VLOOKUP(YEAR($A679),'Festive dates'!$A$2:$J$5,3,FALSE)),1,0)</f>
        <v>0</v>
      </c>
      <c r="S679" s="9">
        <f>IF($A679=VLOOKUP(YEAR($A679),'Festive dates'!$A$2:$J$5,2,FALSE),1,0)</f>
        <v>0</v>
      </c>
      <c r="T679" s="9">
        <f>IF($A679=VLOOKUP(YEAR($A679),'Festive dates'!$A$2:$J$5,3,FALSE),1,0)</f>
        <v>0</v>
      </c>
      <c r="U679" s="9">
        <f>IF($A679=VLOOKUP(YEAR($A679),'Festive dates'!$A$2:$J$5,4,FALSE),1,0)</f>
        <v>0</v>
      </c>
      <c r="V679" s="9">
        <f>IF(AND($A679&gt;=VLOOKUP(YEAR($A679),'Festive dates'!$A$2:$J$5,9,FALSE),$A679&lt;=VLOOKUP(YEAR($A679),'Festive dates'!$A$2:$J$5,10,FALSE)),1,0)</f>
        <v>0</v>
      </c>
      <c r="W679" s="9">
        <f>IF($A679=VLOOKUP(YEAR($A679),'Festive dates'!$A$2:$J$5,7,FALSE),1,0)</f>
        <v>0</v>
      </c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>
      <c r="A680" s="8">
        <v>45695</v>
      </c>
      <c r="B680" s="9">
        <v>0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1</v>
      </c>
      <c r="Q680" s="9">
        <f>MAX(-20,MIN(10,$A680-VLOOKUP(YEAR($A680),'Festive dates'!$A$2:$J$5,8,FALSE)))</f>
        <v>-20</v>
      </c>
      <c r="R680" s="9">
        <f>IF(AND($A680&gt;VLOOKUP(YEAR($A680),'Festive dates'!$A$2:$J$5,2,FALSE),$A680&lt;VLOOKUP(YEAR($A680),'Festive dates'!$A$2:$J$5,3,FALSE)),1,0)</f>
        <v>0</v>
      </c>
      <c r="S680" s="9">
        <f>IF($A680=VLOOKUP(YEAR($A680),'Festive dates'!$A$2:$J$5,2,FALSE),1,0)</f>
        <v>0</v>
      </c>
      <c r="T680" s="9">
        <f>IF($A680=VLOOKUP(YEAR($A680),'Festive dates'!$A$2:$J$5,3,FALSE),1,0)</f>
        <v>0</v>
      </c>
      <c r="U680" s="9">
        <f>IF($A680=VLOOKUP(YEAR($A680),'Festive dates'!$A$2:$J$5,4,FALSE),1,0)</f>
        <v>0</v>
      </c>
      <c r="V680" s="9">
        <f>IF(AND($A680&gt;=VLOOKUP(YEAR($A680),'Festive dates'!$A$2:$J$5,9,FALSE),$A680&lt;=VLOOKUP(YEAR($A680),'Festive dates'!$A$2:$J$5,10,FALSE)),1,0)</f>
        <v>0</v>
      </c>
      <c r="W680" s="9">
        <f>IF($A680=VLOOKUP(YEAR($A680),'Festive dates'!$A$2:$J$5,7,FALSE),1,0)</f>
        <v>0</v>
      </c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>
      <c r="A681" s="8">
        <v>45696</v>
      </c>
      <c r="B681" s="9">
        <v>0</v>
      </c>
      <c r="C681" s="9">
        <v>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1</v>
      </c>
      <c r="Q681" s="9">
        <f>MAX(-20,MIN(10,$A681-VLOOKUP(YEAR($A681),'Festive dates'!$A$2:$J$5,8,FALSE)))</f>
        <v>-20</v>
      </c>
      <c r="R681" s="9">
        <f>IF(AND($A681&gt;VLOOKUP(YEAR($A681),'Festive dates'!$A$2:$J$5,2,FALSE),$A681&lt;VLOOKUP(YEAR($A681),'Festive dates'!$A$2:$J$5,3,FALSE)),1,0)</f>
        <v>0</v>
      </c>
      <c r="S681" s="9">
        <f>IF($A681=VLOOKUP(YEAR($A681),'Festive dates'!$A$2:$J$5,2,FALSE),1,0)</f>
        <v>0</v>
      </c>
      <c r="T681" s="9">
        <f>IF($A681=VLOOKUP(YEAR($A681),'Festive dates'!$A$2:$J$5,3,FALSE),1,0)</f>
        <v>0</v>
      </c>
      <c r="U681" s="9">
        <f>IF($A681=VLOOKUP(YEAR($A681),'Festive dates'!$A$2:$J$5,4,FALSE),1,0)</f>
        <v>0</v>
      </c>
      <c r="V681" s="9">
        <f>IF(AND($A681&gt;=VLOOKUP(YEAR($A681),'Festive dates'!$A$2:$J$5,9,FALSE),$A681&lt;=VLOOKUP(YEAR($A681),'Festive dates'!$A$2:$J$5,10,FALSE)),1,0)</f>
        <v>0</v>
      </c>
      <c r="W681" s="9">
        <f>IF($A681=VLOOKUP(YEAR($A681),'Festive dates'!$A$2:$J$5,7,FALSE),1,0)</f>
        <v>0</v>
      </c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>
      <c r="A682" s="8">
        <v>45697</v>
      </c>
      <c r="B682" s="9">
        <v>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1</v>
      </c>
      <c r="Q682" s="9">
        <f>MAX(-20,MIN(10,$A682-VLOOKUP(YEAR($A682),'Festive dates'!$A$2:$J$5,8,FALSE)))</f>
        <v>-20</v>
      </c>
      <c r="R682" s="9">
        <f>IF(AND($A682&gt;VLOOKUP(YEAR($A682),'Festive dates'!$A$2:$J$5,2,FALSE),$A682&lt;VLOOKUP(YEAR($A682),'Festive dates'!$A$2:$J$5,3,FALSE)),1,0)</f>
        <v>0</v>
      </c>
      <c r="S682" s="9">
        <f>IF($A682=VLOOKUP(YEAR($A682),'Festive dates'!$A$2:$J$5,2,FALSE),1,0)</f>
        <v>0</v>
      </c>
      <c r="T682" s="9">
        <f>IF($A682=VLOOKUP(YEAR($A682),'Festive dates'!$A$2:$J$5,3,FALSE),1,0)</f>
        <v>0</v>
      </c>
      <c r="U682" s="9">
        <f>IF($A682=VLOOKUP(YEAR($A682),'Festive dates'!$A$2:$J$5,4,FALSE),1,0)</f>
        <v>0</v>
      </c>
      <c r="V682" s="9">
        <f>IF(AND($A682&gt;=VLOOKUP(YEAR($A682),'Festive dates'!$A$2:$J$5,9,FALSE),$A682&lt;=VLOOKUP(YEAR($A682),'Festive dates'!$A$2:$J$5,10,FALSE)),1,0)</f>
        <v>0</v>
      </c>
      <c r="W682" s="9">
        <f>IF($A682=VLOOKUP(YEAR($A682),'Festive dates'!$A$2:$J$5,7,FALSE),1,0)</f>
        <v>0</v>
      </c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>
      <c r="A683" s="8">
        <v>45698</v>
      </c>
      <c r="B683" s="9">
        <v>0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f>MAX(-20,MIN(10,$A683-VLOOKUP(YEAR($A683),'Festive dates'!$A$2:$J$5,8,FALSE)))</f>
        <v>-20</v>
      </c>
      <c r="R683" s="9">
        <f>IF(AND($A683&gt;VLOOKUP(YEAR($A683),'Festive dates'!$A$2:$J$5,2,FALSE),$A683&lt;VLOOKUP(YEAR($A683),'Festive dates'!$A$2:$J$5,3,FALSE)),1,0)</f>
        <v>0</v>
      </c>
      <c r="S683" s="9">
        <f>IF($A683=VLOOKUP(YEAR($A683),'Festive dates'!$A$2:$J$5,2,FALSE),1,0)</f>
        <v>0</v>
      </c>
      <c r="T683" s="9">
        <f>IF($A683=VLOOKUP(YEAR($A683),'Festive dates'!$A$2:$J$5,3,FALSE),1,0)</f>
        <v>0</v>
      </c>
      <c r="U683" s="9">
        <f>IF($A683=VLOOKUP(YEAR($A683),'Festive dates'!$A$2:$J$5,4,FALSE),1,0)</f>
        <v>0</v>
      </c>
      <c r="V683" s="9">
        <f>IF(AND($A683&gt;=VLOOKUP(YEAR($A683),'Festive dates'!$A$2:$J$5,9,FALSE),$A683&lt;=VLOOKUP(YEAR($A683),'Festive dates'!$A$2:$J$5,10,FALSE)),1,0)</f>
        <v>0</v>
      </c>
      <c r="W683" s="9">
        <f>IF($A683=VLOOKUP(YEAR($A683),'Festive dates'!$A$2:$J$5,7,FALSE),1,0)</f>
        <v>0</v>
      </c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>
      <c r="A684" s="8">
        <v>45699</v>
      </c>
      <c r="B684" s="9">
        <v>0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1</v>
      </c>
      <c r="Q684" s="9">
        <f>MAX(-20,MIN(10,$A684-VLOOKUP(YEAR($A684),'Festive dates'!$A$2:$J$5,8,FALSE)))</f>
        <v>-20</v>
      </c>
      <c r="R684" s="9">
        <f>IF(AND($A684&gt;VLOOKUP(YEAR($A684),'Festive dates'!$A$2:$J$5,2,FALSE),$A684&lt;VLOOKUP(YEAR($A684),'Festive dates'!$A$2:$J$5,3,FALSE)),1,0)</f>
        <v>0</v>
      </c>
      <c r="S684" s="9">
        <f>IF($A684=VLOOKUP(YEAR($A684),'Festive dates'!$A$2:$J$5,2,FALSE),1,0)</f>
        <v>0</v>
      </c>
      <c r="T684" s="9">
        <f>IF($A684=VLOOKUP(YEAR($A684),'Festive dates'!$A$2:$J$5,3,FALSE),1,0)</f>
        <v>0</v>
      </c>
      <c r="U684" s="9">
        <f>IF($A684=VLOOKUP(YEAR($A684),'Festive dates'!$A$2:$J$5,4,FALSE),1,0)</f>
        <v>0</v>
      </c>
      <c r="V684" s="9">
        <f>IF(AND($A684&gt;=VLOOKUP(YEAR($A684),'Festive dates'!$A$2:$J$5,9,FALSE),$A684&lt;=VLOOKUP(YEAR($A684),'Festive dates'!$A$2:$J$5,10,FALSE)),1,0)</f>
        <v>0</v>
      </c>
      <c r="W684" s="9">
        <f>IF($A684=VLOOKUP(YEAR($A684),'Festive dates'!$A$2:$J$5,7,FALSE),1,0)</f>
        <v>0</v>
      </c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>
      <c r="A685" s="8">
        <v>45700</v>
      </c>
      <c r="B685" s="9">
        <v>0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1</v>
      </c>
      <c r="Q685" s="9">
        <f>MAX(-20,MIN(10,$A685-VLOOKUP(YEAR($A685),'Festive dates'!$A$2:$J$5,8,FALSE)))</f>
        <v>-20</v>
      </c>
      <c r="R685" s="9">
        <f>IF(AND($A685&gt;VLOOKUP(YEAR($A685),'Festive dates'!$A$2:$J$5,2,FALSE),$A685&lt;VLOOKUP(YEAR($A685),'Festive dates'!$A$2:$J$5,3,FALSE)),1,0)</f>
        <v>0</v>
      </c>
      <c r="S685" s="9">
        <f>IF($A685=VLOOKUP(YEAR($A685),'Festive dates'!$A$2:$J$5,2,FALSE),1,0)</f>
        <v>0</v>
      </c>
      <c r="T685" s="9">
        <f>IF($A685=VLOOKUP(YEAR($A685),'Festive dates'!$A$2:$J$5,3,FALSE),1,0)</f>
        <v>0</v>
      </c>
      <c r="U685" s="9">
        <f>IF($A685=VLOOKUP(YEAR($A685),'Festive dates'!$A$2:$J$5,4,FALSE),1,0)</f>
        <v>0</v>
      </c>
      <c r="V685" s="9">
        <f>IF(AND($A685&gt;=VLOOKUP(YEAR($A685),'Festive dates'!$A$2:$J$5,9,FALSE),$A685&lt;=VLOOKUP(YEAR($A685),'Festive dates'!$A$2:$J$5,10,FALSE)),1,0)</f>
        <v>0</v>
      </c>
      <c r="W685" s="9">
        <f>IF($A685=VLOOKUP(YEAR($A685),'Festive dates'!$A$2:$J$5,7,FALSE),1,0)</f>
        <v>0</v>
      </c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>
      <c r="A686" s="8">
        <v>45701</v>
      </c>
      <c r="B686" s="9">
        <v>0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f>MAX(-20,MIN(10,$A686-VLOOKUP(YEAR($A686),'Festive dates'!$A$2:$J$5,8,FALSE)))</f>
        <v>-20</v>
      </c>
      <c r="R686" s="9">
        <f>IF(AND($A686&gt;VLOOKUP(YEAR($A686),'Festive dates'!$A$2:$J$5,2,FALSE),$A686&lt;VLOOKUP(YEAR($A686),'Festive dates'!$A$2:$J$5,3,FALSE)),1,0)</f>
        <v>0</v>
      </c>
      <c r="S686" s="9">
        <f>IF($A686=VLOOKUP(YEAR($A686),'Festive dates'!$A$2:$J$5,2,FALSE),1,0)</f>
        <v>0</v>
      </c>
      <c r="T686" s="9">
        <f>IF($A686=VLOOKUP(YEAR($A686),'Festive dates'!$A$2:$J$5,3,FALSE),1,0)</f>
        <v>0</v>
      </c>
      <c r="U686" s="9">
        <f>IF($A686=VLOOKUP(YEAR($A686),'Festive dates'!$A$2:$J$5,4,FALSE),1,0)</f>
        <v>0</v>
      </c>
      <c r="V686" s="9">
        <f>IF(AND($A686&gt;=VLOOKUP(YEAR($A686),'Festive dates'!$A$2:$J$5,9,FALSE),$A686&lt;=VLOOKUP(YEAR($A686),'Festive dates'!$A$2:$J$5,10,FALSE)),1,0)</f>
        <v>0</v>
      </c>
      <c r="W686" s="9">
        <f>IF($A686=VLOOKUP(YEAR($A686),'Festive dates'!$A$2:$J$5,7,FALSE),1,0)</f>
        <v>0</v>
      </c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>
      <c r="A687" s="8">
        <v>45702</v>
      </c>
      <c r="B687" s="9">
        <v>0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1</v>
      </c>
      <c r="Q687" s="9">
        <f>MAX(-20,MIN(10,$A687-VLOOKUP(YEAR($A687),'Festive dates'!$A$2:$J$5,8,FALSE)))</f>
        <v>-20</v>
      </c>
      <c r="R687" s="9">
        <f>IF(AND($A687&gt;VLOOKUP(YEAR($A687),'Festive dates'!$A$2:$J$5,2,FALSE),$A687&lt;VLOOKUP(YEAR($A687),'Festive dates'!$A$2:$J$5,3,FALSE)),1,0)</f>
        <v>0</v>
      </c>
      <c r="S687" s="9">
        <f>IF($A687=VLOOKUP(YEAR($A687),'Festive dates'!$A$2:$J$5,2,FALSE),1,0)</f>
        <v>0</v>
      </c>
      <c r="T687" s="9">
        <f>IF($A687=VLOOKUP(YEAR($A687),'Festive dates'!$A$2:$J$5,3,FALSE),1,0)</f>
        <v>0</v>
      </c>
      <c r="U687" s="9">
        <f>IF($A687=VLOOKUP(YEAR($A687),'Festive dates'!$A$2:$J$5,4,FALSE),1,0)</f>
        <v>0</v>
      </c>
      <c r="V687" s="9">
        <f>IF(AND($A687&gt;=VLOOKUP(YEAR($A687),'Festive dates'!$A$2:$J$5,9,FALSE),$A687&lt;=VLOOKUP(YEAR($A687),'Festive dates'!$A$2:$J$5,10,FALSE)),1,0)</f>
        <v>0</v>
      </c>
      <c r="W687" s="9">
        <f>IF($A687=VLOOKUP(YEAR($A687),'Festive dates'!$A$2:$J$5,7,FALSE),1,0)</f>
        <v>0</v>
      </c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>
      <c r="A688" s="8">
        <v>45703</v>
      </c>
      <c r="B688" s="9">
        <v>0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f>MAX(-20,MIN(10,$A688-VLOOKUP(YEAR($A688),'Festive dates'!$A$2:$J$5,8,FALSE)))</f>
        <v>-20</v>
      </c>
      <c r="R688" s="9">
        <f>IF(AND($A688&gt;VLOOKUP(YEAR($A688),'Festive dates'!$A$2:$J$5,2,FALSE),$A688&lt;VLOOKUP(YEAR($A688),'Festive dates'!$A$2:$J$5,3,FALSE)),1,0)</f>
        <v>0</v>
      </c>
      <c r="S688" s="9">
        <f>IF($A688=VLOOKUP(YEAR($A688),'Festive dates'!$A$2:$J$5,2,FALSE),1,0)</f>
        <v>0</v>
      </c>
      <c r="T688" s="9">
        <f>IF($A688=VLOOKUP(YEAR($A688),'Festive dates'!$A$2:$J$5,3,FALSE),1,0)</f>
        <v>0</v>
      </c>
      <c r="U688" s="9">
        <f>IF($A688=VLOOKUP(YEAR($A688),'Festive dates'!$A$2:$J$5,4,FALSE),1,0)</f>
        <v>0</v>
      </c>
      <c r="V688" s="9">
        <f>IF(AND($A688&gt;=VLOOKUP(YEAR($A688),'Festive dates'!$A$2:$J$5,9,FALSE),$A688&lt;=VLOOKUP(YEAR($A688),'Festive dates'!$A$2:$J$5,10,FALSE)),1,0)</f>
        <v>0</v>
      </c>
      <c r="W688" s="9">
        <f>IF($A688=VLOOKUP(YEAR($A688),'Festive dates'!$A$2:$J$5,7,FALSE),1,0)</f>
        <v>0</v>
      </c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>
      <c r="A689" s="8">
        <v>45704</v>
      </c>
      <c r="B689" s="9">
        <v>0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1</v>
      </c>
      <c r="Q689" s="9">
        <f>MAX(-20,MIN(10,$A689-VLOOKUP(YEAR($A689),'Festive dates'!$A$2:$J$5,8,FALSE)))</f>
        <v>-20</v>
      </c>
      <c r="R689" s="9">
        <f>IF(AND($A689&gt;VLOOKUP(YEAR($A689),'Festive dates'!$A$2:$J$5,2,FALSE),$A689&lt;VLOOKUP(YEAR($A689),'Festive dates'!$A$2:$J$5,3,FALSE)),1,0)</f>
        <v>0</v>
      </c>
      <c r="S689" s="9">
        <f>IF($A689=VLOOKUP(YEAR($A689),'Festive dates'!$A$2:$J$5,2,FALSE),1,0)</f>
        <v>0</v>
      </c>
      <c r="T689" s="9">
        <f>IF($A689=VLOOKUP(YEAR($A689),'Festive dates'!$A$2:$J$5,3,FALSE),1,0)</f>
        <v>0</v>
      </c>
      <c r="U689" s="9">
        <f>IF($A689=VLOOKUP(YEAR($A689),'Festive dates'!$A$2:$J$5,4,FALSE),1,0)</f>
        <v>0</v>
      </c>
      <c r="V689" s="9">
        <f>IF(AND($A689&gt;=VLOOKUP(YEAR($A689),'Festive dates'!$A$2:$J$5,9,FALSE),$A689&lt;=VLOOKUP(YEAR($A689),'Festive dates'!$A$2:$J$5,10,FALSE)),1,0)</f>
        <v>0</v>
      </c>
      <c r="W689" s="9">
        <f>IF($A689=VLOOKUP(YEAR($A689),'Festive dates'!$A$2:$J$5,7,FALSE),1,0)</f>
        <v>0</v>
      </c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>
      <c r="A690" s="8">
        <v>45705</v>
      </c>
      <c r="B690" s="9">
        <v>0</v>
      </c>
      <c r="C690" s="9">
        <v>0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f>MAX(-20,MIN(10,$A690-VLOOKUP(YEAR($A690),'Festive dates'!$A$2:$J$5,8,FALSE)))</f>
        <v>-20</v>
      </c>
      <c r="R690" s="9">
        <f>IF(AND($A690&gt;VLOOKUP(YEAR($A690),'Festive dates'!$A$2:$J$5,2,FALSE),$A690&lt;VLOOKUP(YEAR($A690),'Festive dates'!$A$2:$J$5,3,FALSE)),1,0)</f>
        <v>0</v>
      </c>
      <c r="S690" s="9">
        <f>IF($A690=VLOOKUP(YEAR($A690),'Festive dates'!$A$2:$J$5,2,FALSE),1,0)</f>
        <v>0</v>
      </c>
      <c r="T690" s="9">
        <f>IF($A690=VLOOKUP(YEAR($A690),'Festive dates'!$A$2:$J$5,3,FALSE),1,0)</f>
        <v>0</v>
      </c>
      <c r="U690" s="9">
        <f>IF($A690=VLOOKUP(YEAR($A690),'Festive dates'!$A$2:$J$5,4,FALSE),1,0)</f>
        <v>0</v>
      </c>
      <c r="V690" s="9">
        <f>IF(AND($A690&gt;=VLOOKUP(YEAR($A690),'Festive dates'!$A$2:$J$5,9,FALSE),$A690&lt;=VLOOKUP(YEAR($A690),'Festive dates'!$A$2:$J$5,10,FALSE)),1,0)</f>
        <v>0</v>
      </c>
      <c r="W690" s="9">
        <f>IF($A690=VLOOKUP(YEAR($A690),'Festive dates'!$A$2:$J$5,7,FALSE),1,0)</f>
        <v>0</v>
      </c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>
      <c r="A691" s="8">
        <v>45706</v>
      </c>
      <c r="B691" s="9">
        <v>0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1</v>
      </c>
      <c r="Q691" s="9">
        <f>MAX(-20,MIN(10,$A691-VLOOKUP(YEAR($A691),'Festive dates'!$A$2:$J$5,8,FALSE)))</f>
        <v>-20</v>
      </c>
      <c r="R691" s="9">
        <f>IF(AND($A691&gt;VLOOKUP(YEAR($A691),'Festive dates'!$A$2:$J$5,2,FALSE),$A691&lt;VLOOKUP(YEAR($A691),'Festive dates'!$A$2:$J$5,3,FALSE)),1,0)</f>
        <v>0</v>
      </c>
      <c r="S691" s="9">
        <f>IF($A691=VLOOKUP(YEAR($A691),'Festive dates'!$A$2:$J$5,2,FALSE),1,0)</f>
        <v>0</v>
      </c>
      <c r="T691" s="9">
        <f>IF($A691=VLOOKUP(YEAR($A691),'Festive dates'!$A$2:$J$5,3,FALSE),1,0)</f>
        <v>0</v>
      </c>
      <c r="U691" s="9">
        <f>IF($A691=VLOOKUP(YEAR($A691),'Festive dates'!$A$2:$J$5,4,FALSE),1,0)</f>
        <v>0</v>
      </c>
      <c r="V691" s="9">
        <f>IF(AND($A691&gt;=VLOOKUP(YEAR($A691),'Festive dates'!$A$2:$J$5,9,FALSE),$A691&lt;=VLOOKUP(YEAR($A691),'Festive dates'!$A$2:$J$5,10,FALSE)),1,0)</f>
        <v>0</v>
      </c>
      <c r="W691" s="9">
        <f>IF($A691=VLOOKUP(YEAR($A691),'Festive dates'!$A$2:$J$5,7,FALSE),1,0)</f>
        <v>0</v>
      </c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>
      <c r="A692" s="8">
        <v>45707</v>
      </c>
      <c r="B692" s="9">
        <v>0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f>MAX(-20,MIN(10,$A692-VLOOKUP(YEAR($A692),'Festive dates'!$A$2:$J$5,8,FALSE)))</f>
        <v>-20</v>
      </c>
      <c r="R692" s="9">
        <f>IF(AND($A692&gt;VLOOKUP(YEAR($A692),'Festive dates'!$A$2:$J$5,2,FALSE),$A692&lt;VLOOKUP(YEAR($A692),'Festive dates'!$A$2:$J$5,3,FALSE)),1,0)</f>
        <v>0</v>
      </c>
      <c r="S692" s="9">
        <f>IF($A692=VLOOKUP(YEAR($A692),'Festive dates'!$A$2:$J$5,2,FALSE),1,0)</f>
        <v>0</v>
      </c>
      <c r="T692" s="9">
        <f>IF($A692=VLOOKUP(YEAR($A692),'Festive dates'!$A$2:$J$5,3,FALSE),1,0)</f>
        <v>0</v>
      </c>
      <c r="U692" s="9">
        <f>IF($A692=VLOOKUP(YEAR($A692),'Festive dates'!$A$2:$J$5,4,FALSE),1,0)</f>
        <v>0</v>
      </c>
      <c r="V692" s="9">
        <f>IF(AND($A692&gt;=VLOOKUP(YEAR($A692),'Festive dates'!$A$2:$J$5,9,FALSE),$A692&lt;=VLOOKUP(YEAR($A692),'Festive dates'!$A$2:$J$5,10,FALSE)),1,0)</f>
        <v>0</v>
      </c>
      <c r="W692" s="9">
        <f>IF($A692=VLOOKUP(YEAR($A692),'Festive dates'!$A$2:$J$5,7,FALSE),1,0)</f>
        <v>0</v>
      </c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>
      <c r="A693" s="8">
        <v>45708</v>
      </c>
      <c r="B693" s="9">
        <v>0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f>MAX(-20,MIN(10,$A693-VLOOKUP(YEAR($A693),'Festive dates'!$A$2:$J$5,8,FALSE)))</f>
        <v>-20</v>
      </c>
      <c r="R693" s="9">
        <f>IF(AND($A693&gt;VLOOKUP(YEAR($A693),'Festive dates'!$A$2:$J$5,2,FALSE),$A693&lt;VLOOKUP(YEAR($A693),'Festive dates'!$A$2:$J$5,3,FALSE)),1,0)</f>
        <v>0</v>
      </c>
      <c r="S693" s="9">
        <f>IF($A693=VLOOKUP(YEAR($A693),'Festive dates'!$A$2:$J$5,2,FALSE),1,0)</f>
        <v>0</v>
      </c>
      <c r="T693" s="9">
        <f>IF($A693=VLOOKUP(YEAR($A693),'Festive dates'!$A$2:$J$5,3,FALSE),1,0)</f>
        <v>0</v>
      </c>
      <c r="U693" s="9">
        <f>IF($A693=VLOOKUP(YEAR($A693),'Festive dates'!$A$2:$J$5,4,FALSE),1,0)</f>
        <v>0</v>
      </c>
      <c r="V693" s="9">
        <f>IF(AND($A693&gt;=VLOOKUP(YEAR($A693),'Festive dates'!$A$2:$J$5,9,FALSE),$A693&lt;=VLOOKUP(YEAR($A693),'Festive dates'!$A$2:$J$5,10,FALSE)),1,0)</f>
        <v>0</v>
      </c>
      <c r="W693" s="9">
        <f>IF($A693=VLOOKUP(YEAR($A693),'Festive dates'!$A$2:$J$5,7,FALSE),1,0)</f>
        <v>0</v>
      </c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>
      <c r="A694" s="8">
        <v>45709</v>
      </c>
      <c r="B694" s="9">
        <v>0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f>MAX(-20,MIN(10,$A694-VLOOKUP(YEAR($A694),'Festive dates'!$A$2:$J$5,8,FALSE)))</f>
        <v>-20</v>
      </c>
      <c r="R694" s="9">
        <f>IF(AND($A694&gt;VLOOKUP(YEAR($A694),'Festive dates'!$A$2:$J$5,2,FALSE),$A694&lt;VLOOKUP(YEAR($A694),'Festive dates'!$A$2:$J$5,3,FALSE)),1,0)</f>
        <v>0</v>
      </c>
      <c r="S694" s="9">
        <f>IF($A694=VLOOKUP(YEAR($A694),'Festive dates'!$A$2:$J$5,2,FALSE),1,0)</f>
        <v>0</v>
      </c>
      <c r="T694" s="9">
        <f>IF($A694=VLOOKUP(YEAR($A694),'Festive dates'!$A$2:$J$5,3,FALSE),1,0)</f>
        <v>0</v>
      </c>
      <c r="U694" s="9">
        <f>IF($A694=VLOOKUP(YEAR($A694),'Festive dates'!$A$2:$J$5,4,FALSE),1,0)</f>
        <v>0</v>
      </c>
      <c r="V694" s="9">
        <f>IF(AND($A694&gt;=VLOOKUP(YEAR($A694),'Festive dates'!$A$2:$J$5,9,FALSE),$A694&lt;=VLOOKUP(YEAR($A694),'Festive dates'!$A$2:$J$5,10,FALSE)),1,0)</f>
        <v>0</v>
      </c>
      <c r="W694" s="9">
        <f>IF($A694=VLOOKUP(YEAR($A694),'Festive dates'!$A$2:$J$5,7,FALSE),1,0)</f>
        <v>0</v>
      </c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>
      <c r="A695" s="8">
        <v>45710</v>
      </c>
      <c r="B695" s="9">
        <v>0</v>
      </c>
      <c r="C695" s="9">
        <v>0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1</v>
      </c>
      <c r="Q695" s="9">
        <f>MAX(-20,MIN(10,$A695-VLOOKUP(YEAR($A695),'Festive dates'!$A$2:$J$5,8,FALSE)))</f>
        <v>-20</v>
      </c>
      <c r="R695" s="9">
        <f>IF(AND($A695&gt;VLOOKUP(YEAR($A695),'Festive dates'!$A$2:$J$5,2,FALSE),$A695&lt;VLOOKUP(YEAR($A695),'Festive dates'!$A$2:$J$5,3,FALSE)),1,0)</f>
        <v>0</v>
      </c>
      <c r="S695" s="9">
        <f>IF($A695=VLOOKUP(YEAR($A695),'Festive dates'!$A$2:$J$5,2,FALSE),1,0)</f>
        <v>0</v>
      </c>
      <c r="T695" s="9">
        <f>IF($A695=VLOOKUP(YEAR($A695),'Festive dates'!$A$2:$J$5,3,FALSE),1,0)</f>
        <v>0</v>
      </c>
      <c r="U695" s="9">
        <f>IF($A695=VLOOKUP(YEAR($A695),'Festive dates'!$A$2:$J$5,4,FALSE),1,0)</f>
        <v>0</v>
      </c>
      <c r="V695" s="9">
        <f>IF(AND($A695&gt;=VLOOKUP(YEAR($A695),'Festive dates'!$A$2:$J$5,9,FALSE),$A695&lt;=VLOOKUP(YEAR($A695),'Festive dates'!$A$2:$J$5,10,FALSE)),1,0)</f>
        <v>0</v>
      </c>
      <c r="W695" s="9">
        <f>IF($A695=VLOOKUP(YEAR($A695),'Festive dates'!$A$2:$J$5,7,FALSE),1,0)</f>
        <v>0</v>
      </c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>
      <c r="A696" s="8">
        <v>45711</v>
      </c>
      <c r="B696" s="9">
        <v>0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1</v>
      </c>
      <c r="Q696" s="9">
        <f>MAX(-20,MIN(10,$A696-VLOOKUP(YEAR($A696),'Festive dates'!$A$2:$J$5,8,FALSE)))</f>
        <v>-20</v>
      </c>
      <c r="R696" s="9">
        <f>IF(AND($A696&gt;VLOOKUP(YEAR($A696),'Festive dates'!$A$2:$J$5,2,FALSE),$A696&lt;VLOOKUP(YEAR($A696),'Festive dates'!$A$2:$J$5,3,FALSE)),1,0)</f>
        <v>0</v>
      </c>
      <c r="S696" s="9">
        <f>IF($A696=VLOOKUP(YEAR($A696),'Festive dates'!$A$2:$J$5,2,FALSE),1,0)</f>
        <v>0</v>
      </c>
      <c r="T696" s="9">
        <f>IF($A696=VLOOKUP(YEAR($A696),'Festive dates'!$A$2:$J$5,3,FALSE),1,0)</f>
        <v>0</v>
      </c>
      <c r="U696" s="9">
        <f>IF($A696=VLOOKUP(YEAR($A696),'Festive dates'!$A$2:$J$5,4,FALSE),1,0)</f>
        <v>0</v>
      </c>
      <c r="V696" s="9">
        <f>IF(AND($A696&gt;=VLOOKUP(YEAR($A696),'Festive dates'!$A$2:$J$5,9,FALSE),$A696&lt;=VLOOKUP(YEAR($A696),'Festive dates'!$A$2:$J$5,10,FALSE)),1,0)</f>
        <v>0</v>
      </c>
      <c r="W696" s="9">
        <f>IF($A696=VLOOKUP(YEAR($A696),'Festive dates'!$A$2:$J$5,7,FALSE),1,0)</f>
        <v>0</v>
      </c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>
      <c r="A697" s="8">
        <v>45712</v>
      </c>
      <c r="B697" s="9">
        <v>0</v>
      </c>
      <c r="C697" s="9">
        <v>0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f>MAX(-20,MIN(10,$A697-VLOOKUP(YEAR($A697),'Festive dates'!$A$2:$J$5,8,FALSE)))</f>
        <v>-20</v>
      </c>
      <c r="R697" s="9">
        <f>IF(AND($A697&gt;VLOOKUP(YEAR($A697),'Festive dates'!$A$2:$J$5,2,FALSE),$A697&lt;VLOOKUP(YEAR($A697),'Festive dates'!$A$2:$J$5,3,FALSE)),1,0)</f>
        <v>0</v>
      </c>
      <c r="S697" s="9">
        <f>IF($A697=VLOOKUP(YEAR($A697),'Festive dates'!$A$2:$J$5,2,FALSE),1,0)</f>
        <v>0</v>
      </c>
      <c r="T697" s="9">
        <f>IF($A697=VLOOKUP(YEAR($A697),'Festive dates'!$A$2:$J$5,3,FALSE),1,0)</f>
        <v>0</v>
      </c>
      <c r="U697" s="9">
        <f>IF($A697=VLOOKUP(YEAR($A697),'Festive dates'!$A$2:$J$5,4,FALSE),1,0)</f>
        <v>0</v>
      </c>
      <c r="V697" s="9">
        <f>IF(AND($A697&gt;=VLOOKUP(YEAR($A697),'Festive dates'!$A$2:$J$5,9,FALSE),$A697&lt;=VLOOKUP(YEAR($A697),'Festive dates'!$A$2:$J$5,10,FALSE)),1,0)</f>
        <v>0</v>
      </c>
      <c r="W697" s="9">
        <f>IF($A697=VLOOKUP(YEAR($A697),'Festive dates'!$A$2:$J$5,7,FALSE),1,0)</f>
        <v>0</v>
      </c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>
      <c r="A698" s="8">
        <v>45713</v>
      </c>
      <c r="B698" s="9">
        <v>0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f>MAX(-20,MIN(10,$A698-VLOOKUP(YEAR($A698),'Festive dates'!$A$2:$J$5,8,FALSE)))</f>
        <v>-20</v>
      </c>
      <c r="R698" s="9">
        <f>IF(AND($A698&gt;VLOOKUP(YEAR($A698),'Festive dates'!$A$2:$J$5,2,FALSE),$A698&lt;VLOOKUP(YEAR($A698),'Festive dates'!$A$2:$J$5,3,FALSE)),1,0)</f>
        <v>0</v>
      </c>
      <c r="S698" s="9">
        <f>IF($A698=VLOOKUP(YEAR($A698),'Festive dates'!$A$2:$J$5,2,FALSE),1,0)</f>
        <v>0</v>
      </c>
      <c r="T698" s="9">
        <f>IF($A698=VLOOKUP(YEAR($A698),'Festive dates'!$A$2:$J$5,3,FALSE),1,0)</f>
        <v>0</v>
      </c>
      <c r="U698" s="9">
        <f>IF($A698=VLOOKUP(YEAR($A698),'Festive dates'!$A$2:$J$5,4,FALSE),1,0)</f>
        <v>0</v>
      </c>
      <c r="V698" s="9">
        <f>IF(AND($A698&gt;=VLOOKUP(YEAR($A698),'Festive dates'!$A$2:$J$5,9,FALSE),$A698&lt;=VLOOKUP(YEAR($A698),'Festive dates'!$A$2:$J$5,10,FALSE)),1,0)</f>
        <v>0</v>
      </c>
      <c r="W698" s="9">
        <f>IF($A698=VLOOKUP(YEAR($A698),'Festive dates'!$A$2:$J$5,7,FALSE),1,0)</f>
        <v>0</v>
      </c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>
      <c r="A699" s="8">
        <v>45714</v>
      </c>
      <c r="B699" s="9">
        <v>0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f>MAX(-20,MIN(10,$A699-VLOOKUP(YEAR($A699),'Festive dates'!$A$2:$J$5,8,FALSE)))</f>
        <v>-20</v>
      </c>
      <c r="R699" s="9">
        <f>IF(AND($A699&gt;VLOOKUP(YEAR($A699),'Festive dates'!$A$2:$J$5,2,FALSE),$A699&lt;VLOOKUP(YEAR($A699),'Festive dates'!$A$2:$J$5,3,FALSE)),1,0)</f>
        <v>0</v>
      </c>
      <c r="S699" s="9">
        <f>IF($A699=VLOOKUP(YEAR($A699),'Festive dates'!$A$2:$J$5,2,FALSE),1,0)</f>
        <v>0</v>
      </c>
      <c r="T699" s="9">
        <f>IF($A699=VLOOKUP(YEAR($A699),'Festive dates'!$A$2:$J$5,3,FALSE),1,0)</f>
        <v>0</v>
      </c>
      <c r="U699" s="9">
        <f>IF($A699=VLOOKUP(YEAR($A699),'Festive dates'!$A$2:$J$5,4,FALSE),1,0)</f>
        <v>0</v>
      </c>
      <c r="V699" s="9">
        <f>IF(AND($A699&gt;=VLOOKUP(YEAR($A699),'Festive dates'!$A$2:$J$5,9,FALSE),$A699&lt;=VLOOKUP(YEAR($A699),'Festive dates'!$A$2:$J$5,10,FALSE)),1,0)</f>
        <v>0</v>
      </c>
      <c r="W699" s="9">
        <f>IF($A699=VLOOKUP(YEAR($A699),'Festive dates'!$A$2:$J$5,7,FALSE),1,0)</f>
        <v>0</v>
      </c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>
      <c r="A700" s="8">
        <v>45715</v>
      </c>
      <c r="B700" s="9">
        <v>0</v>
      </c>
      <c r="C700" s="9">
        <v>0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1</v>
      </c>
      <c r="Q700" s="9">
        <f>MAX(-20,MIN(10,$A700-VLOOKUP(YEAR($A700),'Festive dates'!$A$2:$J$5,8,FALSE)))</f>
        <v>-20</v>
      </c>
      <c r="R700" s="9">
        <f>IF(AND($A700&gt;VLOOKUP(YEAR($A700),'Festive dates'!$A$2:$J$5,2,FALSE),$A700&lt;VLOOKUP(YEAR($A700),'Festive dates'!$A$2:$J$5,3,FALSE)),1,0)</f>
        <v>0</v>
      </c>
      <c r="S700" s="9">
        <f>IF($A700=VLOOKUP(YEAR($A700),'Festive dates'!$A$2:$J$5,2,FALSE),1,0)</f>
        <v>0</v>
      </c>
      <c r="T700" s="9">
        <f>IF($A700=VLOOKUP(YEAR($A700),'Festive dates'!$A$2:$J$5,3,FALSE),1,0)</f>
        <v>0</v>
      </c>
      <c r="U700" s="9">
        <f>IF($A700=VLOOKUP(YEAR($A700),'Festive dates'!$A$2:$J$5,4,FALSE),1,0)</f>
        <v>0</v>
      </c>
      <c r="V700" s="9">
        <f>IF(AND($A700&gt;=VLOOKUP(YEAR($A700),'Festive dates'!$A$2:$J$5,9,FALSE),$A700&lt;=VLOOKUP(YEAR($A700),'Festive dates'!$A$2:$J$5,10,FALSE)),1,0)</f>
        <v>0</v>
      </c>
      <c r="W700" s="9">
        <f>IF($A700=VLOOKUP(YEAR($A700),'Festive dates'!$A$2:$J$5,7,FALSE),1,0)</f>
        <v>0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>
      <c r="A701" s="8">
        <v>45716</v>
      </c>
      <c r="B701" s="9">
        <v>0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1</v>
      </c>
      <c r="Q701" s="9">
        <f>MAX(-20,MIN(10,$A701-VLOOKUP(YEAR($A701),'Festive dates'!$A$2:$J$5,8,FALSE)))</f>
        <v>-20</v>
      </c>
      <c r="R701" s="9">
        <f>IF(AND($A701&gt;VLOOKUP(YEAR($A701),'Festive dates'!$A$2:$J$5,2,FALSE),$A701&lt;VLOOKUP(YEAR($A701),'Festive dates'!$A$2:$J$5,3,FALSE)),1,0)</f>
        <v>0</v>
      </c>
      <c r="S701" s="9">
        <f>IF($A701=VLOOKUP(YEAR($A701),'Festive dates'!$A$2:$J$5,2,FALSE),1,0)</f>
        <v>0</v>
      </c>
      <c r="T701" s="9">
        <f>IF($A701=VLOOKUP(YEAR($A701),'Festive dates'!$A$2:$J$5,3,FALSE),1,0)</f>
        <v>0</v>
      </c>
      <c r="U701" s="9">
        <f>IF($A701=VLOOKUP(YEAR($A701),'Festive dates'!$A$2:$J$5,4,FALSE),1,0)</f>
        <v>0</v>
      </c>
      <c r="V701" s="9">
        <f>IF(AND($A701&gt;=VLOOKUP(YEAR($A701),'Festive dates'!$A$2:$J$5,9,FALSE),$A701&lt;=VLOOKUP(YEAR($A701),'Festive dates'!$A$2:$J$5,10,FALSE)),1,0)</f>
        <v>0</v>
      </c>
      <c r="W701" s="9">
        <f>IF($A701=VLOOKUP(YEAR($A701),'Festive dates'!$A$2:$J$5,7,FALSE),1,0)</f>
        <v>0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>
      <c r="A702" s="8">
        <v>45717</v>
      </c>
      <c r="B702" s="9">
        <v>0</v>
      </c>
      <c r="C702" s="9">
        <v>0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f>MAX(-20,MIN(10,$A702-VLOOKUP(YEAR($A702),'Festive dates'!$A$2:$J$5,8,FALSE)))</f>
        <v>-20</v>
      </c>
      <c r="R702" s="9">
        <f>IF(AND($A702&gt;VLOOKUP(YEAR($A702),'Festive dates'!$A$2:$J$5,2,FALSE),$A702&lt;VLOOKUP(YEAR($A702),'Festive dates'!$A$2:$J$5,3,FALSE)),1,0)</f>
        <v>0</v>
      </c>
      <c r="S702" s="9">
        <f>IF($A702=VLOOKUP(YEAR($A702),'Festive dates'!$A$2:$J$5,2,FALSE),1,0)</f>
        <v>0</v>
      </c>
      <c r="T702" s="9">
        <f>IF($A702=VLOOKUP(YEAR($A702),'Festive dates'!$A$2:$J$5,3,FALSE),1,0)</f>
        <v>0</v>
      </c>
      <c r="U702" s="9">
        <f>IF($A702=VLOOKUP(YEAR($A702),'Festive dates'!$A$2:$J$5,4,FALSE),1,0)</f>
        <v>0</v>
      </c>
      <c r="V702" s="9">
        <f>IF(AND($A702&gt;=VLOOKUP(YEAR($A702),'Festive dates'!$A$2:$J$5,9,FALSE),$A702&lt;=VLOOKUP(YEAR($A702),'Festive dates'!$A$2:$J$5,10,FALSE)),1,0)</f>
        <v>0</v>
      </c>
      <c r="W702" s="9">
        <f>IF($A702=VLOOKUP(YEAR($A702),'Festive dates'!$A$2:$J$5,7,FALSE),1,0)</f>
        <v>0</v>
      </c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>
      <c r="A703" s="8">
        <v>45718</v>
      </c>
      <c r="B703" s="9">
        <v>0</v>
      </c>
      <c r="C703" s="9">
        <v>0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f>MAX(-20,MIN(10,$A703-VLOOKUP(YEAR($A703),'Festive dates'!$A$2:$J$5,8,FALSE)))</f>
        <v>-20</v>
      </c>
      <c r="R703" s="9">
        <f>IF(AND($A703&gt;VLOOKUP(YEAR($A703),'Festive dates'!$A$2:$J$5,2,FALSE),$A703&lt;VLOOKUP(YEAR($A703),'Festive dates'!$A$2:$J$5,3,FALSE)),1,0)</f>
        <v>0</v>
      </c>
      <c r="S703" s="9">
        <f>IF($A703=VLOOKUP(YEAR($A703),'Festive dates'!$A$2:$J$5,2,FALSE),1,0)</f>
        <v>0</v>
      </c>
      <c r="T703" s="9">
        <f>IF($A703=VLOOKUP(YEAR($A703),'Festive dates'!$A$2:$J$5,3,FALSE),1,0)</f>
        <v>0</v>
      </c>
      <c r="U703" s="9">
        <f>IF($A703=VLOOKUP(YEAR($A703),'Festive dates'!$A$2:$J$5,4,FALSE),1,0)</f>
        <v>0</v>
      </c>
      <c r="V703" s="9">
        <f>IF(AND($A703&gt;=VLOOKUP(YEAR($A703),'Festive dates'!$A$2:$J$5,9,FALSE),$A703&lt;=VLOOKUP(YEAR($A703),'Festive dates'!$A$2:$J$5,10,FALSE)),1,0)</f>
        <v>0</v>
      </c>
      <c r="W703" s="9">
        <f>IF($A703=VLOOKUP(YEAR($A703),'Festive dates'!$A$2:$J$5,7,FALSE),1,0)</f>
        <v>0</v>
      </c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>
      <c r="A704" s="8">
        <v>45719</v>
      </c>
      <c r="B704" s="9">
        <v>0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f>MAX(-20,MIN(10,$A704-VLOOKUP(YEAR($A704),'Festive dates'!$A$2:$J$5,8,FALSE)))</f>
        <v>-20</v>
      </c>
      <c r="R704" s="9">
        <f>IF(AND($A704&gt;VLOOKUP(YEAR($A704),'Festive dates'!$A$2:$J$5,2,FALSE),$A704&lt;VLOOKUP(YEAR($A704),'Festive dates'!$A$2:$J$5,3,FALSE)),1,0)</f>
        <v>0</v>
      </c>
      <c r="S704" s="9">
        <f>IF($A704=VLOOKUP(YEAR($A704),'Festive dates'!$A$2:$J$5,2,FALSE),1,0)</f>
        <v>0</v>
      </c>
      <c r="T704" s="9">
        <f>IF($A704=VLOOKUP(YEAR($A704),'Festive dates'!$A$2:$J$5,3,FALSE),1,0)</f>
        <v>0</v>
      </c>
      <c r="U704" s="9">
        <f>IF($A704=VLOOKUP(YEAR($A704),'Festive dates'!$A$2:$J$5,4,FALSE),1,0)</f>
        <v>0</v>
      </c>
      <c r="V704" s="9">
        <f>IF(AND($A704&gt;=VLOOKUP(YEAR($A704),'Festive dates'!$A$2:$J$5,9,FALSE),$A704&lt;=VLOOKUP(YEAR($A704),'Festive dates'!$A$2:$J$5,10,FALSE)),1,0)</f>
        <v>0</v>
      </c>
      <c r="W704" s="9">
        <f>IF($A704=VLOOKUP(YEAR($A704),'Festive dates'!$A$2:$J$5,7,FALSE),1,0)</f>
        <v>0</v>
      </c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>
      <c r="A705" s="8">
        <v>45720</v>
      </c>
      <c r="B705" s="9">
        <v>0</v>
      </c>
      <c r="C705" s="9">
        <v>0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f>MAX(-20,MIN(10,$A705-VLOOKUP(YEAR($A705),'Festive dates'!$A$2:$J$5,8,FALSE)))</f>
        <v>-20</v>
      </c>
      <c r="R705" s="9">
        <f>IF(AND($A705&gt;VLOOKUP(YEAR($A705),'Festive dates'!$A$2:$J$5,2,FALSE),$A705&lt;VLOOKUP(YEAR($A705),'Festive dates'!$A$2:$J$5,3,FALSE)),1,0)</f>
        <v>0</v>
      </c>
      <c r="S705" s="9">
        <f>IF($A705=VLOOKUP(YEAR($A705),'Festive dates'!$A$2:$J$5,2,FALSE),1,0)</f>
        <v>0</v>
      </c>
      <c r="T705" s="9">
        <f>IF($A705=VLOOKUP(YEAR($A705),'Festive dates'!$A$2:$J$5,3,FALSE),1,0)</f>
        <v>0</v>
      </c>
      <c r="U705" s="9">
        <f>IF($A705=VLOOKUP(YEAR($A705),'Festive dates'!$A$2:$J$5,4,FALSE),1,0)</f>
        <v>0</v>
      </c>
      <c r="V705" s="9">
        <f>IF(AND($A705&gt;=VLOOKUP(YEAR($A705),'Festive dates'!$A$2:$J$5,9,FALSE),$A705&lt;=VLOOKUP(YEAR($A705),'Festive dates'!$A$2:$J$5,10,FALSE)),1,0)</f>
        <v>0</v>
      </c>
      <c r="W705" s="9">
        <f>IF($A705=VLOOKUP(YEAR($A705),'Festive dates'!$A$2:$J$5,7,FALSE),1,0)</f>
        <v>0</v>
      </c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>
      <c r="A706" s="8">
        <v>45721</v>
      </c>
      <c r="B706" s="9">
        <v>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1</v>
      </c>
      <c r="Q706" s="9">
        <f>MAX(-20,MIN(10,$A706-VLOOKUP(YEAR($A706),'Festive dates'!$A$2:$J$5,8,FALSE)))</f>
        <v>-20</v>
      </c>
      <c r="R706" s="9">
        <f>IF(AND($A706&gt;VLOOKUP(YEAR($A706),'Festive dates'!$A$2:$J$5,2,FALSE),$A706&lt;VLOOKUP(YEAR($A706),'Festive dates'!$A$2:$J$5,3,FALSE)),1,0)</f>
        <v>0</v>
      </c>
      <c r="S706" s="9">
        <f>IF($A706=VLOOKUP(YEAR($A706),'Festive dates'!$A$2:$J$5,2,FALSE),1,0)</f>
        <v>0</v>
      </c>
      <c r="T706" s="9">
        <f>IF($A706=VLOOKUP(YEAR($A706),'Festive dates'!$A$2:$J$5,3,FALSE),1,0)</f>
        <v>0</v>
      </c>
      <c r="U706" s="9">
        <f>IF($A706=VLOOKUP(YEAR($A706),'Festive dates'!$A$2:$J$5,4,FALSE),1,0)</f>
        <v>0</v>
      </c>
      <c r="V706" s="9">
        <f>IF(AND($A706&gt;=VLOOKUP(YEAR($A706),'Festive dates'!$A$2:$J$5,9,FALSE),$A706&lt;=VLOOKUP(YEAR($A706),'Festive dates'!$A$2:$J$5,10,FALSE)),1,0)</f>
        <v>0</v>
      </c>
      <c r="W706" s="9">
        <f>IF($A706=VLOOKUP(YEAR($A706),'Festive dates'!$A$2:$J$5,7,FALSE),1,0)</f>
        <v>0</v>
      </c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>
      <c r="A707" s="8">
        <v>45722</v>
      </c>
      <c r="B707" s="9">
        <v>0</v>
      </c>
      <c r="C707" s="9">
        <v>0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f>MAX(-20,MIN(10,$A707-VLOOKUP(YEAR($A707),'Festive dates'!$A$2:$J$5,8,FALSE)))</f>
        <v>-20</v>
      </c>
      <c r="R707" s="9">
        <f>IF(AND($A707&gt;VLOOKUP(YEAR($A707),'Festive dates'!$A$2:$J$5,2,FALSE),$A707&lt;VLOOKUP(YEAR($A707),'Festive dates'!$A$2:$J$5,3,FALSE)),1,0)</f>
        <v>0</v>
      </c>
      <c r="S707" s="9">
        <f>IF($A707=VLOOKUP(YEAR($A707),'Festive dates'!$A$2:$J$5,2,FALSE),1,0)</f>
        <v>0</v>
      </c>
      <c r="T707" s="9">
        <f>IF($A707=VLOOKUP(YEAR($A707),'Festive dates'!$A$2:$J$5,3,FALSE),1,0)</f>
        <v>0</v>
      </c>
      <c r="U707" s="9">
        <f>IF($A707=VLOOKUP(YEAR($A707),'Festive dates'!$A$2:$J$5,4,FALSE),1,0)</f>
        <v>0</v>
      </c>
      <c r="V707" s="9">
        <f>IF(AND($A707&gt;=VLOOKUP(YEAR($A707),'Festive dates'!$A$2:$J$5,9,FALSE),$A707&lt;=VLOOKUP(YEAR($A707),'Festive dates'!$A$2:$J$5,10,FALSE)),1,0)</f>
        <v>0</v>
      </c>
      <c r="W707" s="9">
        <f>IF($A707=VLOOKUP(YEAR($A707),'Festive dates'!$A$2:$J$5,7,FALSE),1,0)</f>
        <v>0</v>
      </c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>
      <c r="A708" s="8">
        <v>45723</v>
      </c>
      <c r="B708" s="9">
        <v>0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f>MAX(-20,MIN(10,$A708-VLOOKUP(YEAR($A708),'Festive dates'!$A$2:$J$5,8,FALSE)))</f>
        <v>-20</v>
      </c>
      <c r="R708" s="9">
        <f>IF(AND($A708&gt;VLOOKUP(YEAR($A708),'Festive dates'!$A$2:$J$5,2,FALSE),$A708&lt;VLOOKUP(YEAR($A708),'Festive dates'!$A$2:$J$5,3,FALSE)),1,0)</f>
        <v>0</v>
      </c>
      <c r="S708" s="9">
        <f>IF($A708=VLOOKUP(YEAR($A708),'Festive dates'!$A$2:$J$5,2,FALSE),1,0)</f>
        <v>0</v>
      </c>
      <c r="T708" s="9">
        <f>IF($A708=VLOOKUP(YEAR($A708),'Festive dates'!$A$2:$J$5,3,FALSE),1,0)</f>
        <v>0</v>
      </c>
      <c r="U708" s="9">
        <f>IF($A708=VLOOKUP(YEAR($A708),'Festive dates'!$A$2:$J$5,4,FALSE),1,0)</f>
        <v>0</v>
      </c>
      <c r="V708" s="9">
        <f>IF(AND($A708&gt;=VLOOKUP(YEAR($A708),'Festive dates'!$A$2:$J$5,9,FALSE),$A708&lt;=VLOOKUP(YEAR($A708),'Festive dates'!$A$2:$J$5,10,FALSE)),1,0)</f>
        <v>0</v>
      </c>
      <c r="W708" s="9">
        <f>IF($A708=VLOOKUP(YEAR($A708),'Festive dates'!$A$2:$J$5,7,FALSE),1,0)</f>
        <v>0</v>
      </c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>
      <c r="A709" s="8">
        <v>45724</v>
      </c>
      <c r="B709" s="9">
        <v>0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f>MAX(-20,MIN(10,$A709-VLOOKUP(YEAR($A709),'Festive dates'!$A$2:$J$5,8,FALSE)))</f>
        <v>-20</v>
      </c>
      <c r="R709" s="9">
        <f>IF(AND($A709&gt;VLOOKUP(YEAR($A709),'Festive dates'!$A$2:$J$5,2,FALSE),$A709&lt;VLOOKUP(YEAR($A709),'Festive dates'!$A$2:$J$5,3,FALSE)),1,0)</f>
        <v>0</v>
      </c>
      <c r="S709" s="9">
        <f>IF($A709=VLOOKUP(YEAR($A709),'Festive dates'!$A$2:$J$5,2,FALSE),1,0)</f>
        <v>0</v>
      </c>
      <c r="T709" s="9">
        <f>IF($A709=VLOOKUP(YEAR($A709),'Festive dates'!$A$2:$J$5,3,FALSE),1,0)</f>
        <v>0</v>
      </c>
      <c r="U709" s="9">
        <f>IF($A709=VLOOKUP(YEAR($A709),'Festive dates'!$A$2:$J$5,4,FALSE),1,0)</f>
        <v>0</v>
      </c>
      <c r="V709" s="9">
        <f>IF(AND($A709&gt;=VLOOKUP(YEAR($A709),'Festive dates'!$A$2:$J$5,9,FALSE),$A709&lt;=VLOOKUP(YEAR($A709),'Festive dates'!$A$2:$J$5,10,FALSE)),1,0)</f>
        <v>0</v>
      </c>
      <c r="W709" s="9">
        <f>IF($A709=VLOOKUP(YEAR($A709),'Festive dates'!$A$2:$J$5,7,FALSE),1,0)</f>
        <v>0</v>
      </c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>
      <c r="A710" s="8">
        <v>45725</v>
      </c>
      <c r="B710" s="9">
        <v>0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f>MAX(-20,MIN(10,$A710-VLOOKUP(YEAR($A710),'Festive dates'!$A$2:$J$5,8,FALSE)))</f>
        <v>-20</v>
      </c>
      <c r="R710" s="9">
        <f>IF(AND($A710&gt;VLOOKUP(YEAR($A710),'Festive dates'!$A$2:$J$5,2,FALSE),$A710&lt;VLOOKUP(YEAR($A710),'Festive dates'!$A$2:$J$5,3,FALSE)),1,0)</f>
        <v>0</v>
      </c>
      <c r="S710" s="9">
        <f>IF($A710=VLOOKUP(YEAR($A710),'Festive dates'!$A$2:$J$5,2,FALSE),1,0)</f>
        <v>0</v>
      </c>
      <c r="T710" s="9">
        <f>IF($A710=VLOOKUP(YEAR($A710),'Festive dates'!$A$2:$J$5,3,FALSE),1,0)</f>
        <v>0</v>
      </c>
      <c r="U710" s="9">
        <f>IF($A710=VLOOKUP(YEAR($A710),'Festive dates'!$A$2:$J$5,4,FALSE),1,0)</f>
        <v>0</v>
      </c>
      <c r="V710" s="9">
        <f>IF(AND($A710&gt;=VLOOKUP(YEAR($A710),'Festive dates'!$A$2:$J$5,9,FALSE),$A710&lt;=VLOOKUP(YEAR($A710),'Festive dates'!$A$2:$J$5,10,FALSE)),1,0)</f>
        <v>0</v>
      </c>
      <c r="W710" s="9">
        <f>IF($A710=VLOOKUP(YEAR($A710),'Festive dates'!$A$2:$J$5,7,FALSE),1,0)</f>
        <v>0</v>
      </c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>
      <c r="A711" s="8">
        <v>45726</v>
      </c>
      <c r="B711" s="9">
        <v>0</v>
      </c>
      <c r="C711" s="9">
        <v>0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f>MAX(-20,MIN(10,$A711-VLOOKUP(YEAR($A711),'Festive dates'!$A$2:$J$5,8,FALSE)))</f>
        <v>-20</v>
      </c>
      <c r="R711" s="9">
        <f>IF(AND($A711&gt;VLOOKUP(YEAR($A711),'Festive dates'!$A$2:$J$5,2,FALSE),$A711&lt;VLOOKUP(YEAR($A711),'Festive dates'!$A$2:$J$5,3,FALSE)),1,0)</f>
        <v>0</v>
      </c>
      <c r="S711" s="9">
        <f>IF($A711=VLOOKUP(YEAR($A711),'Festive dates'!$A$2:$J$5,2,FALSE),1,0)</f>
        <v>0</v>
      </c>
      <c r="T711" s="9">
        <f>IF($A711=VLOOKUP(YEAR($A711),'Festive dates'!$A$2:$J$5,3,FALSE),1,0)</f>
        <v>0</v>
      </c>
      <c r="U711" s="9">
        <f>IF($A711=VLOOKUP(YEAR($A711),'Festive dates'!$A$2:$J$5,4,FALSE),1,0)</f>
        <v>0</v>
      </c>
      <c r="V711" s="9">
        <f>IF(AND($A711&gt;=VLOOKUP(YEAR($A711),'Festive dates'!$A$2:$J$5,9,FALSE),$A711&lt;=VLOOKUP(YEAR($A711),'Festive dates'!$A$2:$J$5,10,FALSE)),1,0)</f>
        <v>0</v>
      </c>
      <c r="W711" s="9">
        <f>IF($A711=VLOOKUP(YEAR($A711),'Festive dates'!$A$2:$J$5,7,FALSE),1,0)</f>
        <v>0</v>
      </c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>
      <c r="A712" s="8">
        <v>45727</v>
      </c>
      <c r="B712" s="9">
        <v>0</v>
      </c>
      <c r="C712" s="9">
        <v>0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f>MAX(-20,MIN(10,$A712-VLOOKUP(YEAR($A712),'Festive dates'!$A$2:$J$5,8,FALSE)))</f>
        <v>-20</v>
      </c>
      <c r="R712" s="9">
        <f>IF(AND($A712&gt;VLOOKUP(YEAR($A712),'Festive dates'!$A$2:$J$5,2,FALSE),$A712&lt;VLOOKUP(YEAR($A712),'Festive dates'!$A$2:$J$5,3,FALSE)),1,0)</f>
        <v>0</v>
      </c>
      <c r="S712" s="9">
        <f>IF($A712=VLOOKUP(YEAR($A712),'Festive dates'!$A$2:$J$5,2,FALSE),1,0)</f>
        <v>0</v>
      </c>
      <c r="T712" s="9">
        <f>IF($A712=VLOOKUP(YEAR($A712),'Festive dates'!$A$2:$J$5,3,FALSE),1,0)</f>
        <v>0</v>
      </c>
      <c r="U712" s="9">
        <f>IF($A712=VLOOKUP(YEAR($A712),'Festive dates'!$A$2:$J$5,4,FALSE),1,0)</f>
        <v>0</v>
      </c>
      <c r="V712" s="9">
        <f>IF(AND($A712&gt;=VLOOKUP(YEAR($A712),'Festive dates'!$A$2:$J$5,9,FALSE),$A712&lt;=VLOOKUP(YEAR($A712),'Festive dates'!$A$2:$J$5,10,FALSE)),1,0)</f>
        <v>0</v>
      </c>
      <c r="W712" s="9">
        <f>IF($A712=VLOOKUP(YEAR($A712),'Festive dates'!$A$2:$J$5,7,FALSE),1,0)</f>
        <v>0</v>
      </c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>
      <c r="A713" s="8">
        <v>45728</v>
      </c>
      <c r="B713" s="9">
        <v>0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f>MAX(-20,MIN(10,$A713-VLOOKUP(YEAR($A713),'Festive dates'!$A$2:$J$5,8,FALSE)))</f>
        <v>-20</v>
      </c>
      <c r="R713" s="9">
        <f>IF(AND($A713&gt;VLOOKUP(YEAR($A713),'Festive dates'!$A$2:$J$5,2,FALSE),$A713&lt;VLOOKUP(YEAR($A713),'Festive dates'!$A$2:$J$5,3,FALSE)),1,0)</f>
        <v>0</v>
      </c>
      <c r="S713" s="9">
        <f>IF($A713=VLOOKUP(YEAR($A713),'Festive dates'!$A$2:$J$5,2,FALSE),1,0)</f>
        <v>0</v>
      </c>
      <c r="T713" s="9">
        <f>IF($A713=VLOOKUP(YEAR($A713),'Festive dates'!$A$2:$J$5,3,FALSE),1,0)</f>
        <v>0</v>
      </c>
      <c r="U713" s="9">
        <f>IF($A713=VLOOKUP(YEAR($A713),'Festive dates'!$A$2:$J$5,4,FALSE),1,0)</f>
        <v>0</v>
      </c>
      <c r="V713" s="9">
        <f>IF(AND($A713&gt;=VLOOKUP(YEAR($A713),'Festive dates'!$A$2:$J$5,9,FALSE),$A713&lt;=VLOOKUP(YEAR($A713),'Festive dates'!$A$2:$J$5,10,FALSE)),1,0)</f>
        <v>0</v>
      </c>
      <c r="W713" s="9">
        <f>IF($A713=VLOOKUP(YEAR($A713),'Festive dates'!$A$2:$J$5,7,FALSE),1,0)</f>
        <v>0</v>
      </c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>
      <c r="A714" s="8">
        <v>45729</v>
      </c>
      <c r="B714" s="9">
        <v>0</v>
      </c>
      <c r="C714" s="9">
        <v>0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f>MAX(-20,MIN(10,$A714-VLOOKUP(YEAR($A714),'Festive dates'!$A$2:$J$5,8,FALSE)))</f>
        <v>-20</v>
      </c>
      <c r="R714" s="9">
        <f>IF(AND($A714&gt;VLOOKUP(YEAR($A714),'Festive dates'!$A$2:$J$5,2,FALSE),$A714&lt;VLOOKUP(YEAR($A714),'Festive dates'!$A$2:$J$5,3,FALSE)),1,0)</f>
        <v>0</v>
      </c>
      <c r="S714" s="9">
        <f>IF($A714=VLOOKUP(YEAR($A714),'Festive dates'!$A$2:$J$5,2,FALSE),1,0)</f>
        <v>0</v>
      </c>
      <c r="T714" s="9">
        <f>IF($A714=VLOOKUP(YEAR($A714),'Festive dates'!$A$2:$J$5,3,FALSE),1,0)</f>
        <v>0</v>
      </c>
      <c r="U714" s="9">
        <f>IF($A714=VLOOKUP(YEAR($A714),'Festive dates'!$A$2:$J$5,4,FALSE),1,0)</f>
        <v>0</v>
      </c>
      <c r="V714" s="9">
        <f>IF(AND($A714&gt;=VLOOKUP(YEAR($A714),'Festive dates'!$A$2:$J$5,9,FALSE),$A714&lt;=VLOOKUP(YEAR($A714),'Festive dates'!$A$2:$J$5,10,FALSE)),1,0)</f>
        <v>0</v>
      </c>
      <c r="W714" s="9">
        <f>IF($A714=VLOOKUP(YEAR($A714),'Festive dates'!$A$2:$J$5,7,FALSE),1,0)</f>
        <v>0</v>
      </c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>
      <c r="A715" s="8">
        <v>45730</v>
      </c>
      <c r="B715" s="9">
        <v>0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f>MAX(-20,MIN(10,$A715-VLOOKUP(YEAR($A715),'Festive dates'!$A$2:$J$5,8,FALSE)))</f>
        <v>-20</v>
      </c>
      <c r="R715" s="9">
        <f>IF(AND($A715&gt;VLOOKUP(YEAR($A715),'Festive dates'!$A$2:$J$5,2,FALSE),$A715&lt;VLOOKUP(YEAR($A715),'Festive dates'!$A$2:$J$5,3,FALSE)),1,0)</f>
        <v>0</v>
      </c>
      <c r="S715" s="9">
        <f>IF($A715=VLOOKUP(YEAR($A715),'Festive dates'!$A$2:$J$5,2,FALSE),1,0)</f>
        <v>0</v>
      </c>
      <c r="T715" s="9">
        <f>IF($A715=VLOOKUP(YEAR($A715),'Festive dates'!$A$2:$J$5,3,FALSE),1,0)</f>
        <v>0</v>
      </c>
      <c r="U715" s="9">
        <f>IF($A715=VLOOKUP(YEAR($A715),'Festive dates'!$A$2:$J$5,4,FALSE),1,0)</f>
        <v>0</v>
      </c>
      <c r="V715" s="9">
        <f>IF(AND($A715&gt;=VLOOKUP(YEAR($A715),'Festive dates'!$A$2:$J$5,9,FALSE),$A715&lt;=VLOOKUP(YEAR($A715),'Festive dates'!$A$2:$J$5,10,FALSE)),1,0)</f>
        <v>0</v>
      </c>
      <c r="W715" s="9">
        <f>IF($A715=VLOOKUP(YEAR($A715),'Festive dates'!$A$2:$J$5,7,FALSE),1,0)</f>
        <v>0</v>
      </c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>
      <c r="A716" s="8">
        <v>45731</v>
      </c>
      <c r="B716" s="9">
        <v>0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f>MAX(-20,MIN(10,$A716-VLOOKUP(YEAR($A716),'Festive dates'!$A$2:$J$5,8,FALSE)))</f>
        <v>-20</v>
      </c>
      <c r="R716" s="9">
        <f>IF(AND($A716&gt;VLOOKUP(YEAR($A716),'Festive dates'!$A$2:$J$5,2,FALSE),$A716&lt;VLOOKUP(YEAR($A716),'Festive dates'!$A$2:$J$5,3,FALSE)),1,0)</f>
        <v>0</v>
      </c>
      <c r="S716" s="9">
        <f>IF($A716=VLOOKUP(YEAR($A716),'Festive dates'!$A$2:$J$5,2,FALSE),1,0)</f>
        <v>0</v>
      </c>
      <c r="T716" s="9">
        <f>IF($A716=VLOOKUP(YEAR($A716),'Festive dates'!$A$2:$J$5,3,FALSE),1,0)</f>
        <v>0</v>
      </c>
      <c r="U716" s="9">
        <f>IF($A716=VLOOKUP(YEAR($A716),'Festive dates'!$A$2:$J$5,4,FALSE),1,0)</f>
        <v>0</v>
      </c>
      <c r="V716" s="9">
        <f>IF(AND($A716&gt;=VLOOKUP(YEAR($A716),'Festive dates'!$A$2:$J$5,9,FALSE),$A716&lt;=VLOOKUP(YEAR($A716),'Festive dates'!$A$2:$J$5,10,FALSE)),1,0)</f>
        <v>0</v>
      </c>
      <c r="W716" s="9">
        <f>IF($A716=VLOOKUP(YEAR($A716),'Festive dates'!$A$2:$J$5,7,FALSE),1,0)</f>
        <v>0</v>
      </c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>
      <c r="A717" s="8">
        <v>45732</v>
      </c>
      <c r="B717" s="9">
        <v>0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f>MAX(-20,MIN(10,$A717-VLOOKUP(YEAR($A717),'Festive dates'!$A$2:$J$5,8,FALSE)))</f>
        <v>-20</v>
      </c>
      <c r="R717" s="9">
        <f>IF(AND($A717&gt;VLOOKUP(YEAR($A717),'Festive dates'!$A$2:$J$5,2,FALSE),$A717&lt;VLOOKUP(YEAR($A717),'Festive dates'!$A$2:$J$5,3,FALSE)),1,0)</f>
        <v>0</v>
      </c>
      <c r="S717" s="9">
        <f>IF($A717=VLOOKUP(YEAR($A717),'Festive dates'!$A$2:$J$5,2,FALSE),1,0)</f>
        <v>0</v>
      </c>
      <c r="T717" s="9">
        <f>IF($A717=VLOOKUP(YEAR($A717),'Festive dates'!$A$2:$J$5,3,FALSE),1,0)</f>
        <v>0</v>
      </c>
      <c r="U717" s="9">
        <f>IF($A717=VLOOKUP(YEAR($A717),'Festive dates'!$A$2:$J$5,4,FALSE),1,0)</f>
        <v>0</v>
      </c>
      <c r="V717" s="9">
        <f>IF(AND($A717&gt;=VLOOKUP(YEAR($A717),'Festive dates'!$A$2:$J$5,9,FALSE),$A717&lt;=VLOOKUP(YEAR($A717),'Festive dates'!$A$2:$J$5,10,FALSE)),1,0)</f>
        <v>0</v>
      </c>
      <c r="W717" s="9">
        <f>IF($A717=VLOOKUP(YEAR($A717),'Festive dates'!$A$2:$J$5,7,FALSE),1,0)</f>
        <v>0</v>
      </c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>
      <c r="A718" s="8">
        <v>45733</v>
      </c>
      <c r="B718" s="9">
        <v>0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f>MAX(-20,MIN(10,$A718-VLOOKUP(YEAR($A718),'Festive dates'!$A$2:$J$5,8,FALSE)))</f>
        <v>-20</v>
      </c>
      <c r="R718" s="9">
        <f>IF(AND($A718&gt;VLOOKUP(YEAR($A718),'Festive dates'!$A$2:$J$5,2,FALSE),$A718&lt;VLOOKUP(YEAR($A718),'Festive dates'!$A$2:$J$5,3,FALSE)),1,0)</f>
        <v>0</v>
      </c>
      <c r="S718" s="9">
        <f>IF($A718=VLOOKUP(YEAR($A718),'Festive dates'!$A$2:$J$5,2,FALSE),1,0)</f>
        <v>0</v>
      </c>
      <c r="T718" s="9">
        <f>IF($A718=VLOOKUP(YEAR($A718),'Festive dates'!$A$2:$J$5,3,FALSE),1,0)</f>
        <v>0</v>
      </c>
      <c r="U718" s="9">
        <f>IF($A718=VLOOKUP(YEAR($A718),'Festive dates'!$A$2:$J$5,4,FALSE),1,0)</f>
        <v>0</v>
      </c>
      <c r="V718" s="9">
        <f>IF(AND($A718&gt;=VLOOKUP(YEAR($A718),'Festive dates'!$A$2:$J$5,9,FALSE),$A718&lt;=VLOOKUP(YEAR($A718),'Festive dates'!$A$2:$J$5,10,FALSE)),1,0)</f>
        <v>0</v>
      </c>
      <c r="W718" s="9">
        <f>IF($A718=VLOOKUP(YEAR($A718),'Festive dates'!$A$2:$J$5,7,FALSE),1,0)</f>
        <v>0</v>
      </c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>
      <c r="A719" s="8">
        <v>45734</v>
      </c>
      <c r="B719" s="9">
        <v>0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f>MAX(-20,MIN(10,$A719-VLOOKUP(YEAR($A719),'Festive dates'!$A$2:$J$5,8,FALSE)))</f>
        <v>-20</v>
      </c>
      <c r="R719" s="9">
        <f>IF(AND($A719&gt;VLOOKUP(YEAR($A719),'Festive dates'!$A$2:$J$5,2,FALSE),$A719&lt;VLOOKUP(YEAR($A719),'Festive dates'!$A$2:$J$5,3,FALSE)),1,0)</f>
        <v>0</v>
      </c>
      <c r="S719" s="9">
        <f>IF($A719=VLOOKUP(YEAR($A719),'Festive dates'!$A$2:$J$5,2,FALSE),1,0)</f>
        <v>0</v>
      </c>
      <c r="T719" s="9">
        <f>IF($A719=VLOOKUP(YEAR($A719),'Festive dates'!$A$2:$J$5,3,FALSE),1,0)</f>
        <v>0</v>
      </c>
      <c r="U719" s="9">
        <f>IF($A719=VLOOKUP(YEAR($A719),'Festive dates'!$A$2:$J$5,4,FALSE),1,0)</f>
        <v>0</v>
      </c>
      <c r="V719" s="9">
        <f>IF(AND($A719&gt;=VLOOKUP(YEAR($A719),'Festive dates'!$A$2:$J$5,9,FALSE),$A719&lt;=VLOOKUP(YEAR($A719),'Festive dates'!$A$2:$J$5,10,FALSE)),1,0)</f>
        <v>0</v>
      </c>
      <c r="W719" s="9">
        <f>IF($A719=VLOOKUP(YEAR($A719),'Festive dates'!$A$2:$J$5,7,FALSE),1,0)</f>
        <v>0</v>
      </c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>
      <c r="A720" s="8">
        <v>45735</v>
      </c>
      <c r="B720" s="9">
        <v>0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f>MAX(-20,MIN(10,$A720-VLOOKUP(YEAR($A720),'Festive dates'!$A$2:$J$5,8,FALSE)))</f>
        <v>-20</v>
      </c>
      <c r="R720" s="9">
        <f>IF(AND($A720&gt;VLOOKUP(YEAR($A720),'Festive dates'!$A$2:$J$5,2,FALSE),$A720&lt;VLOOKUP(YEAR($A720),'Festive dates'!$A$2:$J$5,3,FALSE)),1,0)</f>
        <v>0</v>
      </c>
      <c r="S720" s="9">
        <f>IF($A720=VLOOKUP(YEAR($A720),'Festive dates'!$A$2:$J$5,2,FALSE),1,0)</f>
        <v>0</v>
      </c>
      <c r="T720" s="9">
        <f>IF($A720=VLOOKUP(YEAR($A720),'Festive dates'!$A$2:$J$5,3,FALSE),1,0)</f>
        <v>0</v>
      </c>
      <c r="U720" s="9">
        <f>IF($A720=VLOOKUP(YEAR($A720),'Festive dates'!$A$2:$J$5,4,FALSE),1,0)</f>
        <v>0</v>
      </c>
      <c r="V720" s="9">
        <f>IF(AND($A720&gt;=VLOOKUP(YEAR($A720),'Festive dates'!$A$2:$J$5,9,FALSE),$A720&lt;=VLOOKUP(YEAR($A720),'Festive dates'!$A$2:$J$5,10,FALSE)),1,0)</f>
        <v>0</v>
      </c>
      <c r="W720" s="9">
        <f>IF($A720=VLOOKUP(YEAR($A720),'Festive dates'!$A$2:$J$5,7,FALSE),1,0)</f>
        <v>0</v>
      </c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>
      <c r="A721" s="8">
        <v>45736</v>
      </c>
      <c r="B721" s="9">
        <v>0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f>MAX(-20,MIN(10,$A721-VLOOKUP(YEAR($A721),'Festive dates'!$A$2:$J$5,8,FALSE)))</f>
        <v>-20</v>
      </c>
      <c r="R721" s="9">
        <f>IF(AND($A721&gt;VLOOKUP(YEAR($A721),'Festive dates'!$A$2:$J$5,2,FALSE),$A721&lt;VLOOKUP(YEAR($A721),'Festive dates'!$A$2:$J$5,3,FALSE)),1,0)</f>
        <v>0</v>
      </c>
      <c r="S721" s="9">
        <f>IF($A721=VLOOKUP(YEAR($A721),'Festive dates'!$A$2:$J$5,2,FALSE),1,0)</f>
        <v>0</v>
      </c>
      <c r="T721" s="9">
        <f>IF($A721=VLOOKUP(YEAR($A721),'Festive dates'!$A$2:$J$5,3,FALSE),1,0)</f>
        <v>0</v>
      </c>
      <c r="U721" s="9">
        <f>IF($A721=VLOOKUP(YEAR($A721),'Festive dates'!$A$2:$J$5,4,FALSE),1,0)</f>
        <v>0</v>
      </c>
      <c r="V721" s="9">
        <f>IF(AND($A721&gt;=VLOOKUP(YEAR($A721),'Festive dates'!$A$2:$J$5,9,FALSE),$A721&lt;=VLOOKUP(YEAR($A721),'Festive dates'!$A$2:$J$5,10,FALSE)),1,0)</f>
        <v>0</v>
      </c>
      <c r="W721" s="9">
        <f>IF($A721=VLOOKUP(YEAR($A721),'Festive dates'!$A$2:$J$5,7,FALSE),1,0)</f>
        <v>0</v>
      </c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>
      <c r="A722" s="8">
        <v>45737</v>
      </c>
      <c r="B722" s="9">
        <v>0</v>
      </c>
      <c r="C722" s="9">
        <v>0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f>MAX(-20,MIN(10,$A722-VLOOKUP(YEAR($A722),'Festive dates'!$A$2:$J$5,8,FALSE)))</f>
        <v>-20</v>
      </c>
      <c r="R722" s="9">
        <f>IF(AND($A722&gt;VLOOKUP(YEAR($A722),'Festive dates'!$A$2:$J$5,2,FALSE),$A722&lt;VLOOKUP(YEAR($A722),'Festive dates'!$A$2:$J$5,3,FALSE)),1,0)</f>
        <v>0</v>
      </c>
      <c r="S722" s="9">
        <f>IF($A722=VLOOKUP(YEAR($A722),'Festive dates'!$A$2:$J$5,2,FALSE),1,0)</f>
        <v>0</v>
      </c>
      <c r="T722" s="9">
        <f>IF($A722=VLOOKUP(YEAR($A722),'Festive dates'!$A$2:$J$5,3,FALSE),1,0)</f>
        <v>0</v>
      </c>
      <c r="U722" s="9">
        <f>IF($A722=VLOOKUP(YEAR($A722),'Festive dates'!$A$2:$J$5,4,FALSE),1,0)</f>
        <v>0</v>
      </c>
      <c r="V722" s="9">
        <f>IF(AND($A722&gt;=VLOOKUP(YEAR($A722),'Festive dates'!$A$2:$J$5,9,FALSE),$A722&lt;=VLOOKUP(YEAR($A722),'Festive dates'!$A$2:$J$5,10,FALSE)),1,0)</f>
        <v>0</v>
      </c>
      <c r="W722" s="9">
        <f>IF($A722=VLOOKUP(YEAR($A722),'Festive dates'!$A$2:$J$5,7,FALSE),1,0)</f>
        <v>0</v>
      </c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>
      <c r="A723" s="8">
        <v>45738</v>
      </c>
      <c r="B723" s="9">
        <v>0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f>MAX(-20,MIN(10,$A723-VLOOKUP(YEAR($A723),'Festive dates'!$A$2:$J$5,8,FALSE)))</f>
        <v>-20</v>
      </c>
      <c r="R723" s="9">
        <f>IF(AND($A723&gt;VLOOKUP(YEAR($A723),'Festive dates'!$A$2:$J$5,2,FALSE),$A723&lt;VLOOKUP(YEAR($A723),'Festive dates'!$A$2:$J$5,3,FALSE)),1,0)</f>
        <v>0</v>
      </c>
      <c r="S723" s="9">
        <f>IF($A723=VLOOKUP(YEAR($A723),'Festive dates'!$A$2:$J$5,2,FALSE),1,0)</f>
        <v>0</v>
      </c>
      <c r="T723" s="9">
        <f>IF($A723=VLOOKUP(YEAR($A723),'Festive dates'!$A$2:$J$5,3,FALSE),1,0)</f>
        <v>0</v>
      </c>
      <c r="U723" s="9">
        <f>IF($A723=VLOOKUP(YEAR($A723),'Festive dates'!$A$2:$J$5,4,FALSE),1,0)</f>
        <v>0</v>
      </c>
      <c r="V723" s="9">
        <f>IF(AND($A723&gt;=VLOOKUP(YEAR($A723),'Festive dates'!$A$2:$J$5,9,FALSE),$A723&lt;=VLOOKUP(YEAR($A723),'Festive dates'!$A$2:$J$5,10,FALSE)),1,0)</f>
        <v>0</v>
      </c>
      <c r="W723" s="9">
        <f>IF($A723=VLOOKUP(YEAR($A723),'Festive dates'!$A$2:$J$5,7,FALSE),1,0)</f>
        <v>0</v>
      </c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>
      <c r="A724" s="8">
        <v>45739</v>
      </c>
      <c r="B724" s="9">
        <v>0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f>MAX(-20,MIN(10,$A724-VLOOKUP(YEAR($A724),'Festive dates'!$A$2:$J$5,8,FALSE)))</f>
        <v>-20</v>
      </c>
      <c r="R724" s="9">
        <f>IF(AND($A724&gt;VLOOKUP(YEAR($A724),'Festive dates'!$A$2:$J$5,2,FALSE),$A724&lt;VLOOKUP(YEAR($A724),'Festive dates'!$A$2:$J$5,3,FALSE)),1,0)</f>
        <v>0</v>
      </c>
      <c r="S724" s="9">
        <f>IF($A724=VLOOKUP(YEAR($A724),'Festive dates'!$A$2:$J$5,2,FALSE),1,0)</f>
        <v>0</v>
      </c>
      <c r="T724" s="9">
        <f>IF($A724=VLOOKUP(YEAR($A724),'Festive dates'!$A$2:$J$5,3,FALSE),1,0)</f>
        <v>0</v>
      </c>
      <c r="U724" s="9">
        <f>IF($A724=VLOOKUP(YEAR($A724),'Festive dates'!$A$2:$J$5,4,FALSE),1,0)</f>
        <v>0</v>
      </c>
      <c r="V724" s="9">
        <f>IF(AND($A724&gt;=VLOOKUP(YEAR($A724),'Festive dates'!$A$2:$J$5,9,FALSE),$A724&lt;=VLOOKUP(YEAR($A724),'Festive dates'!$A$2:$J$5,10,FALSE)),1,0)</f>
        <v>0</v>
      </c>
      <c r="W724" s="9">
        <f>IF($A724=VLOOKUP(YEAR($A724),'Festive dates'!$A$2:$J$5,7,FALSE),1,0)</f>
        <v>0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>
      <c r="A725" s="8">
        <v>45740</v>
      </c>
      <c r="B725" s="9">
        <v>0</v>
      </c>
      <c r="C725" s="9">
        <v>0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f>MAX(-20,MIN(10,$A725-VLOOKUP(YEAR($A725),'Festive dates'!$A$2:$J$5,8,FALSE)))</f>
        <v>-20</v>
      </c>
      <c r="R725" s="9">
        <f>IF(AND($A725&gt;VLOOKUP(YEAR($A725),'Festive dates'!$A$2:$J$5,2,FALSE),$A725&lt;VLOOKUP(YEAR($A725),'Festive dates'!$A$2:$J$5,3,FALSE)),1,0)</f>
        <v>0</v>
      </c>
      <c r="S725" s="9">
        <f>IF($A725=VLOOKUP(YEAR($A725),'Festive dates'!$A$2:$J$5,2,FALSE),1,0)</f>
        <v>0</v>
      </c>
      <c r="T725" s="9">
        <f>IF($A725=VLOOKUP(YEAR($A725),'Festive dates'!$A$2:$J$5,3,FALSE),1,0)</f>
        <v>0</v>
      </c>
      <c r="U725" s="9">
        <f>IF($A725=VLOOKUP(YEAR($A725),'Festive dates'!$A$2:$J$5,4,FALSE),1,0)</f>
        <v>0</v>
      </c>
      <c r="V725" s="9">
        <f>IF(AND($A725&gt;=VLOOKUP(YEAR($A725),'Festive dates'!$A$2:$J$5,9,FALSE),$A725&lt;=VLOOKUP(YEAR($A725),'Festive dates'!$A$2:$J$5,10,FALSE)),1,0)</f>
        <v>0</v>
      </c>
      <c r="W725" s="9">
        <f>IF($A725=VLOOKUP(YEAR($A725),'Festive dates'!$A$2:$J$5,7,FALSE),1,0)</f>
        <v>0</v>
      </c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>
      <c r="A726" s="8">
        <v>45741</v>
      </c>
      <c r="B726" s="9">
        <v>0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f>MAX(-20,MIN(10,$A726-VLOOKUP(YEAR($A726),'Festive dates'!$A$2:$J$5,8,FALSE)))</f>
        <v>-20</v>
      </c>
      <c r="R726" s="9">
        <f>IF(AND($A726&gt;VLOOKUP(YEAR($A726),'Festive dates'!$A$2:$J$5,2,FALSE),$A726&lt;VLOOKUP(YEAR($A726),'Festive dates'!$A$2:$J$5,3,FALSE)),1,0)</f>
        <v>0</v>
      </c>
      <c r="S726" s="9">
        <f>IF($A726=VLOOKUP(YEAR($A726),'Festive dates'!$A$2:$J$5,2,FALSE),1,0)</f>
        <v>0</v>
      </c>
      <c r="T726" s="9">
        <f>IF($A726=VLOOKUP(YEAR($A726),'Festive dates'!$A$2:$J$5,3,FALSE),1,0)</f>
        <v>0</v>
      </c>
      <c r="U726" s="9">
        <f>IF($A726=VLOOKUP(YEAR($A726),'Festive dates'!$A$2:$J$5,4,FALSE),1,0)</f>
        <v>0</v>
      </c>
      <c r="V726" s="9">
        <f>IF(AND($A726&gt;=VLOOKUP(YEAR($A726),'Festive dates'!$A$2:$J$5,9,FALSE),$A726&lt;=VLOOKUP(YEAR($A726),'Festive dates'!$A$2:$J$5,10,FALSE)),1,0)</f>
        <v>0</v>
      </c>
      <c r="W726" s="9">
        <f>IF($A726=VLOOKUP(YEAR($A726),'Festive dates'!$A$2:$J$5,7,FALSE),1,0)</f>
        <v>0</v>
      </c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>
      <c r="A727" s="8">
        <v>45742</v>
      </c>
      <c r="B727" s="9">
        <v>0</v>
      </c>
      <c r="C727" s="9">
        <v>0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f>MAX(-20,MIN(10,$A727-VLOOKUP(YEAR($A727),'Festive dates'!$A$2:$J$5,8,FALSE)))</f>
        <v>-20</v>
      </c>
      <c r="R727" s="9">
        <f>IF(AND($A727&gt;VLOOKUP(YEAR($A727),'Festive dates'!$A$2:$J$5,2,FALSE),$A727&lt;VLOOKUP(YEAR($A727),'Festive dates'!$A$2:$J$5,3,FALSE)),1,0)</f>
        <v>0</v>
      </c>
      <c r="S727" s="9">
        <f>IF($A727=VLOOKUP(YEAR($A727),'Festive dates'!$A$2:$J$5,2,FALSE),1,0)</f>
        <v>0</v>
      </c>
      <c r="T727" s="9">
        <f>IF($A727=VLOOKUP(YEAR($A727),'Festive dates'!$A$2:$J$5,3,FALSE),1,0)</f>
        <v>0</v>
      </c>
      <c r="U727" s="9">
        <f>IF($A727=VLOOKUP(YEAR($A727),'Festive dates'!$A$2:$J$5,4,FALSE),1,0)</f>
        <v>0</v>
      </c>
      <c r="V727" s="9">
        <f>IF(AND($A727&gt;=VLOOKUP(YEAR($A727),'Festive dates'!$A$2:$J$5,9,FALSE),$A727&lt;=VLOOKUP(YEAR($A727),'Festive dates'!$A$2:$J$5,10,FALSE)),1,0)</f>
        <v>0</v>
      </c>
      <c r="W727" s="9">
        <f>IF($A727=VLOOKUP(YEAR($A727),'Festive dates'!$A$2:$J$5,7,FALSE),1,0)</f>
        <v>0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>
      <c r="A728" s="8">
        <v>45743</v>
      </c>
      <c r="B728" s="9">
        <v>0</v>
      </c>
      <c r="C728" s="9">
        <v>0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f>MAX(-20,MIN(10,$A728-VLOOKUP(YEAR($A728),'Festive dates'!$A$2:$J$5,8,FALSE)))</f>
        <v>-20</v>
      </c>
      <c r="R728" s="9">
        <f>IF(AND($A728&gt;VLOOKUP(YEAR($A728),'Festive dates'!$A$2:$J$5,2,FALSE),$A728&lt;VLOOKUP(YEAR($A728),'Festive dates'!$A$2:$J$5,3,FALSE)),1,0)</f>
        <v>0</v>
      </c>
      <c r="S728" s="9">
        <f>IF($A728=VLOOKUP(YEAR($A728),'Festive dates'!$A$2:$J$5,2,FALSE),1,0)</f>
        <v>0</v>
      </c>
      <c r="T728" s="9">
        <f>IF($A728=VLOOKUP(YEAR($A728),'Festive dates'!$A$2:$J$5,3,FALSE),1,0)</f>
        <v>0</v>
      </c>
      <c r="U728" s="9">
        <f>IF($A728=VLOOKUP(YEAR($A728),'Festive dates'!$A$2:$J$5,4,FALSE),1,0)</f>
        <v>0</v>
      </c>
      <c r="V728" s="9">
        <f>IF(AND($A728&gt;=VLOOKUP(YEAR($A728),'Festive dates'!$A$2:$J$5,9,FALSE),$A728&lt;=VLOOKUP(YEAR($A728),'Festive dates'!$A$2:$J$5,10,FALSE)),1,0)</f>
        <v>0</v>
      </c>
      <c r="W728" s="9">
        <f>IF($A728=VLOOKUP(YEAR($A728),'Festive dates'!$A$2:$J$5,7,FALSE),1,0)</f>
        <v>0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>
      <c r="A729" s="8">
        <v>45744</v>
      </c>
      <c r="B729" s="9">
        <v>0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f>MAX(-20,MIN(10,$A729-VLOOKUP(YEAR($A729),'Festive dates'!$A$2:$J$5,8,FALSE)))</f>
        <v>-20</v>
      </c>
      <c r="R729" s="9">
        <f>IF(AND($A729&gt;VLOOKUP(YEAR($A729),'Festive dates'!$A$2:$J$5,2,FALSE),$A729&lt;VLOOKUP(YEAR($A729),'Festive dates'!$A$2:$J$5,3,FALSE)),1,0)</f>
        <v>0</v>
      </c>
      <c r="S729" s="9">
        <f>IF($A729=VLOOKUP(YEAR($A729),'Festive dates'!$A$2:$J$5,2,FALSE),1,0)</f>
        <v>0</v>
      </c>
      <c r="T729" s="9">
        <f>IF($A729=VLOOKUP(YEAR($A729),'Festive dates'!$A$2:$J$5,3,FALSE),1,0)</f>
        <v>0</v>
      </c>
      <c r="U729" s="9">
        <f>IF($A729=VLOOKUP(YEAR($A729),'Festive dates'!$A$2:$J$5,4,FALSE),1,0)</f>
        <v>0</v>
      </c>
      <c r="V729" s="9">
        <f>IF(AND($A729&gt;=VLOOKUP(YEAR($A729),'Festive dates'!$A$2:$J$5,9,FALSE),$A729&lt;=VLOOKUP(YEAR($A729),'Festive dates'!$A$2:$J$5,10,FALSE)),1,0)</f>
        <v>0</v>
      </c>
      <c r="W729" s="9">
        <f>IF($A729=VLOOKUP(YEAR($A729),'Festive dates'!$A$2:$J$5,7,FALSE),1,0)</f>
        <v>0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>
      <c r="A730" s="8">
        <v>45745</v>
      </c>
      <c r="B730" s="9">
        <v>0</v>
      </c>
      <c r="C730" s="9">
        <v>0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f>MAX(-20,MIN(10,$A730-VLOOKUP(YEAR($A730),'Festive dates'!$A$2:$J$5,8,FALSE)))</f>
        <v>-20</v>
      </c>
      <c r="R730" s="9">
        <f>IF(AND($A730&gt;VLOOKUP(YEAR($A730),'Festive dates'!$A$2:$J$5,2,FALSE),$A730&lt;VLOOKUP(YEAR($A730),'Festive dates'!$A$2:$J$5,3,FALSE)),1,0)</f>
        <v>0</v>
      </c>
      <c r="S730" s="9">
        <f>IF($A730=VLOOKUP(YEAR($A730),'Festive dates'!$A$2:$J$5,2,FALSE),1,0)</f>
        <v>0</v>
      </c>
      <c r="T730" s="9">
        <f>IF($A730=VLOOKUP(YEAR($A730),'Festive dates'!$A$2:$J$5,3,FALSE),1,0)</f>
        <v>0</v>
      </c>
      <c r="U730" s="9">
        <f>IF($A730=VLOOKUP(YEAR($A730),'Festive dates'!$A$2:$J$5,4,FALSE),1,0)</f>
        <v>0</v>
      </c>
      <c r="V730" s="9">
        <f>IF(AND($A730&gt;=VLOOKUP(YEAR($A730),'Festive dates'!$A$2:$J$5,9,FALSE),$A730&lt;=VLOOKUP(YEAR($A730),'Festive dates'!$A$2:$J$5,10,FALSE)),1,0)</f>
        <v>0</v>
      </c>
      <c r="W730" s="9">
        <f>IF($A730=VLOOKUP(YEAR($A730),'Festive dates'!$A$2:$J$5,7,FALSE),1,0)</f>
        <v>0</v>
      </c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>
      <c r="A731" s="8">
        <v>45746</v>
      </c>
      <c r="B731" s="9">
        <v>0</v>
      </c>
      <c r="C731" s="9">
        <v>0</v>
      </c>
      <c r="D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f>MAX(-20,MIN(10,$A731-VLOOKUP(YEAR($A731),'Festive dates'!$A$2:$J$5,8,FALSE)))</f>
        <v>-20</v>
      </c>
      <c r="R731" s="9">
        <f>IF(AND($A731&gt;VLOOKUP(YEAR($A731),'Festive dates'!$A$2:$J$5,2,FALSE),$A731&lt;VLOOKUP(YEAR($A731),'Festive dates'!$A$2:$J$5,3,FALSE)),1,0)</f>
        <v>0</v>
      </c>
      <c r="S731" s="9">
        <f>IF($A731=VLOOKUP(YEAR($A731),'Festive dates'!$A$2:$J$5,2,FALSE),1,0)</f>
        <v>0</v>
      </c>
      <c r="T731" s="9">
        <f>IF($A731=VLOOKUP(YEAR($A731),'Festive dates'!$A$2:$J$5,3,FALSE),1,0)</f>
        <v>0</v>
      </c>
      <c r="U731" s="9">
        <f>IF($A731=VLOOKUP(YEAR($A731),'Festive dates'!$A$2:$J$5,4,FALSE),1,0)</f>
        <v>0</v>
      </c>
      <c r="V731" s="9">
        <f>IF(AND($A731&gt;=VLOOKUP(YEAR($A731),'Festive dates'!$A$2:$J$5,9,FALSE),$A731&lt;=VLOOKUP(YEAR($A731),'Festive dates'!$A$2:$J$5,10,FALSE)),1,0)</f>
        <v>0</v>
      </c>
      <c r="W731" s="9">
        <f>IF($A731=VLOOKUP(YEAR($A731),'Festive dates'!$A$2:$J$5,7,FALSE),1,0)</f>
        <v>0</v>
      </c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>
      <c r="A732" s="8">
        <v>45747</v>
      </c>
      <c r="B732" s="9">
        <v>0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f>MAX(-20,MIN(10,$A732-VLOOKUP(YEAR($A732),'Festive dates'!$A$2:$J$5,8,FALSE)))</f>
        <v>-20</v>
      </c>
      <c r="R732" s="9">
        <f>IF(AND($A732&gt;VLOOKUP(YEAR($A732),'Festive dates'!$A$2:$J$5,2,FALSE),$A732&lt;VLOOKUP(YEAR($A732),'Festive dates'!$A$2:$J$5,3,FALSE)),1,0)</f>
        <v>0</v>
      </c>
      <c r="S732" s="9">
        <f>IF($A732=VLOOKUP(YEAR($A732),'Festive dates'!$A$2:$J$5,2,FALSE),1,0)</f>
        <v>0</v>
      </c>
      <c r="T732" s="9">
        <f>IF($A732=VLOOKUP(YEAR($A732),'Festive dates'!$A$2:$J$5,3,FALSE),1,0)</f>
        <v>0</v>
      </c>
      <c r="U732" s="9">
        <f>IF($A732=VLOOKUP(YEAR($A732),'Festive dates'!$A$2:$J$5,4,FALSE),1,0)</f>
        <v>0</v>
      </c>
      <c r="V732" s="9">
        <f>IF(AND($A732&gt;=VLOOKUP(YEAR($A732),'Festive dates'!$A$2:$J$5,9,FALSE),$A732&lt;=VLOOKUP(YEAR($A732),'Festive dates'!$A$2:$J$5,10,FALSE)),1,0)</f>
        <v>0</v>
      </c>
      <c r="W732" s="9">
        <f>IF($A732=VLOOKUP(YEAR($A732),'Festive dates'!$A$2:$J$5,7,FALSE),1,0)</f>
        <v>0</v>
      </c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>
      <c r="A733" s="8">
        <v>45748</v>
      </c>
      <c r="B733" s="9">
        <v>0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f>MAX(-20,MIN(10,$A733-VLOOKUP(YEAR($A733),'Festive dates'!$A$2:$J$5,8,FALSE)))</f>
        <v>-20</v>
      </c>
      <c r="R733" s="9">
        <f>IF(AND($A733&gt;VLOOKUP(YEAR($A733),'Festive dates'!$A$2:$J$5,2,FALSE),$A733&lt;VLOOKUP(YEAR($A733),'Festive dates'!$A$2:$J$5,3,FALSE)),1,0)</f>
        <v>0</v>
      </c>
      <c r="S733" s="9">
        <f>IF($A733=VLOOKUP(YEAR($A733),'Festive dates'!$A$2:$J$5,2,FALSE),1,0)</f>
        <v>0</v>
      </c>
      <c r="T733" s="9">
        <f>IF($A733=VLOOKUP(YEAR($A733),'Festive dates'!$A$2:$J$5,3,FALSE),1,0)</f>
        <v>0</v>
      </c>
      <c r="U733" s="9">
        <f>IF($A733=VLOOKUP(YEAR($A733),'Festive dates'!$A$2:$J$5,4,FALSE),1,0)</f>
        <v>0</v>
      </c>
      <c r="V733" s="9">
        <f>IF(AND($A733&gt;=VLOOKUP(YEAR($A733),'Festive dates'!$A$2:$J$5,9,FALSE),$A733&lt;=VLOOKUP(YEAR($A733),'Festive dates'!$A$2:$J$5,10,FALSE)),1,0)</f>
        <v>0</v>
      </c>
      <c r="W733" s="9">
        <f>IF($A733=VLOOKUP(YEAR($A733),'Festive dates'!$A$2:$J$5,7,FALSE),1,0)</f>
        <v>0</v>
      </c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>
      <c r="A734" s="8">
        <v>45749</v>
      </c>
      <c r="B734" s="9">
        <v>0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f>MAX(-20,MIN(10,$A734-VLOOKUP(YEAR($A734),'Festive dates'!$A$2:$J$5,8,FALSE)))</f>
        <v>-20</v>
      </c>
      <c r="R734" s="9">
        <f>IF(AND($A734&gt;VLOOKUP(YEAR($A734),'Festive dates'!$A$2:$J$5,2,FALSE),$A734&lt;VLOOKUP(YEAR($A734),'Festive dates'!$A$2:$J$5,3,FALSE)),1,0)</f>
        <v>0</v>
      </c>
      <c r="S734" s="9">
        <f>IF($A734=VLOOKUP(YEAR($A734),'Festive dates'!$A$2:$J$5,2,FALSE),1,0)</f>
        <v>0</v>
      </c>
      <c r="T734" s="9">
        <f>IF($A734=VLOOKUP(YEAR($A734),'Festive dates'!$A$2:$J$5,3,FALSE),1,0)</f>
        <v>0</v>
      </c>
      <c r="U734" s="9">
        <f>IF($A734=VLOOKUP(YEAR($A734),'Festive dates'!$A$2:$J$5,4,FALSE),1,0)</f>
        <v>0</v>
      </c>
      <c r="V734" s="9">
        <f>IF(AND($A734&gt;=VLOOKUP(YEAR($A734),'Festive dates'!$A$2:$J$5,9,FALSE),$A734&lt;=VLOOKUP(YEAR($A734),'Festive dates'!$A$2:$J$5,10,FALSE)),1,0)</f>
        <v>0</v>
      </c>
      <c r="W734" s="9">
        <f>IF($A734=VLOOKUP(YEAR($A734),'Festive dates'!$A$2:$J$5,7,FALSE),1,0)</f>
        <v>0</v>
      </c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>
      <c r="A735" s="8">
        <v>45750</v>
      </c>
      <c r="B735" s="9">
        <v>0</v>
      </c>
      <c r="C735" s="9">
        <v>0</v>
      </c>
      <c r="D735" s="9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f>MAX(-20,MIN(10,$A735-VLOOKUP(YEAR($A735),'Festive dates'!$A$2:$J$5,8,FALSE)))</f>
        <v>-20</v>
      </c>
      <c r="R735" s="9">
        <f>IF(AND($A735&gt;VLOOKUP(YEAR($A735),'Festive dates'!$A$2:$J$5,2,FALSE),$A735&lt;VLOOKUP(YEAR($A735),'Festive dates'!$A$2:$J$5,3,FALSE)),1,0)</f>
        <v>0</v>
      </c>
      <c r="S735" s="9">
        <f>IF($A735=VLOOKUP(YEAR($A735),'Festive dates'!$A$2:$J$5,2,FALSE),1,0)</f>
        <v>0</v>
      </c>
      <c r="T735" s="9">
        <f>IF($A735=VLOOKUP(YEAR($A735),'Festive dates'!$A$2:$J$5,3,FALSE),1,0)</f>
        <v>0</v>
      </c>
      <c r="U735" s="9">
        <f>IF($A735=VLOOKUP(YEAR($A735),'Festive dates'!$A$2:$J$5,4,FALSE),1,0)</f>
        <v>0</v>
      </c>
      <c r="V735" s="9">
        <f>IF(AND($A735&gt;=VLOOKUP(YEAR($A735),'Festive dates'!$A$2:$J$5,9,FALSE),$A735&lt;=VLOOKUP(YEAR($A735),'Festive dates'!$A$2:$J$5,10,FALSE)),1,0)</f>
        <v>0</v>
      </c>
      <c r="W735" s="9">
        <f>IF($A735=VLOOKUP(YEAR($A735),'Festive dates'!$A$2:$J$5,7,FALSE),1,0)</f>
        <v>0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>
      <c r="A736" s="8">
        <v>45751</v>
      </c>
      <c r="B736" s="9">
        <v>0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f>MAX(-20,MIN(10,$A736-VLOOKUP(YEAR($A736),'Festive dates'!$A$2:$J$5,8,FALSE)))</f>
        <v>-20</v>
      </c>
      <c r="R736" s="9">
        <f>IF(AND($A736&gt;VLOOKUP(YEAR($A736),'Festive dates'!$A$2:$J$5,2,FALSE),$A736&lt;VLOOKUP(YEAR($A736),'Festive dates'!$A$2:$J$5,3,FALSE)),1,0)</f>
        <v>0</v>
      </c>
      <c r="S736" s="9">
        <f>IF($A736=VLOOKUP(YEAR($A736),'Festive dates'!$A$2:$J$5,2,FALSE),1,0)</f>
        <v>0</v>
      </c>
      <c r="T736" s="9">
        <f>IF($A736=VLOOKUP(YEAR($A736),'Festive dates'!$A$2:$J$5,3,FALSE),1,0)</f>
        <v>0</v>
      </c>
      <c r="U736" s="9">
        <f>IF($A736=VLOOKUP(YEAR($A736),'Festive dates'!$A$2:$J$5,4,FALSE),1,0)</f>
        <v>0</v>
      </c>
      <c r="V736" s="9">
        <f>IF(AND($A736&gt;=VLOOKUP(YEAR($A736),'Festive dates'!$A$2:$J$5,9,FALSE),$A736&lt;=VLOOKUP(YEAR($A736),'Festive dates'!$A$2:$J$5,10,FALSE)),1,0)</f>
        <v>0</v>
      </c>
      <c r="W736" s="9">
        <f>IF($A736=VLOOKUP(YEAR($A736),'Festive dates'!$A$2:$J$5,7,FALSE),1,0)</f>
        <v>0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>
      <c r="A737" s="8">
        <v>45752</v>
      </c>
      <c r="B737" s="9">
        <v>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f>MAX(-20,MIN(10,$A737-VLOOKUP(YEAR($A737),'Festive dates'!$A$2:$J$5,8,FALSE)))</f>
        <v>-20</v>
      </c>
      <c r="R737" s="9">
        <f>IF(AND($A737&gt;VLOOKUP(YEAR($A737),'Festive dates'!$A$2:$J$5,2,FALSE),$A737&lt;VLOOKUP(YEAR($A737),'Festive dates'!$A$2:$J$5,3,FALSE)),1,0)</f>
        <v>0</v>
      </c>
      <c r="S737" s="9">
        <f>IF($A737=VLOOKUP(YEAR($A737),'Festive dates'!$A$2:$J$5,2,FALSE),1,0)</f>
        <v>0</v>
      </c>
      <c r="T737" s="9">
        <f>IF($A737=VLOOKUP(YEAR($A737),'Festive dates'!$A$2:$J$5,3,FALSE),1,0)</f>
        <v>0</v>
      </c>
      <c r="U737" s="9">
        <f>IF($A737=VLOOKUP(YEAR($A737),'Festive dates'!$A$2:$J$5,4,FALSE),1,0)</f>
        <v>0</v>
      </c>
      <c r="V737" s="9">
        <f>IF(AND($A737&gt;=VLOOKUP(YEAR($A737),'Festive dates'!$A$2:$J$5,9,FALSE),$A737&lt;=VLOOKUP(YEAR($A737),'Festive dates'!$A$2:$J$5,10,FALSE)),1,0)</f>
        <v>0</v>
      </c>
      <c r="W737" s="9">
        <f>IF($A737=VLOOKUP(YEAR($A737),'Festive dates'!$A$2:$J$5,7,FALSE),1,0)</f>
        <v>0</v>
      </c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>
      <c r="A738" s="8">
        <v>45753</v>
      </c>
      <c r="B738" s="9">
        <v>0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f>MAX(-20,MIN(10,$A738-VLOOKUP(YEAR($A738),'Festive dates'!$A$2:$J$5,8,FALSE)))</f>
        <v>-20</v>
      </c>
      <c r="R738" s="9">
        <f>IF(AND($A738&gt;VLOOKUP(YEAR($A738),'Festive dates'!$A$2:$J$5,2,FALSE),$A738&lt;VLOOKUP(YEAR($A738),'Festive dates'!$A$2:$J$5,3,FALSE)),1,0)</f>
        <v>0</v>
      </c>
      <c r="S738" s="9">
        <f>IF($A738=VLOOKUP(YEAR($A738),'Festive dates'!$A$2:$J$5,2,FALSE),1,0)</f>
        <v>0</v>
      </c>
      <c r="T738" s="9">
        <f>IF($A738=VLOOKUP(YEAR($A738),'Festive dates'!$A$2:$J$5,3,FALSE),1,0)</f>
        <v>0</v>
      </c>
      <c r="U738" s="9">
        <f>IF($A738=VLOOKUP(YEAR($A738),'Festive dates'!$A$2:$J$5,4,FALSE),1,0)</f>
        <v>0</v>
      </c>
      <c r="V738" s="9">
        <f>IF(AND($A738&gt;=VLOOKUP(YEAR($A738),'Festive dates'!$A$2:$J$5,9,FALSE),$A738&lt;=VLOOKUP(YEAR($A738),'Festive dates'!$A$2:$J$5,10,FALSE)),1,0)</f>
        <v>0</v>
      </c>
      <c r="W738" s="9">
        <f>IF($A738=VLOOKUP(YEAR($A738),'Festive dates'!$A$2:$J$5,7,FALSE),1,0)</f>
        <v>0</v>
      </c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>
      <c r="A739" s="8">
        <v>45754</v>
      </c>
      <c r="B739" s="9">
        <v>0</v>
      </c>
      <c r="C739" s="9">
        <v>0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1</v>
      </c>
      <c r="Q739" s="9">
        <f>MAX(-20,MIN(10,$A739-VLOOKUP(YEAR($A739),'Festive dates'!$A$2:$J$5,8,FALSE)))</f>
        <v>-20</v>
      </c>
      <c r="R739" s="9">
        <f>IF(AND($A739&gt;VLOOKUP(YEAR($A739),'Festive dates'!$A$2:$J$5,2,FALSE),$A739&lt;VLOOKUP(YEAR($A739),'Festive dates'!$A$2:$J$5,3,FALSE)),1,0)</f>
        <v>0</v>
      </c>
      <c r="S739" s="9">
        <f>IF($A739=VLOOKUP(YEAR($A739),'Festive dates'!$A$2:$J$5,2,FALSE),1,0)</f>
        <v>0</v>
      </c>
      <c r="T739" s="9">
        <f>IF($A739=VLOOKUP(YEAR($A739),'Festive dates'!$A$2:$J$5,3,FALSE),1,0)</f>
        <v>0</v>
      </c>
      <c r="U739" s="9">
        <f>IF($A739=VLOOKUP(YEAR($A739),'Festive dates'!$A$2:$J$5,4,FALSE),1,0)</f>
        <v>0</v>
      </c>
      <c r="V739" s="9">
        <f>IF(AND($A739&gt;=VLOOKUP(YEAR($A739),'Festive dates'!$A$2:$J$5,9,FALSE),$A739&lt;=VLOOKUP(YEAR($A739),'Festive dates'!$A$2:$J$5,10,FALSE)),1,0)</f>
        <v>0</v>
      </c>
      <c r="W739" s="9">
        <f>IF($A739=VLOOKUP(YEAR($A739),'Festive dates'!$A$2:$J$5,7,FALSE),1,0)</f>
        <v>0</v>
      </c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>
      <c r="A740" s="8">
        <v>45755</v>
      </c>
      <c r="B740" s="9">
        <v>0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f>MAX(-20,MIN(10,$A740-VLOOKUP(YEAR($A740),'Festive dates'!$A$2:$J$5,8,FALSE)))</f>
        <v>-20</v>
      </c>
      <c r="R740" s="9">
        <f>IF(AND($A740&gt;VLOOKUP(YEAR($A740),'Festive dates'!$A$2:$J$5,2,FALSE),$A740&lt;VLOOKUP(YEAR($A740),'Festive dates'!$A$2:$J$5,3,FALSE)),1,0)</f>
        <v>0</v>
      </c>
      <c r="S740" s="9">
        <f>IF($A740=VLOOKUP(YEAR($A740),'Festive dates'!$A$2:$J$5,2,FALSE),1,0)</f>
        <v>0</v>
      </c>
      <c r="T740" s="9">
        <f>IF($A740=VLOOKUP(YEAR($A740),'Festive dates'!$A$2:$J$5,3,FALSE),1,0)</f>
        <v>0</v>
      </c>
      <c r="U740" s="9">
        <f>IF($A740=VLOOKUP(YEAR($A740),'Festive dates'!$A$2:$J$5,4,FALSE),1,0)</f>
        <v>0</v>
      </c>
      <c r="V740" s="9">
        <f>IF(AND($A740&gt;=VLOOKUP(YEAR($A740),'Festive dates'!$A$2:$J$5,9,FALSE),$A740&lt;=VLOOKUP(YEAR($A740),'Festive dates'!$A$2:$J$5,10,FALSE)),1,0)</f>
        <v>0</v>
      </c>
      <c r="W740" s="9">
        <f>IF($A740=VLOOKUP(YEAR($A740),'Festive dates'!$A$2:$J$5,7,FALSE),1,0)</f>
        <v>0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>
      <c r="A741" s="8">
        <v>45756</v>
      </c>
      <c r="B741" s="9">
        <v>0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1</v>
      </c>
      <c r="Q741" s="9">
        <f>MAX(-20,MIN(10,$A741-VLOOKUP(YEAR($A741),'Festive dates'!$A$2:$J$5,8,FALSE)))</f>
        <v>-20</v>
      </c>
      <c r="R741" s="9">
        <f>IF(AND($A741&gt;VLOOKUP(YEAR($A741),'Festive dates'!$A$2:$J$5,2,FALSE),$A741&lt;VLOOKUP(YEAR($A741),'Festive dates'!$A$2:$J$5,3,FALSE)),1,0)</f>
        <v>0</v>
      </c>
      <c r="S741" s="9">
        <f>IF($A741=VLOOKUP(YEAR($A741),'Festive dates'!$A$2:$J$5,2,FALSE),1,0)</f>
        <v>0</v>
      </c>
      <c r="T741" s="9">
        <f>IF($A741=VLOOKUP(YEAR($A741),'Festive dates'!$A$2:$J$5,3,FALSE),1,0)</f>
        <v>0</v>
      </c>
      <c r="U741" s="9">
        <f>IF($A741=VLOOKUP(YEAR($A741),'Festive dates'!$A$2:$J$5,4,FALSE),1,0)</f>
        <v>0</v>
      </c>
      <c r="V741" s="9">
        <f>IF(AND($A741&gt;=VLOOKUP(YEAR($A741),'Festive dates'!$A$2:$J$5,9,FALSE),$A741&lt;=VLOOKUP(YEAR($A741),'Festive dates'!$A$2:$J$5,10,FALSE)),1,0)</f>
        <v>0</v>
      </c>
      <c r="W741" s="9">
        <f>IF($A741=VLOOKUP(YEAR($A741),'Festive dates'!$A$2:$J$5,7,FALSE),1,0)</f>
        <v>0</v>
      </c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>
      <c r="A742" s="8">
        <v>45757</v>
      </c>
      <c r="B742" s="9">
        <v>0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1</v>
      </c>
      <c r="Q742" s="9">
        <f>MAX(-20,MIN(10,$A742-VLOOKUP(YEAR($A742),'Festive dates'!$A$2:$J$5,8,FALSE)))</f>
        <v>-20</v>
      </c>
      <c r="R742" s="9">
        <f>IF(AND($A742&gt;VLOOKUP(YEAR($A742),'Festive dates'!$A$2:$J$5,2,FALSE),$A742&lt;VLOOKUP(YEAR($A742),'Festive dates'!$A$2:$J$5,3,FALSE)),1,0)</f>
        <v>0</v>
      </c>
      <c r="S742" s="9">
        <f>IF($A742=VLOOKUP(YEAR($A742),'Festive dates'!$A$2:$J$5,2,FALSE),1,0)</f>
        <v>0</v>
      </c>
      <c r="T742" s="9">
        <f>IF($A742=VLOOKUP(YEAR($A742),'Festive dates'!$A$2:$J$5,3,FALSE),1,0)</f>
        <v>0</v>
      </c>
      <c r="U742" s="9">
        <f>IF($A742=VLOOKUP(YEAR($A742),'Festive dates'!$A$2:$J$5,4,FALSE),1,0)</f>
        <v>0</v>
      </c>
      <c r="V742" s="9">
        <f>IF(AND($A742&gt;=VLOOKUP(YEAR($A742),'Festive dates'!$A$2:$J$5,9,FALSE),$A742&lt;=VLOOKUP(YEAR($A742),'Festive dates'!$A$2:$J$5,10,FALSE)),1,0)</f>
        <v>0</v>
      </c>
      <c r="W742" s="9">
        <f>IF($A742=VLOOKUP(YEAR($A742),'Festive dates'!$A$2:$J$5,7,FALSE),1,0)</f>
        <v>0</v>
      </c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>
      <c r="A743" s="8">
        <v>45758</v>
      </c>
      <c r="B743" s="9">
        <v>0</v>
      </c>
      <c r="C743" s="9">
        <v>0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1</v>
      </c>
      <c r="Q743" s="9">
        <f>MAX(-20,MIN(10,$A743-VLOOKUP(YEAR($A743),'Festive dates'!$A$2:$J$5,8,FALSE)))</f>
        <v>-20</v>
      </c>
      <c r="R743" s="9">
        <f>IF(AND($A743&gt;VLOOKUP(YEAR($A743),'Festive dates'!$A$2:$J$5,2,FALSE),$A743&lt;VLOOKUP(YEAR($A743),'Festive dates'!$A$2:$J$5,3,FALSE)),1,0)</f>
        <v>0</v>
      </c>
      <c r="S743" s="9">
        <f>IF($A743=VLOOKUP(YEAR($A743),'Festive dates'!$A$2:$J$5,2,FALSE),1,0)</f>
        <v>0</v>
      </c>
      <c r="T743" s="9">
        <f>IF($A743=VLOOKUP(YEAR($A743),'Festive dates'!$A$2:$J$5,3,FALSE),1,0)</f>
        <v>0</v>
      </c>
      <c r="U743" s="9">
        <f>IF($A743=VLOOKUP(YEAR($A743),'Festive dates'!$A$2:$J$5,4,FALSE),1,0)</f>
        <v>0</v>
      </c>
      <c r="V743" s="9">
        <f>IF(AND($A743&gt;=VLOOKUP(YEAR($A743),'Festive dates'!$A$2:$J$5,9,FALSE),$A743&lt;=VLOOKUP(YEAR($A743),'Festive dates'!$A$2:$J$5,10,FALSE)),1,0)</f>
        <v>0</v>
      </c>
      <c r="W743" s="9">
        <f>IF($A743=VLOOKUP(YEAR($A743),'Festive dates'!$A$2:$J$5,7,FALSE),1,0)</f>
        <v>0</v>
      </c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>
      <c r="A744" s="8">
        <v>45759</v>
      </c>
      <c r="B744" s="9">
        <v>0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1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1</v>
      </c>
      <c r="Q744" s="9">
        <f>MAX(-20,MIN(10,$A744-VLOOKUP(YEAR($A744),'Festive dates'!$A$2:$J$5,8,FALSE)))</f>
        <v>-20</v>
      </c>
      <c r="R744" s="9">
        <f>IF(AND($A744&gt;VLOOKUP(YEAR($A744),'Festive dates'!$A$2:$J$5,2,FALSE),$A744&lt;VLOOKUP(YEAR($A744),'Festive dates'!$A$2:$J$5,3,FALSE)),1,0)</f>
        <v>0</v>
      </c>
      <c r="S744" s="9">
        <f>IF($A744=VLOOKUP(YEAR($A744),'Festive dates'!$A$2:$J$5,2,FALSE),1,0)</f>
        <v>0</v>
      </c>
      <c r="T744" s="9">
        <f>IF($A744=VLOOKUP(YEAR($A744),'Festive dates'!$A$2:$J$5,3,FALSE),1,0)</f>
        <v>0</v>
      </c>
      <c r="U744" s="9">
        <f>IF($A744=VLOOKUP(YEAR($A744),'Festive dates'!$A$2:$J$5,4,FALSE),1,0)</f>
        <v>0</v>
      </c>
      <c r="V744" s="9">
        <f>IF(AND($A744&gt;=VLOOKUP(YEAR($A744),'Festive dates'!$A$2:$J$5,9,FALSE),$A744&lt;=VLOOKUP(YEAR($A744),'Festive dates'!$A$2:$J$5,10,FALSE)),1,0)</f>
        <v>0</v>
      </c>
      <c r="W744" s="9">
        <f>IF($A744=VLOOKUP(YEAR($A744),'Festive dates'!$A$2:$J$5,7,FALSE),1,0)</f>
        <v>0</v>
      </c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>
      <c r="A745" s="8">
        <v>45760</v>
      </c>
      <c r="B745" s="9">
        <v>0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1</v>
      </c>
      <c r="Q745" s="9">
        <f>MAX(-20,MIN(10,$A745-VLOOKUP(YEAR($A745),'Festive dates'!$A$2:$J$5,8,FALSE)))</f>
        <v>-20</v>
      </c>
      <c r="R745" s="9">
        <f>IF(AND($A745&gt;VLOOKUP(YEAR($A745),'Festive dates'!$A$2:$J$5,2,FALSE),$A745&lt;VLOOKUP(YEAR($A745),'Festive dates'!$A$2:$J$5,3,FALSE)),1,0)</f>
        <v>0</v>
      </c>
      <c r="S745" s="9">
        <f>IF($A745=VLOOKUP(YEAR($A745),'Festive dates'!$A$2:$J$5,2,FALSE),1,0)</f>
        <v>0</v>
      </c>
      <c r="T745" s="9">
        <f>IF($A745=VLOOKUP(YEAR($A745),'Festive dates'!$A$2:$J$5,3,FALSE),1,0)</f>
        <v>0</v>
      </c>
      <c r="U745" s="9">
        <f>IF($A745=VLOOKUP(YEAR($A745),'Festive dates'!$A$2:$J$5,4,FALSE),1,0)</f>
        <v>0</v>
      </c>
      <c r="V745" s="9">
        <f>IF(AND($A745&gt;=VLOOKUP(YEAR($A745),'Festive dates'!$A$2:$J$5,9,FALSE),$A745&lt;=VLOOKUP(YEAR($A745),'Festive dates'!$A$2:$J$5,10,FALSE)),1,0)</f>
        <v>0</v>
      </c>
      <c r="W745" s="9">
        <f>IF($A745=VLOOKUP(YEAR($A745),'Festive dates'!$A$2:$J$5,7,FALSE),1,0)</f>
        <v>0</v>
      </c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>
      <c r="A746" s="8">
        <v>45761</v>
      </c>
      <c r="B746" s="9">
        <v>0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1</v>
      </c>
      <c r="Q746" s="9">
        <f>MAX(-20,MIN(10,$A746-VLOOKUP(YEAR($A746),'Festive dates'!$A$2:$J$5,8,FALSE)))</f>
        <v>-20</v>
      </c>
      <c r="R746" s="9">
        <f>IF(AND($A746&gt;VLOOKUP(YEAR($A746),'Festive dates'!$A$2:$J$5,2,FALSE),$A746&lt;VLOOKUP(YEAR($A746),'Festive dates'!$A$2:$J$5,3,FALSE)),1,0)</f>
        <v>0</v>
      </c>
      <c r="S746" s="9">
        <f>IF($A746=VLOOKUP(YEAR($A746),'Festive dates'!$A$2:$J$5,2,FALSE),1,0)</f>
        <v>0</v>
      </c>
      <c r="T746" s="9">
        <f>IF($A746=VLOOKUP(YEAR($A746),'Festive dates'!$A$2:$J$5,3,FALSE),1,0)</f>
        <v>0</v>
      </c>
      <c r="U746" s="9">
        <f>IF($A746=VLOOKUP(YEAR($A746),'Festive dates'!$A$2:$J$5,4,FALSE),1,0)</f>
        <v>0</v>
      </c>
      <c r="V746" s="9">
        <f>IF(AND($A746&gt;=VLOOKUP(YEAR($A746),'Festive dates'!$A$2:$J$5,9,FALSE),$A746&lt;=VLOOKUP(YEAR($A746),'Festive dates'!$A$2:$J$5,10,FALSE)),1,0)</f>
        <v>0</v>
      </c>
      <c r="W746" s="9">
        <f>IF($A746=VLOOKUP(YEAR($A746),'Festive dates'!$A$2:$J$5,7,FALSE),1,0)</f>
        <v>0</v>
      </c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>
      <c r="A747" s="8">
        <v>45762</v>
      </c>
      <c r="B747" s="9">
        <v>0</v>
      </c>
      <c r="C747" s="9">
        <v>0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f>MAX(-20,MIN(10,$A747-VLOOKUP(YEAR($A747),'Festive dates'!$A$2:$J$5,8,FALSE)))</f>
        <v>-20</v>
      </c>
      <c r="R747" s="9">
        <f>IF(AND($A747&gt;VLOOKUP(YEAR($A747),'Festive dates'!$A$2:$J$5,2,FALSE),$A747&lt;VLOOKUP(YEAR($A747),'Festive dates'!$A$2:$J$5,3,FALSE)),1,0)</f>
        <v>0</v>
      </c>
      <c r="S747" s="9">
        <f>IF($A747=VLOOKUP(YEAR($A747),'Festive dates'!$A$2:$J$5,2,FALSE),1,0)</f>
        <v>0</v>
      </c>
      <c r="T747" s="9">
        <f>IF($A747=VLOOKUP(YEAR($A747),'Festive dates'!$A$2:$J$5,3,FALSE),1,0)</f>
        <v>0</v>
      </c>
      <c r="U747" s="9">
        <f>IF($A747=VLOOKUP(YEAR($A747),'Festive dates'!$A$2:$J$5,4,FALSE),1,0)</f>
        <v>0</v>
      </c>
      <c r="V747" s="9">
        <f>IF(AND($A747&gt;=VLOOKUP(YEAR($A747),'Festive dates'!$A$2:$J$5,9,FALSE),$A747&lt;=VLOOKUP(YEAR($A747),'Festive dates'!$A$2:$J$5,10,FALSE)),1,0)</f>
        <v>0</v>
      </c>
      <c r="W747" s="9">
        <f>IF($A747=VLOOKUP(YEAR($A747),'Festive dates'!$A$2:$J$5,7,FALSE),1,0)</f>
        <v>0</v>
      </c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>
      <c r="A748" s="8">
        <v>45763</v>
      </c>
      <c r="B748" s="9">
        <v>0</v>
      </c>
      <c r="C748" s="9">
        <v>0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f>MAX(-20,MIN(10,$A748-VLOOKUP(YEAR($A748),'Festive dates'!$A$2:$J$5,8,FALSE)))</f>
        <v>-20</v>
      </c>
      <c r="R748" s="9">
        <f>IF(AND($A748&gt;VLOOKUP(YEAR($A748),'Festive dates'!$A$2:$J$5,2,FALSE),$A748&lt;VLOOKUP(YEAR($A748),'Festive dates'!$A$2:$J$5,3,FALSE)),1,0)</f>
        <v>0</v>
      </c>
      <c r="S748" s="9">
        <f>IF($A748=VLOOKUP(YEAR($A748),'Festive dates'!$A$2:$J$5,2,FALSE),1,0)</f>
        <v>0</v>
      </c>
      <c r="T748" s="9">
        <f>IF($A748=VLOOKUP(YEAR($A748),'Festive dates'!$A$2:$J$5,3,FALSE),1,0)</f>
        <v>0</v>
      </c>
      <c r="U748" s="9">
        <f>IF($A748=VLOOKUP(YEAR($A748),'Festive dates'!$A$2:$J$5,4,FALSE),1,0)</f>
        <v>0</v>
      </c>
      <c r="V748" s="9">
        <f>IF(AND($A748&gt;=VLOOKUP(YEAR($A748),'Festive dates'!$A$2:$J$5,9,FALSE),$A748&lt;=VLOOKUP(YEAR($A748),'Festive dates'!$A$2:$J$5,10,FALSE)),1,0)</f>
        <v>0</v>
      </c>
      <c r="W748" s="9">
        <f>IF($A748=VLOOKUP(YEAR($A748),'Festive dates'!$A$2:$J$5,7,FALSE),1,0)</f>
        <v>0</v>
      </c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>
      <c r="A749" s="8">
        <v>45764</v>
      </c>
      <c r="B749" s="9">
        <v>0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f>MAX(-20,MIN(10,$A749-VLOOKUP(YEAR($A749),'Festive dates'!$A$2:$J$5,8,FALSE)))</f>
        <v>-20</v>
      </c>
      <c r="R749" s="9">
        <f>IF(AND($A749&gt;VLOOKUP(YEAR($A749),'Festive dates'!$A$2:$J$5,2,FALSE),$A749&lt;VLOOKUP(YEAR($A749),'Festive dates'!$A$2:$J$5,3,FALSE)),1,0)</f>
        <v>0</v>
      </c>
      <c r="S749" s="9">
        <f>IF($A749=VLOOKUP(YEAR($A749),'Festive dates'!$A$2:$J$5,2,FALSE),1,0)</f>
        <v>0</v>
      </c>
      <c r="T749" s="9">
        <f>IF($A749=VLOOKUP(YEAR($A749),'Festive dates'!$A$2:$J$5,3,FALSE),1,0)</f>
        <v>0</v>
      </c>
      <c r="U749" s="9">
        <f>IF($A749=VLOOKUP(YEAR($A749),'Festive dates'!$A$2:$J$5,4,FALSE),1,0)</f>
        <v>0</v>
      </c>
      <c r="V749" s="9">
        <f>IF(AND($A749&gt;=VLOOKUP(YEAR($A749),'Festive dates'!$A$2:$J$5,9,FALSE),$A749&lt;=VLOOKUP(YEAR($A749),'Festive dates'!$A$2:$J$5,10,FALSE)),1,0)</f>
        <v>0</v>
      </c>
      <c r="W749" s="9">
        <f>IF($A749=VLOOKUP(YEAR($A749),'Festive dates'!$A$2:$J$5,7,FALSE),1,0)</f>
        <v>0</v>
      </c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>
      <c r="A750" s="8">
        <v>45765</v>
      </c>
      <c r="B750" s="9">
        <v>0</v>
      </c>
      <c r="C750" s="9">
        <v>0</v>
      </c>
      <c r="D750" s="9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1</v>
      </c>
      <c r="Q750" s="9">
        <f>MAX(-20,MIN(10,$A750-VLOOKUP(YEAR($A750),'Festive dates'!$A$2:$J$5,8,FALSE)))</f>
        <v>-20</v>
      </c>
      <c r="R750" s="9">
        <f>IF(AND($A750&gt;VLOOKUP(YEAR($A750),'Festive dates'!$A$2:$J$5,2,FALSE),$A750&lt;VLOOKUP(YEAR($A750),'Festive dates'!$A$2:$J$5,3,FALSE)),1,0)</f>
        <v>0</v>
      </c>
      <c r="S750" s="9">
        <f>IF($A750=VLOOKUP(YEAR($A750),'Festive dates'!$A$2:$J$5,2,FALSE),1,0)</f>
        <v>0</v>
      </c>
      <c r="T750" s="9">
        <f>IF($A750=VLOOKUP(YEAR($A750),'Festive dates'!$A$2:$J$5,3,FALSE),1,0)</f>
        <v>0</v>
      </c>
      <c r="U750" s="9">
        <f>IF($A750=VLOOKUP(YEAR($A750),'Festive dates'!$A$2:$J$5,4,FALSE),1,0)</f>
        <v>0</v>
      </c>
      <c r="V750" s="9">
        <f>IF(AND($A750&gt;=VLOOKUP(YEAR($A750),'Festive dates'!$A$2:$J$5,9,FALSE),$A750&lt;=VLOOKUP(YEAR($A750),'Festive dates'!$A$2:$J$5,10,FALSE)),1,0)</f>
        <v>0</v>
      </c>
      <c r="W750" s="9">
        <f>IF($A750=VLOOKUP(YEAR($A750),'Festive dates'!$A$2:$J$5,7,FALSE),1,0)</f>
        <v>0</v>
      </c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>
      <c r="A751" s="8">
        <v>45766</v>
      </c>
      <c r="B751" s="9">
        <v>0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f>MAX(-20,MIN(10,$A751-VLOOKUP(YEAR($A751),'Festive dates'!$A$2:$J$5,8,FALSE)))</f>
        <v>-20</v>
      </c>
      <c r="R751" s="9">
        <f>IF(AND($A751&gt;VLOOKUP(YEAR($A751),'Festive dates'!$A$2:$J$5,2,FALSE),$A751&lt;VLOOKUP(YEAR($A751),'Festive dates'!$A$2:$J$5,3,FALSE)),1,0)</f>
        <v>0</v>
      </c>
      <c r="S751" s="9">
        <f>IF($A751=VLOOKUP(YEAR($A751),'Festive dates'!$A$2:$J$5,2,FALSE),1,0)</f>
        <v>0</v>
      </c>
      <c r="T751" s="9">
        <f>IF($A751=VLOOKUP(YEAR($A751),'Festive dates'!$A$2:$J$5,3,FALSE),1,0)</f>
        <v>0</v>
      </c>
      <c r="U751" s="9">
        <f>IF($A751=VLOOKUP(YEAR($A751),'Festive dates'!$A$2:$J$5,4,FALSE),1,0)</f>
        <v>0</v>
      </c>
      <c r="V751" s="9">
        <f>IF(AND($A751&gt;=VLOOKUP(YEAR($A751),'Festive dates'!$A$2:$J$5,9,FALSE),$A751&lt;=VLOOKUP(YEAR($A751),'Festive dates'!$A$2:$J$5,10,FALSE)),1,0)</f>
        <v>0</v>
      </c>
      <c r="W751" s="9">
        <f>IF($A751=VLOOKUP(YEAR($A751),'Festive dates'!$A$2:$J$5,7,FALSE),1,0)</f>
        <v>0</v>
      </c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>
      <c r="A752" s="8">
        <v>45767</v>
      </c>
      <c r="B752" s="9">
        <v>0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f>MAX(-20,MIN(10,$A752-VLOOKUP(YEAR($A752),'Festive dates'!$A$2:$J$5,8,FALSE)))</f>
        <v>-20</v>
      </c>
      <c r="R752" s="9">
        <f>IF(AND($A752&gt;VLOOKUP(YEAR($A752),'Festive dates'!$A$2:$J$5,2,FALSE),$A752&lt;VLOOKUP(YEAR($A752),'Festive dates'!$A$2:$J$5,3,FALSE)),1,0)</f>
        <v>0</v>
      </c>
      <c r="S752" s="9">
        <f>IF($A752=VLOOKUP(YEAR($A752),'Festive dates'!$A$2:$J$5,2,FALSE),1,0)</f>
        <v>0</v>
      </c>
      <c r="T752" s="9">
        <f>IF($A752=VLOOKUP(YEAR($A752),'Festive dates'!$A$2:$J$5,3,FALSE),1,0)</f>
        <v>0</v>
      </c>
      <c r="U752" s="9">
        <f>IF($A752=VLOOKUP(YEAR($A752),'Festive dates'!$A$2:$J$5,4,FALSE),1,0)</f>
        <v>0</v>
      </c>
      <c r="V752" s="9">
        <f>IF(AND($A752&gt;=VLOOKUP(YEAR($A752),'Festive dates'!$A$2:$J$5,9,FALSE),$A752&lt;=VLOOKUP(YEAR($A752),'Festive dates'!$A$2:$J$5,10,FALSE)),1,0)</f>
        <v>0</v>
      </c>
      <c r="W752" s="9">
        <f>IF($A752=VLOOKUP(YEAR($A752),'Festive dates'!$A$2:$J$5,7,FALSE),1,0)</f>
        <v>0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>
      <c r="A753" s="8">
        <v>45768</v>
      </c>
      <c r="B753" s="9">
        <v>0</v>
      </c>
      <c r="C753" s="9">
        <v>0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f>MAX(-20,MIN(10,$A753-VLOOKUP(YEAR($A753),'Festive dates'!$A$2:$J$5,8,FALSE)))</f>
        <v>-20</v>
      </c>
      <c r="R753" s="9">
        <f>IF(AND($A753&gt;VLOOKUP(YEAR($A753),'Festive dates'!$A$2:$J$5,2,FALSE),$A753&lt;VLOOKUP(YEAR($A753),'Festive dates'!$A$2:$J$5,3,FALSE)),1,0)</f>
        <v>0</v>
      </c>
      <c r="S753" s="9">
        <f>IF($A753=VLOOKUP(YEAR($A753),'Festive dates'!$A$2:$J$5,2,FALSE),1,0)</f>
        <v>0</v>
      </c>
      <c r="T753" s="9">
        <f>IF($A753=VLOOKUP(YEAR($A753),'Festive dates'!$A$2:$J$5,3,FALSE),1,0)</f>
        <v>0</v>
      </c>
      <c r="U753" s="9">
        <f>IF($A753=VLOOKUP(YEAR($A753),'Festive dates'!$A$2:$J$5,4,FALSE),1,0)</f>
        <v>0</v>
      </c>
      <c r="V753" s="9">
        <f>IF(AND($A753&gt;=VLOOKUP(YEAR($A753),'Festive dates'!$A$2:$J$5,9,FALSE),$A753&lt;=VLOOKUP(YEAR($A753),'Festive dates'!$A$2:$J$5,10,FALSE)),1,0)</f>
        <v>0</v>
      </c>
      <c r="W753" s="9">
        <f>IF($A753=VLOOKUP(YEAR($A753),'Festive dates'!$A$2:$J$5,7,FALSE),1,0)</f>
        <v>0</v>
      </c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>
      <c r="A754" s="8">
        <v>45769</v>
      </c>
      <c r="B754" s="9">
        <v>0</v>
      </c>
      <c r="C754" s="9">
        <v>0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1</v>
      </c>
      <c r="Q754" s="9">
        <f>MAX(-20,MIN(10,$A754-VLOOKUP(YEAR($A754),'Festive dates'!$A$2:$J$5,8,FALSE)))</f>
        <v>-20</v>
      </c>
      <c r="R754" s="9">
        <f>IF(AND($A754&gt;VLOOKUP(YEAR($A754),'Festive dates'!$A$2:$J$5,2,FALSE),$A754&lt;VLOOKUP(YEAR($A754),'Festive dates'!$A$2:$J$5,3,FALSE)),1,0)</f>
        <v>0</v>
      </c>
      <c r="S754" s="9">
        <f>IF($A754=VLOOKUP(YEAR($A754),'Festive dates'!$A$2:$J$5,2,FALSE),1,0)</f>
        <v>0</v>
      </c>
      <c r="T754" s="9">
        <f>IF($A754=VLOOKUP(YEAR($A754),'Festive dates'!$A$2:$J$5,3,FALSE),1,0)</f>
        <v>0</v>
      </c>
      <c r="U754" s="9">
        <f>IF($A754=VLOOKUP(YEAR($A754),'Festive dates'!$A$2:$J$5,4,FALSE),1,0)</f>
        <v>0</v>
      </c>
      <c r="V754" s="9">
        <f>IF(AND($A754&gt;=VLOOKUP(YEAR($A754),'Festive dates'!$A$2:$J$5,9,FALSE),$A754&lt;=VLOOKUP(YEAR($A754),'Festive dates'!$A$2:$J$5,10,FALSE)),1,0)</f>
        <v>0</v>
      </c>
      <c r="W754" s="9">
        <f>IF($A754=VLOOKUP(YEAR($A754),'Festive dates'!$A$2:$J$5,7,FALSE),1,0)</f>
        <v>0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>
      <c r="A755" s="8">
        <v>45770</v>
      </c>
      <c r="B755" s="9">
        <v>0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1</v>
      </c>
      <c r="Q755" s="9">
        <f>MAX(-20,MIN(10,$A755-VLOOKUP(YEAR($A755),'Festive dates'!$A$2:$J$5,8,FALSE)))</f>
        <v>-20</v>
      </c>
      <c r="R755" s="9">
        <f>IF(AND($A755&gt;VLOOKUP(YEAR($A755),'Festive dates'!$A$2:$J$5,2,FALSE),$A755&lt;VLOOKUP(YEAR($A755),'Festive dates'!$A$2:$J$5,3,FALSE)),1,0)</f>
        <v>0</v>
      </c>
      <c r="S755" s="9">
        <f>IF($A755=VLOOKUP(YEAR($A755),'Festive dates'!$A$2:$J$5,2,FALSE),1,0)</f>
        <v>0</v>
      </c>
      <c r="T755" s="9">
        <f>IF($A755=VLOOKUP(YEAR($A755),'Festive dates'!$A$2:$J$5,3,FALSE),1,0)</f>
        <v>0</v>
      </c>
      <c r="U755" s="9">
        <f>IF($A755=VLOOKUP(YEAR($A755),'Festive dates'!$A$2:$J$5,4,FALSE),1,0)</f>
        <v>0</v>
      </c>
      <c r="V755" s="9">
        <f>IF(AND($A755&gt;=VLOOKUP(YEAR($A755),'Festive dates'!$A$2:$J$5,9,FALSE),$A755&lt;=VLOOKUP(YEAR($A755),'Festive dates'!$A$2:$J$5,10,FALSE)),1,0)</f>
        <v>0</v>
      </c>
      <c r="W755" s="9">
        <f>IF($A755=VLOOKUP(YEAR($A755),'Festive dates'!$A$2:$J$5,7,FALSE),1,0)</f>
        <v>0</v>
      </c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>
      <c r="A756" s="8">
        <v>45771</v>
      </c>
      <c r="B756" s="9">
        <v>0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1</v>
      </c>
      <c r="Q756" s="9">
        <f>MAX(-20,MIN(10,$A756-VLOOKUP(YEAR($A756),'Festive dates'!$A$2:$J$5,8,FALSE)))</f>
        <v>-20</v>
      </c>
      <c r="R756" s="9">
        <f>IF(AND($A756&gt;VLOOKUP(YEAR($A756),'Festive dates'!$A$2:$J$5,2,FALSE),$A756&lt;VLOOKUP(YEAR($A756),'Festive dates'!$A$2:$J$5,3,FALSE)),1,0)</f>
        <v>0</v>
      </c>
      <c r="S756" s="9">
        <f>IF($A756=VLOOKUP(YEAR($A756),'Festive dates'!$A$2:$J$5,2,FALSE),1,0)</f>
        <v>0</v>
      </c>
      <c r="T756" s="9">
        <f>IF($A756=VLOOKUP(YEAR($A756),'Festive dates'!$A$2:$J$5,3,FALSE),1,0)</f>
        <v>0</v>
      </c>
      <c r="U756" s="9">
        <f>IF($A756=VLOOKUP(YEAR($A756),'Festive dates'!$A$2:$J$5,4,FALSE),1,0)</f>
        <v>0</v>
      </c>
      <c r="V756" s="9">
        <f>IF(AND($A756&gt;=VLOOKUP(YEAR($A756),'Festive dates'!$A$2:$J$5,9,FALSE),$A756&lt;=VLOOKUP(YEAR($A756),'Festive dates'!$A$2:$J$5,10,FALSE)),1,0)</f>
        <v>0</v>
      </c>
      <c r="W756" s="9">
        <f>IF($A756=VLOOKUP(YEAR($A756),'Festive dates'!$A$2:$J$5,7,FALSE),1,0)</f>
        <v>0</v>
      </c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>
      <c r="A757" s="8">
        <v>45772</v>
      </c>
      <c r="B757" s="9">
        <v>0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f>MAX(-20,MIN(10,$A757-VLOOKUP(YEAR($A757),'Festive dates'!$A$2:$J$5,8,FALSE)))</f>
        <v>-20</v>
      </c>
      <c r="R757" s="9">
        <f>IF(AND($A757&gt;VLOOKUP(YEAR($A757),'Festive dates'!$A$2:$J$5,2,FALSE),$A757&lt;VLOOKUP(YEAR($A757),'Festive dates'!$A$2:$J$5,3,FALSE)),1,0)</f>
        <v>0</v>
      </c>
      <c r="S757" s="9">
        <f>IF($A757=VLOOKUP(YEAR($A757),'Festive dates'!$A$2:$J$5,2,FALSE),1,0)</f>
        <v>0</v>
      </c>
      <c r="T757" s="9">
        <f>IF($A757=VLOOKUP(YEAR($A757),'Festive dates'!$A$2:$J$5,3,FALSE),1,0)</f>
        <v>0</v>
      </c>
      <c r="U757" s="9">
        <f>IF($A757=VLOOKUP(YEAR($A757),'Festive dates'!$A$2:$J$5,4,FALSE),1,0)</f>
        <v>0</v>
      </c>
      <c r="V757" s="9">
        <f>IF(AND($A757&gt;=VLOOKUP(YEAR($A757),'Festive dates'!$A$2:$J$5,9,FALSE),$A757&lt;=VLOOKUP(YEAR($A757),'Festive dates'!$A$2:$J$5,10,FALSE)),1,0)</f>
        <v>0</v>
      </c>
      <c r="W757" s="9">
        <f>IF($A757=VLOOKUP(YEAR($A757),'Festive dates'!$A$2:$J$5,7,FALSE),1,0)</f>
        <v>0</v>
      </c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>
      <c r="A758" s="8">
        <v>45773</v>
      </c>
      <c r="B758" s="9">
        <v>0</v>
      </c>
      <c r="C758" s="9">
        <v>0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f>MAX(-20,MIN(10,$A758-VLOOKUP(YEAR($A758),'Festive dates'!$A$2:$J$5,8,FALSE)))</f>
        <v>-20</v>
      </c>
      <c r="R758" s="9">
        <f>IF(AND($A758&gt;VLOOKUP(YEAR($A758),'Festive dates'!$A$2:$J$5,2,FALSE),$A758&lt;VLOOKUP(YEAR($A758),'Festive dates'!$A$2:$J$5,3,FALSE)),1,0)</f>
        <v>0</v>
      </c>
      <c r="S758" s="9">
        <f>IF($A758=VLOOKUP(YEAR($A758),'Festive dates'!$A$2:$J$5,2,FALSE),1,0)</f>
        <v>0</v>
      </c>
      <c r="T758" s="9">
        <f>IF($A758=VLOOKUP(YEAR($A758),'Festive dates'!$A$2:$J$5,3,FALSE),1,0)</f>
        <v>0</v>
      </c>
      <c r="U758" s="9">
        <f>IF($A758=VLOOKUP(YEAR($A758),'Festive dates'!$A$2:$J$5,4,FALSE),1,0)</f>
        <v>0</v>
      </c>
      <c r="V758" s="9">
        <f>IF(AND($A758&gt;=VLOOKUP(YEAR($A758),'Festive dates'!$A$2:$J$5,9,FALSE),$A758&lt;=VLOOKUP(YEAR($A758),'Festive dates'!$A$2:$J$5,10,FALSE)),1,0)</f>
        <v>0</v>
      </c>
      <c r="W758" s="9">
        <f>IF($A758=VLOOKUP(YEAR($A758),'Festive dates'!$A$2:$J$5,7,FALSE),1,0)</f>
        <v>0</v>
      </c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>
      <c r="A759" s="8">
        <v>45774</v>
      </c>
      <c r="B759" s="9">
        <v>0</v>
      </c>
      <c r="C759" s="9">
        <v>0</v>
      </c>
      <c r="D759" s="9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f>MAX(-20,MIN(10,$A759-VLOOKUP(YEAR($A759),'Festive dates'!$A$2:$J$5,8,FALSE)))</f>
        <v>-20</v>
      </c>
      <c r="R759" s="9">
        <f>IF(AND($A759&gt;VLOOKUP(YEAR($A759),'Festive dates'!$A$2:$J$5,2,FALSE),$A759&lt;VLOOKUP(YEAR($A759),'Festive dates'!$A$2:$J$5,3,FALSE)),1,0)</f>
        <v>0</v>
      </c>
      <c r="S759" s="9">
        <f>IF($A759=VLOOKUP(YEAR($A759),'Festive dates'!$A$2:$J$5,2,FALSE),1,0)</f>
        <v>0</v>
      </c>
      <c r="T759" s="9">
        <f>IF($A759=VLOOKUP(YEAR($A759),'Festive dates'!$A$2:$J$5,3,FALSE),1,0)</f>
        <v>0</v>
      </c>
      <c r="U759" s="9">
        <f>IF($A759=VLOOKUP(YEAR($A759),'Festive dates'!$A$2:$J$5,4,FALSE),1,0)</f>
        <v>0</v>
      </c>
      <c r="V759" s="9">
        <f>IF(AND($A759&gt;=VLOOKUP(YEAR($A759),'Festive dates'!$A$2:$J$5,9,FALSE),$A759&lt;=VLOOKUP(YEAR($A759),'Festive dates'!$A$2:$J$5,10,FALSE)),1,0)</f>
        <v>0</v>
      </c>
      <c r="W759" s="9">
        <f>IF($A759=VLOOKUP(YEAR($A759),'Festive dates'!$A$2:$J$5,7,FALSE),1,0)</f>
        <v>0</v>
      </c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>
      <c r="A760" s="8">
        <v>45775</v>
      </c>
      <c r="B760" s="9">
        <v>0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1</v>
      </c>
      <c r="Q760" s="9">
        <f>MAX(-20,MIN(10,$A760-VLOOKUP(YEAR($A760),'Festive dates'!$A$2:$J$5,8,FALSE)))</f>
        <v>-20</v>
      </c>
      <c r="R760" s="9">
        <f>IF(AND($A760&gt;VLOOKUP(YEAR($A760),'Festive dates'!$A$2:$J$5,2,FALSE),$A760&lt;VLOOKUP(YEAR($A760),'Festive dates'!$A$2:$J$5,3,FALSE)),1,0)</f>
        <v>0</v>
      </c>
      <c r="S760" s="9">
        <f>IF($A760=VLOOKUP(YEAR($A760),'Festive dates'!$A$2:$J$5,2,FALSE),1,0)</f>
        <v>0</v>
      </c>
      <c r="T760" s="9">
        <f>IF($A760=VLOOKUP(YEAR($A760),'Festive dates'!$A$2:$J$5,3,FALSE),1,0)</f>
        <v>0</v>
      </c>
      <c r="U760" s="9">
        <f>IF($A760=VLOOKUP(YEAR($A760),'Festive dates'!$A$2:$J$5,4,FALSE),1,0)</f>
        <v>0</v>
      </c>
      <c r="V760" s="9">
        <f>IF(AND($A760&gt;=VLOOKUP(YEAR($A760),'Festive dates'!$A$2:$J$5,9,FALSE),$A760&lt;=VLOOKUP(YEAR($A760),'Festive dates'!$A$2:$J$5,10,FALSE)),1,0)</f>
        <v>0</v>
      </c>
      <c r="W760" s="9">
        <f>IF($A760=VLOOKUP(YEAR($A760),'Festive dates'!$A$2:$J$5,7,FALSE),1,0)</f>
        <v>0</v>
      </c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>
      <c r="A761" s="8">
        <v>45776</v>
      </c>
      <c r="B761" s="9">
        <v>0</v>
      </c>
      <c r="C761" s="9">
        <v>0</v>
      </c>
      <c r="D761" s="9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1</v>
      </c>
      <c r="Q761" s="9">
        <f>MAX(-20,MIN(10,$A761-VLOOKUP(YEAR($A761),'Festive dates'!$A$2:$J$5,8,FALSE)))</f>
        <v>-20</v>
      </c>
      <c r="R761" s="9">
        <f>IF(AND($A761&gt;VLOOKUP(YEAR($A761),'Festive dates'!$A$2:$J$5,2,FALSE),$A761&lt;VLOOKUP(YEAR($A761),'Festive dates'!$A$2:$J$5,3,FALSE)),1,0)</f>
        <v>0</v>
      </c>
      <c r="S761" s="9">
        <f>IF($A761=VLOOKUP(YEAR($A761),'Festive dates'!$A$2:$J$5,2,FALSE),1,0)</f>
        <v>0</v>
      </c>
      <c r="T761" s="9">
        <f>IF($A761=VLOOKUP(YEAR($A761),'Festive dates'!$A$2:$J$5,3,FALSE),1,0)</f>
        <v>0</v>
      </c>
      <c r="U761" s="9">
        <f>IF($A761=VLOOKUP(YEAR($A761),'Festive dates'!$A$2:$J$5,4,FALSE),1,0)</f>
        <v>0</v>
      </c>
      <c r="V761" s="9">
        <f>IF(AND($A761&gt;=VLOOKUP(YEAR($A761),'Festive dates'!$A$2:$J$5,9,FALSE),$A761&lt;=VLOOKUP(YEAR($A761),'Festive dates'!$A$2:$J$5,10,FALSE)),1,0)</f>
        <v>0</v>
      </c>
      <c r="W761" s="9">
        <f>IF($A761=VLOOKUP(YEAR($A761),'Festive dates'!$A$2:$J$5,7,FALSE),1,0)</f>
        <v>0</v>
      </c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>
      <c r="A762" s="8">
        <v>45777</v>
      </c>
      <c r="B762" s="9">
        <v>0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1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f>MAX(-20,MIN(10,$A762-VLOOKUP(YEAR($A762),'Festive dates'!$A$2:$J$5,8,FALSE)))</f>
        <v>-20</v>
      </c>
      <c r="R762" s="9">
        <f>IF(AND($A762&gt;VLOOKUP(YEAR($A762),'Festive dates'!$A$2:$J$5,2,FALSE),$A762&lt;VLOOKUP(YEAR($A762),'Festive dates'!$A$2:$J$5,3,FALSE)),1,0)</f>
        <v>0</v>
      </c>
      <c r="S762" s="9">
        <f>IF($A762=VLOOKUP(YEAR($A762),'Festive dates'!$A$2:$J$5,2,FALSE),1,0)</f>
        <v>0</v>
      </c>
      <c r="T762" s="9">
        <f>IF($A762=VLOOKUP(YEAR($A762),'Festive dates'!$A$2:$J$5,3,FALSE),1,0)</f>
        <v>0</v>
      </c>
      <c r="U762" s="9">
        <f>IF($A762=VLOOKUP(YEAR($A762),'Festive dates'!$A$2:$J$5,4,FALSE),1,0)</f>
        <v>0</v>
      </c>
      <c r="V762" s="9">
        <f>IF(AND($A762&gt;=VLOOKUP(YEAR($A762),'Festive dates'!$A$2:$J$5,9,FALSE),$A762&lt;=VLOOKUP(YEAR($A762),'Festive dates'!$A$2:$J$5,10,FALSE)),1,0)</f>
        <v>0</v>
      </c>
      <c r="W762" s="9">
        <f>IF($A762=VLOOKUP(YEAR($A762),'Festive dates'!$A$2:$J$5,7,FALSE),1,0)</f>
        <v>0</v>
      </c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>
      <c r="A763" s="8">
        <v>45778</v>
      </c>
      <c r="B763" s="9">
        <v>0</v>
      </c>
      <c r="C763" s="9">
        <v>0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1</v>
      </c>
      <c r="Q763" s="9">
        <f>MAX(-20,MIN(10,$A763-VLOOKUP(YEAR($A763),'Festive dates'!$A$2:$J$5,8,FALSE)))</f>
        <v>-20</v>
      </c>
      <c r="R763" s="9">
        <f>IF(AND($A763&gt;VLOOKUP(YEAR($A763),'Festive dates'!$A$2:$J$5,2,FALSE),$A763&lt;VLOOKUP(YEAR($A763),'Festive dates'!$A$2:$J$5,3,FALSE)),1,0)</f>
        <v>0</v>
      </c>
      <c r="S763" s="9">
        <f>IF($A763=VLOOKUP(YEAR($A763),'Festive dates'!$A$2:$J$5,2,FALSE),1,0)</f>
        <v>0</v>
      </c>
      <c r="T763" s="9">
        <f>IF($A763=VLOOKUP(YEAR($A763),'Festive dates'!$A$2:$J$5,3,FALSE),1,0)</f>
        <v>0</v>
      </c>
      <c r="U763" s="9">
        <f>IF($A763=VLOOKUP(YEAR($A763),'Festive dates'!$A$2:$J$5,4,FALSE),1,0)</f>
        <v>0</v>
      </c>
      <c r="V763" s="9">
        <f>IF(AND($A763&gt;=VLOOKUP(YEAR($A763),'Festive dates'!$A$2:$J$5,9,FALSE),$A763&lt;=VLOOKUP(YEAR($A763),'Festive dates'!$A$2:$J$5,10,FALSE)),1,0)</f>
        <v>0</v>
      </c>
      <c r="W763" s="9">
        <f>IF($A763=VLOOKUP(YEAR($A763),'Festive dates'!$A$2:$J$5,7,FALSE),1,0)</f>
        <v>0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>
      <c r="A764" s="8">
        <v>45779</v>
      </c>
      <c r="B764" s="9">
        <v>0</v>
      </c>
      <c r="C764" s="9">
        <v>0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f>MAX(-20,MIN(10,$A764-VLOOKUP(YEAR($A764),'Festive dates'!$A$2:$J$5,8,FALSE)))</f>
        <v>-20</v>
      </c>
      <c r="R764" s="9">
        <f>IF(AND($A764&gt;VLOOKUP(YEAR($A764),'Festive dates'!$A$2:$J$5,2,FALSE),$A764&lt;VLOOKUP(YEAR($A764),'Festive dates'!$A$2:$J$5,3,FALSE)),1,0)</f>
        <v>0</v>
      </c>
      <c r="S764" s="9">
        <f>IF($A764=VLOOKUP(YEAR($A764),'Festive dates'!$A$2:$J$5,2,FALSE),1,0)</f>
        <v>0</v>
      </c>
      <c r="T764" s="9">
        <f>IF($A764=VLOOKUP(YEAR($A764),'Festive dates'!$A$2:$J$5,3,FALSE),1,0)</f>
        <v>0</v>
      </c>
      <c r="U764" s="9">
        <f>IF($A764=VLOOKUP(YEAR($A764),'Festive dates'!$A$2:$J$5,4,FALSE),1,0)</f>
        <v>0</v>
      </c>
      <c r="V764" s="9">
        <f>IF(AND($A764&gt;=VLOOKUP(YEAR($A764),'Festive dates'!$A$2:$J$5,9,FALSE),$A764&lt;=VLOOKUP(YEAR($A764),'Festive dates'!$A$2:$J$5,10,FALSE)),1,0)</f>
        <v>0</v>
      </c>
      <c r="W764" s="9">
        <f>IF($A764=VLOOKUP(YEAR($A764),'Festive dates'!$A$2:$J$5,7,FALSE),1,0)</f>
        <v>0</v>
      </c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>
      <c r="A765" s="8">
        <v>45780</v>
      </c>
      <c r="B765" s="9">
        <v>0</v>
      </c>
      <c r="C765" s="9">
        <v>0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1</v>
      </c>
      <c r="Q765" s="9">
        <f>MAX(-20,MIN(10,$A765-VLOOKUP(YEAR($A765),'Festive dates'!$A$2:$J$5,8,FALSE)))</f>
        <v>-20</v>
      </c>
      <c r="R765" s="9">
        <f>IF(AND($A765&gt;VLOOKUP(YEAR($A765),'Festive dates'!$A$2:$J$5,2,FALSE),$A765&lt;VLOOKUP(YEAR($A765),'Festive dates'!$A$2:$J$5,3,FALSE)),1,0)</f>
        <v>0</v>
      </c>
      <c r="S765" s="9">
        <f>IF($A765=VLOOKUP(YEAR($A765),'Festive dates'!$A$2:$J$5,2,FALSE),1,0)</f>
        <v>0</v>
      </c>
      <c r="T765" s="9">
        <f>IF($A765=VLOOKUP(YEAR($A765),'Festive dates'!$A$2:$J$5,3,FALSE),1,0)</f>
        <v>0</v>
      </c>
      <c r="U765" s="9">
        <f>IF($A765=VLOOKUP(YEAR($A765),'Festive dates'!$A$2:$J$5,4,FALSE),1,0)</f>
        <v>0</v>
      </c>
      <c r="V765" s="9">
        <f>IF(AND($A765&gt;=VLOOKUP(YEAR($A765),'Festive dates'!$A$2:$J$5,9,FALSE),$A765&lt;=VLOOKUP(YEAR($A765),'Festive dates'!$A$2:$J$5,10,FALSE)),1,0)</f>
        <v>0</v>
      </c>
      <c r="W765" s="9">
        <f>IF($A765=VLOOKUP(YEAR($A765),'Festive dates'!$A$2:$J$5,7,FALSE),1,0)</f>
        <v>0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>
      <c r="A766" s="8">
        <v>45781</v>
      </c>
      <c r="B766" s="9">
        <v>0</v>
      </c>
      <c r="C766" s="9">
        <v>0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f>MAX(-20,MIN(10,$A766-VLOOKUP(YEAR($A766),'Festive dates'!$A$2:$J$5,8,FALSE)))</f>
        <v>-20</v>
      </c>
      <c r="R766" s="9">
        <f>IF(AND($A766&gt;VLOOKUP(YEAR($A766),'Festive dates'!$A$2:$J$5,2,FALSE),$A766&lt;VLOOKUP(YEAR($A766),'Festive dates'!$A$2:$J$5,3,FALSE)),1,0)</f>
        <v>0</v>
      </c>
      <c r="S766" s="9">
        <f>IF($A766=VLOOKUP(YEAR($A766),'Festive dates'!$A$2:$J$5,2,FALSE),1,0)</f>
        <v>0</v>
      </c>
      <c r="T766" s="9">
        <f>IF($A766=VLOOKUP(YEAR($A766),'Festive dates'!$A$2:$J$5,3,FALSE),1,0)</f>
        <v>0</v>
      </c>
      <c r="U766" s="9">
        <f>IF($A766=VLOOKUP(YEAR($A766),'Festive dates'!$A$2:$J$5,4,FALSE),1,0)</f>
        <v>0</v>
      </c>
      <c r="V766" s="9">
        <f>IF(AND($A766&gt;=VLOOKUP(YEAR($A766),'Festive dates'!$A$2:$J$5,9,FALSE),$A766&lt;=VLOOKUP(YEAR($A766),'Festive dates'!$A$2:$J$5,10,FALSE)),1,0)</f>
        <v>0</v>
      </c>
      <c r="W766" s="9">
        <f>IF($A766=VLOOKUP(YEAR($A766),'Festive dates'!$A$2:$J$5,7,FALSE),1,0)</f>
        <v>0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>
      <c r="A767" s="8">
        <v>45782</v>
      </c>
      <c r="B767" s="9">
        <v>0</v>
      </c>
      <c r="C767" s="9">
        <v>0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f>MAX(-20,MIN(10,$A767-VLOOKUP(YEAR($A767),'Festive dates'!$A$2:$J$5,8,FALSE)))</f>
        <v>-20</v>
      </c>
      <c r="R767" s="9">
        <f>IF(AND($A767&gt;VLOOKUP(YEAR($A767),'Festive dates'!$A$2:$J$5,2,FALSE),$A767&lt;VLOOKUP(YEAR($A767),'Festive dates'!$A$2:$J$5,3,FALSE)),1,0)</f>
        <v>0</v>
      </c>
      <c r="S767" s="9">
        <f>IF($A767=VLOOKUP(YEAR($A767),'Festive dates'!$A$2:$J$5,2,FALSE),1,0)</f>
        <v>0</v>
      </c>
      <c r="T767" s="9">
        <f>IF($A767=VLOOKUP(YEAR($A767),'Festive dates'!$A$2:$J$5,3,FALSE),1,0)</f>
        <v>0</v>
      </c>
      <c r="U767" s="9">
        <f>IF($A767=VLOOKUP(YEAR($A767),'Festive dates'!$A$2:$J$5,4,FALSE),1,0)</f>
        <v>0</v>
      </c>
      <c r="V767" s="9">
        <f>IF(AND($A767&gt;=VLOOKUP(YEAR($A767),'Festive dates'!$A$2:$J$5,9,FALSE),$A767&lt;=VLOOKUP(YEAR($A767),'Festive dates'!$A$2:$J$5,10,FALSE)),1,0)</f>
        <v>0</v>
      </c>
      <c r="W767" s="9">
        <f>IF($A767=VLOOKUP(YEAR($A767),'Festive dates'!$A$2:$J$5,7,FALSE),1,0)</f>
        <v>0</v>
      </c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>
      <c r="A768" s="8">
        <v>45783</v>
      </c>
      <c r="B768" s="9">
        <v>0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f>MAX(-20,MIN(10,$A768-VLOOKUP(YEAR($A768),'Festive dates'!$A$2:$J$5,8,FALSE)))</f>
        <v>-20</v>
      </c>
      <c r="R768" s="9">
        <f>IF(AND($A768&gt;VLOOKUP(YEAR($A768),'Festive dates'!$A$2:$J$5,2,FALSE),$A768&lt;VLOOKUP(YEAR($A768),'Festive dates'!$A$2:$J$5,3,FALSE)),1,0)</f>
        <v>0</v>
      </c>
      <c r="S768" s="9">
        <f>IF($A768=VLOOKUP(YEAR($A768),'Festive dates'!$A$2:$J$5,2,FALSE),1,0)</f>
        <v>0</v>
      </c>
      <c r="T768" s="9">
        <f>IF($A768=VLOOKUP(YEAR($A768),'Festive dates'!$A$2:$J$5,3,FALSE),1,0)</f>
        <v>0</v>
      </c>
      <c r="U768" s="9">
        <f>IF($A768=VLOOKUP(YEAR($A768),'Festive dates'!$A$2:$J$5,4,FALSE),1,0)</f>
        <v>0</v>
      </c>
      <c r="V768" s="9">
        <f>IF(AND($A768&gt;=VLOOKUP(YEAR($A768),'Festive dates'!$A$2:$J$5,9,FALSE),$A768&lt;=VLOOKUP(YEAR($A768),'Festive dates'!$A$2:$J$5,10,FALSE)),1,0)</f>
        <v>0</v>
      </c>
      <c r="W768" s="9">
        <f>IF($A768=VLOOKUP(YEAR($A768),'Festive dates'!$A$2:$J$5,7,FALSE),1,0)</f>
        <v>0</v>
      </c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>
      <c r="A769" s="8">
        <v>45784</v>
      </c>
      <c r="B769" s="9">
        <v>0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1</v>
      </c>
      <c r="Q769" s="9">
        <f>MAX(-20,MIN(10,$A769-VLOOKUP(YEAR($A769),'Festive dates'!$A$2:$J$5,8,FALSE)))</f>
        <v>-20</v>
      </c>
      <c r="R769" s="9">
        <f>IF(AND($A769&gt;VLOOKUP(YEAR($A769),'Festive dates'!$A$2:$J$5,2,FALSE),$A769&lt;VLOOKUP(YEAR($A769),'Festive dates'!$A$2:$J$5,3,FALSE)),1,0)</f>
        <v>0</v>
      </c>
      <c r="S769" s="9">
        <f>IF($A769=VLOOKUP(YEAR($A769),'Festive dates'!$A$2:$J$5,2,FALSE),1,0)</f>
        <v>0</v>
      </c>
      <c r="T769" s="9">
        <f>IF($A769=VLOOKUP(YEAR($A769),'Festive dates'!$A$2:$J$5,3,FALSE),1,0)</f>
        <v>0</v>
      </c>
      <c r="U769" s="9">
        <f>IF($A769=VLOOKUP(YEAR($A769),'Festive dates'!$A$2:$J$5,4,FALSE),1,0)</f>
        <v>0</v>
      </c>
      <c r="V769" s="9">
        <f>IF(AND($A769&gt;=VLOOKUP(YEAR($A769),'Festive dates'!$A$2:$J$5,9,FALSE),$A769&lt;=VLOOKUP(YEAR($A769),'Festive dates'!$A$2:$J$5,10,FALSE)),1,0)</f>
        <v>0</v>
      </c>
      <c r="W769" s="9">
        <f>IF($A769=VLOOKUP(YEAR($A769),'Festive dates'!$A$2:$J$5,7,FALSE),1,0)</f>
        <v>0</v>
      </c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>
      <c r="A770" s="8">
        <v>45785</v>
      </c>
      <c r="B770" s="9">
        <v>0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1</v>
      </c>
      <c r="Q770" s="9">
        <f>MAX(-20,MIN(10,$A770-VLOOKUP(YEAR($A770),'Festive dates'!$A$2:$J$5,8,FALSE)))</f>
        <v>-20</v>
      </c>
      <c r="R770" s="9">
        <f>IF(AND($A770&gt;VLOOKUP(YEAR($A770),'Festive dates'!$A$2:$J$5,2,FALSE),$A770&lt;VLOOKUP(YEAR($A770),'Festive dates'!$A$2:$J$5,3,FALSE)),1,0)</f>
        <v>0</v>
      </c>
      <c r="S770" s="9">
        <f>IF($A770=VLOOKUP(YEAR($A770),'Festive dates'!$A$2:$J$5,2,FALSE),1,0)</f>
        <v>0</v>
      </c>
      <c r="T770" s="9">
        <f>IF($A770=VLOOKUP(YEAR($A770),'Festive dates'!$A$2:$J$5,3,FALSE),1,0)</f>
        <v>0</v>
      </c>
      <c r="U770" s="9">
        <f>IF($A770=VLOOKUP(YEAR($A770),'Festive dates'!$A$2:$J$5,4,FALSE),1,0)</f>
        <v>0</v>
      </c>
      <c r="V770" s="9">
        <f>IF(AND($A770&gt;=VLOOKUP(YEAR($A770),'Festive dates'!$A$2:$J$5,9,FALSE),$A770&lt;=VLOOKUP(YEAR($A770),'Festive dates'!$A$2:$J$5,10,FALSE)),1,0)</f>
        <v>0</v>
      </c>
      <c r="W770" s="9">
        <f>IF($A770=VLOOKUP(YEAR($A770),'Festive dates'!$A$2:$J$5,7,FALSE),1,0)</f>
        <v>0</v>
      </c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>
      <c r="A771" s="8">
        <v>45786</v>
      </c>
      <c r="B771" s="9">
        <v>0</v>
      </c>
      <c r="C771" s="9">
        <v>0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1</v>
      </c>
      <c r="Q771" s="9">
        <f>MAX(-20,MIN(10,$A771-VLOOKUP(YEAR($A771),'Festive dates'!$A$2:$J$5,8,FALSE)))</f>
        <v>-20</v>
      </c>
      <c r="R771" s="9">
        <f>IF(AND($A771&gt;VLOOKUP(YEAR($A771),'Festive dates'!$A$2:$J$5,2,FALSE),$A771&lt;VLOOKUP(YEAR($A771),'Festive dates'!$A$2:$J$5,3,FALSE)),1,0)</f>
        <v>0</v>
      </c>
      <c r="S771" s="9">
        <f>IF($A771=VLOOKUP(YEAR($A771),'Festive dates'!$A$2:$J$5,2,FALSE),1,0)</f>
        <v>0</v>
      </c>
      <c r="T771" s="9">
        <f>IF($A771=VLOOKUP(YEAR($A771),'Festive dates'!$A$2:$J$5,3,FALSE),1,0)</f>
        <v>0</v>
      </c>
      <c r="U771" s="9">
        <f>IF($A771=VLOOKUP(YEAR($A771),'Festive dates'!$A$2:$J$5,4,FALSE),1,0)</f>
        <v>0</v>
      </c>
      <c r="V771" s="9">
        <f>IF(AND($A771&gt;=VLOOKUP(YEAR($A771),'Festive dates'!$A$2:$J$5,9,FALSE),$A771&lt;=VLOOKUP(YEAR($A771),'Festive dates'!$A$2:$J$5,10,FALSE)),1,0)</f>
        <v>0</v>
      </c>
      <c r="W771" s="9">
        <f>IF($A771=VLOOKUP(YEAR($A771),'Festive dates'!$A$2:$J$5,7,FALSE),1,0)</f>
        <v>0</v>
      </c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>
      <c r="A772" s="8">
        <v>45787</v>
      </c>
      <c r="B772" s="9">
        <v>0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1</v>
      </c>
      <c r="Q772" s="9">
        <f>MAX(-20,MIN(10,$A772-VLOOKUP(YEAR($A772),'Festive dates'!$A$2:$J$5,8,FALSE)))</f>
        <v>-20</v>
      </c>
      <c r="R772" s="9">
        <f>IF(AND($A772&gt;VLOOKUP(YEAR($A772),'Festive dates'!$A$2:$J$5,2,FALSE),$A772&lt;VLOOKUP(YEAR($A772),'Festive dates'!$A$2:$J$5,3,FALSE)),1,0)</f>
        <v>0</v>
      </c>
      <c r="S772" s="9">
        <f>IF($A772=VLOOKUP(YEAR($A772),'Festive dates'!$A$2:$J$5,2,FALSE),1,0)</f>
        <v>0</v>
      </c>
      <c r="T772" s="9">
        <f>IF($A772=VLOOKUP(YEAR($A772),'Festive dates'!$A$2:$J$5,3,FALSE),1,0)</f>
        <v>0</v>
      </c>
      <c r="U772" s="9">
        <f>IF($A772=VLOOKUP(YEAR($A772),'Festive dates'!$A$2:$J$5,4,FALSE),1,0)</f>
        <v>0</v>
      </c>
      <c r="V772" s="9">
        <f>IF(AND($A772&gt;=VLOOKUP(YEAR($A772),'Festive dates'!$A$2:$J$5,9,FALSE),$A772&lt;=VLOOKUP(YEAR($A772),'Festive dates'!$A$2:$J$5,10,FALSE)),1,0)</f>
        <v>0</v>
      </c>
      <c r="W772" s="9">
        <f>IF($A772=VLOOKUP(YEAR($A772),'Festive dates'!$A$2:$J$5,7,FALSE),1,0)</f>
        <v>0</v>
      </c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>
      <c r="A773" s="8">
        <v>45788</v>
      </c>
      <c r="B773" s="9">
        <v>0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1</v>
      </c>
      <c r="Q773" s="9">
        <f>MAX(-20,MIN(10,$A773-VLOOKUP(YEAR($A773),'Festive dates'!$A$2:$J$5,8,FALSE)))</f>
        <v>-20</v>
      </c>
      <c r="R773" s="9">
        <f>IF(AND($A773&gt;VLOOKUP(YEAR($A773),'Festive dates'!$A$2:$J$5,2,FALSE),$A773&lt;VLOOKUP(YEAR($A773),'Festive dates'!$A$2:$J$5,3,FALSE)),1,0)</f>
        <v>0</v>
      </c>
      <c r="S773" s="9">
        <f>IF($A773=VLOOKUP(YEAR($A773),'Festive dates'!$A$2:$J$5,2,FALSE),1,0)</f>
        <v>0</v>
      </c>
      <c r="T773" s="9">
        <f>IF($A773=VLOOKUP(YEAR($A773),'Festive dates'!$A$2:$J$5,3,FALSE),1,0)</f>
        <v>0</v>
      </c>
      <c r="U773" s="9">
        <f>IF($A773=VLOOKUP(YEAR($A773),'Festive dates'!$A$2:$J$5,4,FALSE),1,0)</f>
        <v>0</v>
      </c>
      <c r="V773" s="9">
        <f>IF(AND($A773&gt;=VLOOKUP(YEAR($A773),'Festive dates'!$A$2:$J$5,9,FALSE),$A773&lt;=VLOOKUP(YEAR($A773),'Festive dates'!$A$2:$J$5,10,FALSE)),1,0)</f>
        <v>0</v>
      </c>
      <c r="W773" s="9">
        <f>IF($A773=VLOOKUP(YEAR($A773),'Festive dates'!$A$2:$J$5,7,FALSE),1,0)</f>
        <v>0</v>
      </c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>
      <c r="A774" s="8">
        <v>45789</v>
      </c>
      <c r="B774" s="9">
        <v>0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1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f>MAX(-20,MIN(10,$A774-VLOOKUP(YEAR($A774),'Festive dates'!$A$2:$J$5,8,FALSE)))</f>
        <v>-20</v>
      </c>
      <c r="R774" s="9">
        <f>IF(AND($A774&gt;VLOOKUP(YEAR($A774),'Festive dates'!$A$2:$J$5,2,FALSE),$A774&lt;VLOOKUP(YEAR($A774),'Festive dates'!$A$2:$J$5,3,FALSE)),1,0)</f>
        <v>0</v>
      </c>
      <c r="S774" s="9">
        <f>IF($A774=VLOOKUP(YEAR($A774),'Festive dates'!$A$2:$J$5,2,FALSE),1,0)</f>
        <v>0</v>
      </c>
      <c r="T774" s="9">
        <f>IF($A774=VLOOKUP(YEAR($A774),'Festive dates'!$A$2:$J$5,3,FALSE),1,0)</f>
        <v>0</v>
      </c>
      <c r="U774" s="9">
        <f>IF($A774=VLOOKUP(YEAR($A774),'Festive dates'!$A$2:$J$5,4,FALSE),1,0)</f>
        <v>0</v>
      </c>
      <c r="V774" s="9">
        <f>IF(AND($A774&gt;=VLOOKUP(YEAR($A774),'Festive dates'!$A$2:$J$5,9,FALSE),$A774&lt;=VLOOKUP(YEAR($A774),'Festive dates'!$A$2:$J$5,10,FALSE)),1,0)</f>
        <v>0</v>
      </c>
      <c r="W774" s="9">
        <f>IF($A774=VLOOKUP(YEAR($A774),'Festive dates'!$A$2:$J$5,7,FALSE),1,0)</f>
        <v>0</v>
      </c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>
      <c r="A775" s="8">
        <v>45790</v>
      </c>
      <c r="B775" s="9">
        <v>0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f>MAX(-20,MIN(10,$A775-VLOOKUP(YEAR($A775),'Festive dates'!$A$2:$J$5,8,FALSE)))</f>
        <v>-20</v>
      </c>
      <c r="R775" s="9">
        <f>IF(AND($A775&gt;VLOOKUP(YEAR($A775),'Festive dates'!$A$2:$J$5,2,FALSE),$A775&lt;VLOOKUP(YEAR($A775),'Festive dates'!$A$2:$J$5,3,FALSE)),1,0)</f>
        <v>0</v>
      </c>
      <c r="S775" s="9">
        <f>IF($A775=VLOOKUP(YEAR($A775),'Festive dates'!$A$2:$J$5,2,FALSE),1,0)</f>
        <v>0</v>
      </c>
      <c r="T775" s="9">
        <f>IF($A775=VLOOKUP(YEAR($A775),'Festive dates'!$A$2:$J$5,3,FALSE),1,0)</f>
        <v>0</v>
      </c>
      <c r="U775" s="9">
        <f>IF($A775=VLOOKUP(YEAR($A775),'Festive dates'!$A$2:$J$5,4,FALSE),1,0)</f>
        <v>0</v>
      </c>
      <c r="V775" s="9">
        <f>IF(AND($A775&gt;=VLOOKUP(YEAR($A775),'Festive dates'!$A$2:$J$5,9,FALSE),$A775&lt;=VLOOKUP(YEAR($A775),'Festive dates'!$A$2:$J$5,10,FALSE)),1,0)</f>
        <v>0</v>
      </c>
      <c r="W775" s="9">
        <f>IF($A775=VLOOKUP(YEAR($A775),'Festive dates'!$A$2:$J$5,7,FALSE),1,0)</f>
        <v>0</v>
      </c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>
      <c r="A776" s="8">
        <v>45791</v>
      </c>
      <c r="B776" s="9">
        <v>0</v>
      </c>
      <c r="C776" s="9">
        <v>0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f>MAX(-20,MIN(10,$A776-VLOOKUP(YEAR($A776),'Festive dates'!$A$2:$J$5,8,FALSE)))</f>
        <v>-20</v>
      </c>
      <c r="R776" s="9">
        <f>IF(AND($A776&gt;VLOOKUP(YEAR($A776),'Festive dates'!$A$2:$J$5,2,FALSE),$A776&lt;VLOOKUP(YEAR($A776),'Festive dates'!$A$2:$J$5,3,FALSE)),1,0)</f>
        <v>0</v>
      </c>
      <c r="S776" s="9">
        <f>IF($A776=VLOOKUP(YEAR($A776),'Festive dates'!$A$2:$J$5,2,FALSE),1,0)</f>
        <v>0</v>
      </c>
      <c r="T776" s="9">
        <f>IF($A776=VLOOKUP(YEAR($A776),'Festive dates'!$A$2:$J$5,3,FALSE),1,0)</f>
        <v>0</v>
      </c>
      <c r="U776" s="9">
        <f>IF($A776=VLOOKUP(YEAR($A776),'Festive dates'!$A$2:$J$5,4,FALSE),1,0)</f>
        <v>0</v>
      </c>
      <c r="V776" s="9">
        <f>IF(AND($A776&gt;=VLOOKUP(YEAR($A776),'Festive dates'!$A$2:$J$5,9,FALSE),$A776&lt;=VLOOKUP(YEAR($A776),'Festive dates'!$A$2:$J$5,10,FALSE)),1,0)</f>
        <v>0</v>
      </c>
      <c r="W776" s="9">
        <f>IF($A776=VLOOKUP(YEAR($A776),'Festive dates'!$A$2:$J$5,7,FALSE),1,0)</f>
        <v>0</v>
      </c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>
      <c r="A777" s="8">
        <v>45792</v>
      </c>
      <c r="B777" s="9">
        <v>0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1</v>
      </c>
      <c r="Q777" s="9">
        <f>MAX(-20,MIN(10,$A777-VLOOKUP(YEAR($A777),'Festive dates'!$A$2:$J$5,8,FALSE)))</f>
        <v>-20</v>
      </c>
      <c r="R777" s="9">
        <f>IF(AND($A777&gt;VLOOKUP(YEAR($A777),'Festive dates'!$A$2:$J$5,2,FALSE),$A777&lt;VLOOKUP(YEAR($A777),'Festive dates'!$A$2:$J$5,3,FALSE)),1,0)</f>
        <v>0</v>
      </c>
      <c r="S777" s="9">
        <f>IF($A777=VLOOKUP(YEAR($A777),'Festive dates'!$A$2:$J$5,2,FALSE),1,0)</f>
        <v>0</v>
      </c>
      <c r="T777" s="9">
        <f>IF($A777=VLOOKUP(YEAR($A777),'Festive dates'!$A$2:$J$5,3,FALSE),1,0)</f>
        <v>0</v>
      </c>
      <c r="U777" s="9">
        <f>IF($A777=VLOOKUP(YEAR($A777),'Festive dates'!$A$2:$J$5,4,FALSE),1,0)</f>
        <v>0</v>
      </c>
      <c r="V777" s="9">
        <f>IF(AND($A777&gt;=VLOOKUP(YEAR($A777),'Festive dates'!$A$2:$J$5,9,FALSE),$A777&lt;=VLOOKUP(YEAR($A777),'Festive dates'!$A$2:$J$5,10,FALSE)),1,0)</f>
        <v>0</v>
      </c>
      <c r="W777" s="9">
        <f>IF($A777=VLOOKUP(YEAR($A777),'Festive dates'!$A$2:$J$5,7,FALSE),1,0)</f>
        <v>0</v>
      </c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>
      <c r="A778" s="8">
        <v>45793</v>
      </c>
      <c r="B778" s="9">
        <v>0</v>
      </c>
      <c r="C778" s="9">
        <v>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1</v>
      </c>
      <c r="Q778" s="9">
        <f>MAX(-20,MIN(10,$A778-VLOOKUP(YEAR($A778),'Festive dates'!$A$2:$J$5,8,FALSE)))</f>
        <v>-20</v>
      </c>
      <c r="R778" s="9">
        <f>IF(AND($A778&gt;VLOOKUP(YEAR($A778),'Festive dates'!$A$2:$J$5,2,FALSE),$A778&lt;VLOOKUP(YEAR($A778),'Festive dates'!$A$2:$J$5,3,FALSE)),1,0)</f>
        <v>0</v>
      </c>
      <c r="S778" s="9">
        <f>IF($A778=VLOOKUP(YEAR($A778),'Festive dates'!$A$2:$J$5,2,FALSE),1,0)</f>
        <v>0</v>
      </c>
      <c r="T778" s="9">
        <f>IF($A778=VLOOKUP(YEAR($A778),'Festive dates'!$A$2:$J$5,3,FALSE),1,0)</f>
        <v>0</v>
      </c>
      <c r="U778" s="9">
        <f>IF($A778=VLOOKUP(YEAR($A778),'Festive dates'!$A$2:$J$5,4,FALSE),1,0)</f>
        <v>0</v>
      </c>
      <c r="V778" s="9">
        <f>IF(AND($A778&gt;=VLOOKUP(YEAR($A778),'Festive dates'!$A$2:$J$5,9,FALSE),$A778&lt;=VLOOKUP(YEAR($A778),'Festive dates'!$A$2:$J$5,10,FALSE)),1,0)</f>
        <v>0</v>
      </c>
      <c r="W778" s="9">
        <f>IF($A778=VLOOKUP(YEAR($A778),'Festive dates'!$A$2:$J$5,7,FALSE),1,0)</f>
        <v>0</v>
      </c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>
      <c r="A779" s="8">
        <v>45794</v>
      </c>
      <c r="B779" s="9">
        <v>0</v>
      </c>
      <c r="C779" s="9">
        <v>0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1</v>
      </c>
      <c r="Q779" s="9">
        <f>MAX(-20,MIN(10,$A779-VLOOKUP(YEAR($A779),'Festive dates'!$A$2:$J$5,8,FALSE)))</f>
        <v>-20</v>
      </c>
      <c r="R779" s="9">
        <f>IF(AND($A779&gt;VLOOKUP(YEAR($A779),'Festive dates'!$A$2:$J$5,2,FALSE),$A779&lt;VLOOKUP(YEAR($A779),'Festive dates'!$A$2:$J$5,3,FALSE)),1,0)</f>
        <v>0</v>
      </c>
      <c r="S779" s="9">
        <f>IF($A779=VLOOKUP(YEAR($A779),'Festive dates'!$A$2:$J$5,2,FALSE),1,0)</f>
        <v>0</v>
      </c>
      <c r="T779" s="9">
        <f>IF($A779=VLOOKUP(YEAR($A779),'Festive dates'!$A$2:$J$5,3,FALSE),1,0)</f>
        <v>0</v>
      </c>
      <c r="U779" s="9">
        <f>IF($A779=VLOOKUP(YEAR($A779),'Festive dates'!$A$2:$J$5,4,FALSE),1,0)</f>
        <v>0</v>
      </c>
      <c r="V779" s="9">
        <f>IF(AND($A779&gt;=VLOOKUP(YEAR($A779),'Festive dates'!$A$2:$J$5,9,FALSE),$A779&lt;=VLOOKUP(YEAR($A779),'Festive dates'!$A$2:$J$5,10,FALSE)),1,0)</f>
        <v>0</v>
      </c>
      <c r="W779" s="9">
        <f>IF($A779=VLOOKUP(YEAR($A779),'Festive dates'!$A$2:$J$5,7,FALSE),1,0)</f>
        <v>0</v>
      </c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>
      <c r="A780" s="8">
        <v>45795</v>
      </c>
      <c r="B780" s="9">
        <v>0</v>
      </c>
      <c r="C780" s="9">
        <v>0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f>MAX(-20,MIN(10,$A780-VLOOKUP(YEAR($A780),'Festive dates'!$A$2:$J$5,8,FALSE)))</f>
        <v>-20</v>
      </c>
      <c r="R780" s="9">
        <f>IF(AND($A780&gt;VLOOKUP(YEAR($A780),'Festive dates'!$A$2:$J$5,2,FALSE),$A780&lt;VLOOKUP(YEAR($A780),'Festive dates'!$A$2:$J$5,3,FALSE)),1,0)</f>
        <v>0</v>
      </c>
      <c r="S780" s="9">
        <f>IF($A780=VLOOKUP(YEAR($A780),'Festive dates'!$A$2:$J$5,2,FALSE),1,0)</f>
        <v>0</v>
      </c>
      <c r="T780" s="9">
        <f>IF($A780=VLOOKUP(YEAR($A780),'Festive dates'!$A$2:$J$5,3,FALSE),1,0)</f>
        <v>0</v>
      </c>
      <c r="U780" s="9">
        <f>IF($A780=VLOOKUP(YEAR($A780),'Festive dates'!$A$2:$J$5,4,FALSE),1,0)</f>
        <v>0</v>
      </c>
      <c r="V780" s="9">
        <f>IF(AND($A780&gt;=VLOOKUP(YEAR($A780),'Festive dates'!$A$2:$J$5,9,FALSE),$A780&lt;=VLOOKUP(YEAR($A780),'Festive dates'!$A$2:$J$5,10,FALSE)),1,0)</f>
        <v>0</v>
      </c>
      <c r="W780" s="9">
        <f>IF($A780=VLOOKUP(YEAR($A780),'Festive dates'!$A$2:$J$5,7,FALSE),1,0)</f>
        <v>0</v>
      </c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>
      <c r="A781" s="8">
        <v>45796</v>
      </c>
      <c r="B781" s="9">
        <v>0</v>
      </c>
      <c r="C781" s="9">
        <v>0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f>MAX(-20,MIN(10,$A781-VLOOKUP(YEAR($A781),'Festive dates'!$A$2:$J$5,8,FALSE)))</f>
        <v>-20</v>
      </c>
      <c r="R781" s="9">
        <f>IF(AND($A781&gt;VLOOKUP(YEAR($A781),'Festive dates'!$A$2:$J$5,2,FALSE),$A781&lt;VLOOKUP(YEAR($A781),'Festive dates'!$A$2:$J$5,3,FALSE)),1,0)</f>
        <v>0</v>
      </c>
      <c r="S781" s="9">
        <f>IF($A781=VLOOKUP(YEAR($A781),'Festive dates'!$A$2:$J$5,2,FALSE),1,0)</f>
        <v>0</v>
      </c>
      <c r="T781" s="9">
        <f>IF($A781=VLOOKUP(YEAR($A781),'Festive dates'!$A$2:$J$5,3,FALSE),1,0)</f>
        <v>0</v>
      </c>
      <c r="U781" s="9">
        <f>IF($A781=VLOOKUP(YEAR($A781),'Festive dates'!$A$2:$J$5,4,FALSE),1,0)</f>
        <v>0</v>
      </c>
      <c r="V781" s="9">
        <f>IF(AND($A781&gt;=VLOOKUP(YEAR($A781),'Festive dates'!$A$2:$J$5,9,FALSE),$A781&lt;=VLOOKUP(YEAR($A781),'Festive dates'!$A$2:$J$5,10,FALSE)),1,0)</f>
        <v>0</v>
      </c>
      <c r="W781" s="9">
        <f>IF($A781=VLOOKUP(YEAR($A781),'Festive dates'!$A$2:$J$5,7,FALSE),1,0)</f>
        <v>0</v>
      </c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>
      <c r="A782" s="8">
        <v>45797</v>
      </c>
      <c r="B782" s="9">
        <v>0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1</v>
      </c>
      <c r="Q782" s="9">
        <f>MAX(-20,MIN(10,$A782-VLOOKUP(YEAR($A782),'Festive dates'!$A$2:$J$5,8,FALSE)))</f>
        <v>-20</v>
      </c>
      <c r="R782" s="9">
        <f>IF(AND($A782&gt;VLOOKUP(YEAR($A782),'Festive dates'!$A$2:$J$5,2,FALSE),$A782&lt;VLOOKUP(YEAR($A782),'Festive dates'!$A$2:$J$5,3,FALSE)),1,0)</f>
        <v>0</v>
      </c>
      <c r="S782" s="9">
        <f>IF($A782=VLOOKUP(YEAR($A782),'Festive dates'!$A$2:$J$5,2,FALSE),1,0)</f>
        <v>0</v>
      </c>
      <c r="T782" s="9">
        <f>IF($A782=VLOOKUP(YEAR($A782),'Festive dates'!$A$2:$J$5,3,FALSE),1,0)</f>
        <v>0</v>
      </c>
      <c r="U782" s="9">
        <f>IF($A782=VLOOKUP(YEAR($A782),'Festive dates'!$A$2:$J$5,4,FALSE),1,0)</f>
        <v>0</v>
      </c>
      <c r="V782" s="9">
        <f>IF(AND($A782&gt;=VLOOKUP(YEAR($A782),'Festive dates'!$A$2:$J$5,9,FALSE),$A782&lt;=VLOOKUP(YEAR($A782),'Festive dates'!$A$2:$J$5,10,FALSE)),1,0)</f>
        <v>0</v>
      </c>
      <c r="W782" s="9">
        <f>IF($A782=VLOOKUP(YEAR($A782),'Festive dates'!$A$2:$J$5,7,FALSE),1,0)</f>
        <v>0</v>
      </c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>
      <c r="A783" s="8">
        <v>45798</v>
      </c>
      <c r="B783" s="9">
        <v>0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1</v>
      </c>
      <c r="Q783" s="9">
        <f>MAX(-20,MIN(10,$A783-VLOOKUP(YEAR($A783),'Festive dates'!$A$2:$J$5,8,FALSE)))</f>
        <v>-20</v>
      </c>
      <c r="R783" s="9">
        <f>IF(AND($A783&gt;VLOOKUP(YEAR($A783),'Festive dates'!$A$2:$J$5,2,FALSE),$A783&lt;VLOOKUP(YEAR($A783),'Festive dates'!$A$2:$J$5,3,FALSE)),1,0)</f>
        <v>0</v>
      </c>
      <c r="S783" s="9">
        <f>IF($A783=VLOOKUP(YEAR($A783),'Festive dates'!$A$2:$J$5,2,FALSE),1,0)</f>
        <v>0</v>
      </c>
      <c r="T783" s="9">
        <f>IF($A783=VLOOKUP(YEAR($A783),'Festive dates'!$A$2:$J$5,3,FALSE),1,0)</f>
        <v>0</v>
      </c>
      <c r="U783" s="9">
        <f>IF($A783=VLOOKUP(YEAR($A783),'Festive dates'!$A$2:$J$5,4,FALSE),1,0)</f>
        <v>0</v>
      </c>
      <c r="V783" s="9">
        <f>IF(AND($A783&gt;=VLOOKUP(YEAR($A783),'Festive dates'!$A$2:$J$5,9,FALSE),$A783&lt;=VLOOKUP(YEAR($A783),'Festive dates'!$A$2:$J$5,10,FALSE)),1,0)</f>
        <v>0</v>
      </c>
      <c r="W783" s="9">
        <f>IF($A783=VLOOKUP(YEAR($A783),'Festive dates'!$A$2:$J$5,7,FALSE),1,0)</f>
        <v>0</v>
      </c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>
      <c r="A784" s="8">
        <v>45799</v>
      </c>
      <c r="B784" s="9">
        <v>0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f>MAX(-20,MIN(10,$A784-VLOOKUP(YEAR($A784),'Festive dates'!$A$2:$J$5,8,FALSE)))</f>
        <v>-20</v>
      </c>
      <c r="R784" s="9">
        <f>IF(AND($A784&gt;VLOOKUP(YEAR($A784),'Festive dates'!$A$2:$J$5,2,FALSE),$A784&lt;VLOOKUP(YEAR($A784),'Festive dates'!$A$2:$J$5,3,FALSE)),1,0)</f>
        <v>0</v>
      </c>
      <c r="S784" s="9">
        <f>IF($A784=VLOOKUP(YEAR($A784),'Festive dates'!$A$2:$J$5,2,FALSE),1,0)</f>
        <v>0</v>
      </c>
      <c r="T784" s="9">
        <f>IF($A784=VLOOKUP(YEAR($A784),'Festive dates'!$A$2:$J$5,3,FALSE),1,0)</f>
        <v>0</v>
      </c>
      <c r="U784" s="9">
        <f>IF($A784=VLOOKUP(YEAR($A784),'Festive dates'!$A$2:$J$5,4,FALSE),1,0)</f>
        <v>0</v>
      </c>
      <c r="V784" s="9">
        <f>IF(AND($A784&gt;=VLOOKUP(YEAR($A784),'Festive dates'!$A$2:$J$5,9,FALSE),$A784&lt;=VLOOKUP(YEAR($A784),'Festive dates'!$A$2:$J$5,10,FALSE)),1,0)</f>
        <v>0</v>
      </c>
      <c r="W784" s="9">
        <f>IF($A784=VLOOKUP(YEAR($A784),'Festive dates'!$A$2:$J$5,7,FALSE),1,0)</f>
        <v>0</v>
      </c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>
      <c r="A785" s="8">
        <v>45800</v>
      </c>
      <c r="B785" s="9">
        <v>0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f>MAX(-20,MIN(10,$A785-VLOOKUP(YEAR($A785),'Festive dates'!$A$2:$J$5,8,FALSE)))</f>
        <v>-20</v>
      </c>
      <c r="R785" s="9">
        <f>IF(AND($A785&gt;VLOOKUP(YEAR($A785),'Festive dates'!$A$2:$J$5,2,FALSE),$A785&lt;VLOOKUP(YEAR($A785),'Festive dates'!$A$2:$J$5,3,FALSE)),1,0)</f>
        <v>0</v>
      </c>
      <c r="S785" s="9">
        <f>IF($A785=VLOOKUP(YEAR($A785),'Festive dates'!$A$2:$J$5,2,FALSE),1,0)</f>
        <v>0</v>
      </c>
      <c r="T785" s="9">
        <f>IF($A785=VLOOKUP(YEAR($A785),'Festive dates'!$A$2:$J$5,3,FALSE),1,0)</f>
        <v>0</v>
      </c>
      <c r="U785" s="9">
        <f>IF($A785=VLOOKUP(YEAR($A785),'Festive dates'!$A$2:$J$5,4,FALSE),1,0)</f>
        <v>0</v>
      </c>
      <c r="V785" s="9">
        <f>IF(AND($A785&gt;=VLOOKUP(YEAR($A785),'Festive dates'!$A$2:$J$5,9,FALSE),$A785&lt;=VLOOKUP(YEAR($A785),'Festive dates'!$A$2:$J$5,10,FALSE)),1,0)</f>
        <v>0</v>
      </c>
      <c r="W785" s="9">
        <f>IF($A785=VLOOKUP(YEAR($A785),'Festive dates'!$A$2:$J$5,7,FALSE),1,0)</f>
        <v>0</v>
      </c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>
      <c r="A786" s="8">
        <v>45801</v>
      </c>
      <c r="B786" s="9">
        <v>0</v>
      </c>
      <c r="C786" s="9">
        <v>0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f>MAX(-20,MIN(10,$A786-VLOOKUP(YEAR($A786),'Festive dates'!$A$2:$J$5,8,FALSE)))</f>
        <v>-20</v>
      </c>
      <c r="R786" s="9">
        <f>IF(AND($A786&gt;VLOOKUP(YEAR($A786),'Festive dates'!$A$2:$J$5,2,FALSE),$A786&lt;VLOOKUP(YEAR($A786),'Festive dates'!$A$2:$J$5,3,FALSE)),1,0)</f>
        <v>0</v>
      </c>
      <c r="S786" s="9">
        <f>IF($A786=VLOOKUP(YEAR($A786),'Festive dates'!$A$2:$J$5,2,FALSE),1,0)</f>
        <v>0</v>
      </c>
      <c r="T786" s="9">
        <f>IF($A786=VLOOKUP(YEAR($A786),'Festive dates'!$A$2:$J$5,3,FALSE),1,0)</f>
        <v>0</v>
      </c>
      <c r="U786" s="9">
        <f>IF($A786=VLOOKUP(YEAR($A786),'Festive dates'!$A$2:$J$5,4,FALSE),1,0)</f>
        <v>0</v>
      </c>
      <c r="V786" s="9">
        <f>IF(AND($A786&gt;=VLOOKUP(YEAR($A786),'Festive dates'!$A$2:$J$5,9,FALSE),$A786&lt;=VLOOKUP(YEAR($A786),'Festive dates'!$A$2:$J$5,10,FALSE)),1,0)</f>
        <v>0</v>
      </c>
      <c r="W786" s="9">
        <f>IF($A786=VLOOKUP(YEAR($A786),'Festive dates'!$A$2:$J$5,7,FALSE),1,0)</f>
        <v>0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>
      <c r="A787" s="8">
        <v>45802</v>
      </c>
      <c r="B787" s="9">
        <v>0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f>MAX(-20,MIN(10,$A787-VLOOKUP(YEAR($A787),'Festive dates'!$A$2:$J$5,8,FALSE)))</f>
        <v>-20</v>
      </c>
      <c r="R787" s="9">
        <f>IF(AND($A787&gt;VLOOKUP(YEAR($A787),'Festive dates'!$A$2:$J$5,2,FALSE),$A787&lt;VLOOKUP(YEAR($A787),'Festive dates'!$A$2:$J$5,3,FALSE)),1,0)</f>
        <v>0</v>
      </c>
      <c r="S787" s="9">
        <f>IF($A787=VLOOKUP(YEAR($A787),'Festive dates'!$A$2:$J$5,2,FALSE),1,0)</f>
        <v>0</v>
      </c>
      <c r="T787" s="9">
        <f>IF($A787=VLOOKUP(YEAR($A787),'Festive dates'!$A$2:$J$5,3,FALSE),1,0)</f>
        <v>0</v>
      </c>
      <c r="U787" s="9">
        <f>IF($A787=VLOOKUP(YEAR($A787),'Festive dates'!$A$2:$J$5,4,FALSE),1,0)</f>
        <v>0</v>
      </c>
      <c r="V787" s="9">
        <f>IF(AND($A787&gt;=VLOOKUP(YEAR($A787),'Festive dates'!$A$2:$J$5,9,FALSE),$A787&lt;=VLOOKUP(YEAR($A787),'Festive dates'!$A$2:$J$5,10,FALSE)),1,0)</f>
        <v>0</v>
      </c>
      <c r="W787" s="9">
        <f>IF($A787=VLOOKUP(YEAR($A787),'Festive dates'!$A$2:$J$5,7,FALSE),1,0)</f>
        <v>0</v>
      </c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>
      <c r="A788" s="8">
        <v>45803</v>
      </c>
      <c r="B788" s="9">
        <v>0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1</v>
      </c>
      <c r="Q788" s="9">
        <f>MAX(-20,MIN(10,$A788-VLOOKUP(YEAR($A788),'Festive dates'!$A$2:$J$5,8,FALSE)))</f>
        <v>-20</v>
      </c>
      <c r="R788" s="9">
        <f>IF(AND($A788&gt;VLOOKUP(YEAR($A788),'Festive dates'!$A$2:$J$5,2,FALSE),$A788&lt;VLOOKUP(YEAR($A788),'Festive dates'!$A$2:$J$5,3,FALSE)),1,0)</f>
        <v>0</v>
      </c>
      <c r="S788" s="9">
        <f>IF($A788=VLOOKUP(YEAR($A788),'Festive dates'!$A$2:$J$5,2,FALSE),1,0)</f>
        <v>0</v>
      </c>
      <c r="T788" s="9">
        <f>IF($A788=VLOOKUP(YEAR($A788),'Festive dates'!$A$2:$J$5,3,FALSE),1,0)</f>
        <v>0</v>
      </c>
      <c r="U788" s="9">
        <f>IF($A788=VLOOKUP(YEAR($A788),'Festive dates'!$A$2:$J$5,4,FALSE),1,0)</f>
        <v>0</v>
      </c>
      <c r="V788" s="9">
        <f>IF(AND($A788&gt;=VLOOKUP(YEAR($A788),'Festive dates'!$A$2:$J$5,9,FALSE),$A788&lt;=VLOOKUP(YEAR($A788),'Festive dates'!$A$2:$J$5,10,FALSE)),1,0)</f>
        <v>0</v>
      </c>
      <c r="W788" s="9">
        <f>IF($A788=VLOOKUP(YEAR($A788),'Festive dates'!$A$2:$J$5,7,FALSE),1,0)</f>
        <v>0</v>
      </c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>
      <c r="A789" s="8">
        <v>45804</v>
      </c>
      <c r="B789" s="9">
        <v>0</v>
      </c>
      <c r="C789" s="9">
        <v>0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f>MAX(-20,MIN(10,$A789-VLOOKUP(YEAR($A789),'Festive dates'!$A$2:$J$5,8,FALSE)))</f>
        <v>-20</v>
      </c>
      <c r="R789" s="9">
        <f>IF(AND($A789&gt;VLOOKUP(YEAR($A789),'Festive dates'!$A$2:$J$5,2,FALSE),$A789&lt;VLOOKUP(YEAR($A789),'Festive dates'!$A$2:$J$5,3,FALSE)),1,0)</f>
        <v>0</v>
      </c>
      <c r="S789" s="9">
        <f>IF($A789=VLOOKUP(YEAR($A789),'Festive dates'!$A$2:$J$5,2,FALSE),1,0)</f>
        <v>0</v>
      </c>
      <c r="T789" s="9">
        <f>IF($A789=VLOOKUP(YEAR($A789),'Festive dates'!$A$2:$J$5,3,FALSE),1,0)</f>
        <v>0</v>
      </c>
      <c r="U789" s="9">
        <f>IF($A789=VLOOKUP(YEAR($A789),'Festive dates'!$A$2:$J$5,4,FALSE),1,0)</f>
        <v>0</v>
      </c>
      <c r="V789" s="9">
        <f>IF(AND($A789&gt;=VLOOKUP(YEAR($A789),'Festive dates'!$A$2:$J$5,9,FALSE),$A789&lt;=VLOOKUP(YEAR($A789),'Festive dates'!$A$2:$J$5,10,FALSE)),1,0)</f>
        <v>0</v>
      </c>
      <c r="W789" s="9">
        <f>IF($A789=VLOOKUP(YEAR($A789),'Festive dates'!$A$2:$J$5,7,FALSE),1,0)</f>
        <v>0</v>
      </c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>
      <c r="A790" s="8">
        <v>45805</v>
      </c>
      <c r="B790" s="9">
        <v>0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1</v>
      </c>
      <c r="Q790" s="9">
        <f>MAX(-20,MIN(10,$A790-VLOOKUP(YEAR($A790),'Festive dates'!$A$2:$J$5,8,FALSE)))</f>
        <v>-20</v>
      </c>
      <c r="R790" s="9">
        <f>IF(AND($A790&gt;VLOOKUP(YEAR($A790),'Festive dates'!$A$2:$J$5,2,FALSE),$A790&lt;VLOOKUP(YEAR($A790),'Festive dates'!$A$2:$J$5,3,FALSE)),1,0)</f>
        <v>0</v>
      </c>
      <c r="S790" s="9">
        <f>IF($A790=VLOOKUP(YEAR($A790),'Festive dates'!$A$2:$J$5,2,FALSE),1,0)</f>
        <v>0</v>
      </c>
      <c r="T790" s="9">
        <f>IF($A790=VLOOKUP(YEAR($A790),'Festive dates'!$A$2:$J$5,3,FALSE),1,0)</f>
        <v>0</v>
      </c>
      <c r="U790" s="9">
        <f>IF($A790=VLOOKUP(YEAR($A790),'Festive dates'!$A$2:$J$5,4,FALSE),1,0)</f>
        <v>0</v>
      </c>
      <c r="V790" s="9">
        <f>IF(AND($A790&gt;=VLOOKUP(YEAR($A790),'Festive dates'!$A$2:$J$5,9,FALSE),$A790&lt;=VLOOKUP(YEAR($A790),'Festive dates'!$A$2:$J$5,10,FALSE)),1,0)</f>
        <v>0</v>
      </c>
      <c r="W790" s="9">
        <f>IF($A790=VLOOKUP(YEAR($A790),'Festive dates'!$A$2:$J$5,7,FALSE),1,0)</f>
        <v>0</v>
      </c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>
      <c r="A791" s="8">
        <v>45806</v>
      </c>
      <c r="B791" s="9">
        <v>0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1</v>
      </c>
      <c r="Q791" s="9">
        <f>MAX(-20,MIN(10,$A791-VLOOKUP(YEAR($A791),'Festive dates'!$A$2:$J$5,8,FALSE)))</f>
        <v>-20</v>
      </c>
      <c r="R791" s="9">
        <f>IF(AND($A791&gt;VLOOKUP(YEAR($A791),'Festive dates'!$A$2:$J$5,2,FALSE),$A791&lt;VLOOKUP(YEAR($A791),'Festive dates'!$A$2:$J$5,3,FALSE)),1,0)</f>
        <v>0</v>
      </c>
      <c r="S791" s="9">
        <f>IF($A791=VLOOKUP(YEAR($A791),'Festive dates'!$A$2:$J$5,2,FALSE),1,0)</f>
        <v>0</v>
      </c>
      <c r="T791" s="9">
        <f>IF($A791=VLOOKUP(YEAR($A791),'Festive dates'!$A$2:$J$5,3,FALSE),1,0)</f>
        <v>0</v>
      </c>
      <c r="U791" s="9">
        <f>IF($A791=VLOOKUP(YEAR($A791),'Festive dates'!$A$2:$J$5,4,FALSE),1,0)</f>
        <v>0</v>
      </c>
      <c r="V791" s="9">
        <f>IF(AND($A791&gt;=VLOOKUP(YEAR($A791),'Festive dates'!$A$2:$J$5,9,FALSE),$A791&lt;=VLOOKUP(YEAR($A791),'Festive dates'!$A$2:$J$5,10,FALSE)),1,0)</f>
        <v>0</v>
      </c>
      <c r="W791" s="9">
        <f>IF($A791=VLOOKUP(YEAR($A791),'Festive dates'!$A$2:$J$5,7,FALSE),1,0)</f>
        <v>0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>
      <c r="A792" s="8">
        <v>45807</v>
      </c>
      <c r="B792" s="9">
        <v>0</v>
      </c>
      <c r="C792" s="9">
        <v>0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f>MAX(-20,MIN(10,$A792-VLOOKUP(YEAR($A792),'Festive dates'!$A$2:$J$5,8,FALSE)))</f>
        <v>-20</v>
      </c>
      <c r="R792" s="9">
        <f>IF(AND($A792&gt;VLOOKUP(YEAR($A792),'Festive dates'!$A$2:$J$5,2,FALSE),$A792&lt;VLOOKUP(YEAR($A792),'Festive dates'!$A$2:$J$5,3,FALSE)),1,0)</f>
        <v>0</v>
      </c>
      <c r="S792" s="9">
        <f>IF($A792=VLOOKUP(YEAR($A792),'Festive dates'!$A$2:$J$5,2,FALSE),1,0)</f>
        <v>0</v>
      </c>
      <c r="T792" s="9">
        <f>IF($A792=VLOOKUP(YEAR($A792),'Festive dates'!$A$2:$J$5,3,FALSE),1,0)</f>
        <v>0</v>
      </c>
      <c r="U792" s="9">
        <f>IF($A792=VLOOKUP(YEAR($A792),'Festive dates'!$A$2:$J$5,4,FALSE),1,0)</f>
        <v>0</v>
      </c>
      <c r="V792" s="9">
        <f>IF(AND($A792&gt;=VLOOKUP(YEAR($A792),'Festive dates'!$A$2:$J$5,9,FALSE),$A792&lt;=VLOOKUP(YEAR($A792),'Festive dates'!$A$2:$J$5,10,FALSE)),1,0)</f>
        <v>0</v>
      </c>
      <c r="W792" s="9">
        <f>IF($A792=VLOOKUP(YEAR($A792),'Festive dates'!$A$2:$J$5,7,FALSE),1,0)</f>
        <v>0</v>
      </c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>
      <c r="A793" s="8">
        <v>45808</v>
      </c>
      <c r="B793" s="9">
        <v>0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1</v>
      </c>
      <c r="Q793" s="9">
        <f>MAX(-20,MIN(10,$A793-VLOOKUP(YEAR($A793),'Festive dates'!$A$2:$J$5,8,FALSE)))</f>
        <v>-20</v>
      </c>
      <c r="R793" s="9">
        <f>IF(AND($A793&gt;VLOOKUP(YEAR($A793),'Festive dates'!$A$2:$J$5,2,FALSE),$A793&lt;VLOOKUP(YEAR($A793),'Festive dates'!$A$2:$J$5,3,FALSE)),1,0)</f>
        <v>0</v>
      </c>
      <c r="S793" s="9">
        <f>IF($A793=VLOOKUP(YEAR($A793),'Festive dates'!$A$2:$J$5,2,FALSE),1,0)</f>
        <v>0</v>
      </c>
      <c r="T793" s="9">
        <f>IF($A793=VLOOKUP(YEAR($A793),'Festive dates'!$A$2:$J$5,3,FALSE),1,0)</f>
        <v>0</v>
      </c>
      <c r="U793" s="9">
        <f>IF($A793=VLOOKUP(YEAR($A793),'Festive dates'!$A$2:$J$5,4,FALSE),1,0)</f>
        <v>0</v>
      </c>
      <c r="V793" s="9">
        <f>IF(AND($A793&gt;=VLOOKUP(YEAR($A793),'Festive dates'!$A$2:$J$5,9,FALSE),$A793&lt;=VLOOKUP(YEAR($A793),'Festive dates'!$A$2:$J$5,10,FALSE)),1,0)</f>
        <v>0</v>
      </c>
      <c r="W793" s="9">
        <f>IF($A793=VLOOKUP(YEAR($A793),'Festive dates'!$A$2:$J$5,7,FALSE),1,0)</f>
        <v>0</v>
      </c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>
      <c r="A794" s="8">
        <v>45809</v>
      </c>
      <c r="B794" s="9">
        <v>0</v>
      </c>
      <c r="C794" s="9">
        <v>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1</v>
      </c>
      <c r="Q794" s="9">
        <f>MAX(-20,MIN(10,$A794-VLOOKUP(YEAR($A794),'Festive dates'!$A$2:$J$5,8,FALSE)))</f>
        <v>-20</v>
      </c>
      <c r="R794" s="9">
        <f>IF(AND($A794&gt;VLOOKUP(YEAR($A794),'Festive dates'!$A$2:$J$5,2,FALSE),$A794&lt;VLOOKUP(YEAR($A794),'Festive dates'!$A$2:$J$5,3,FALSE)),1,0)</f>
        <v>0</v>
      </c>
      <c r="S794" s="9">
        <f>IF($A794=VLOOKUP(YEAR($A794),'Festive dates'!$A$2:$J$5,2,FALSE),1,0)</f>
        <v>0</v>
      </c>
      <c r="T794" s="9">
        <f>IF($A794=VLOOKUP(YEAR($A794),'Festive dates'!$A$2:$J$5,3,FALSE),1,0)</f>
        <v>0</v>
      </c>
      <c r="U794" s="9">
        <f>IF($A794=VLOOKUP(YEAR($A794),'Festive dates'!$A$2:$J$5,4,FALSE),1,0)</f>
        <v>0</v>
      </c>
      <c r="V794" s="9">
        <f>IF(AND($A794&gt;=VLOOKUP(YEAR($A794),'Festive dates'!$A$2:$J$5,9,FALSE),$A794&lt;=VLOOKUP(YEAR($A794),'Festive dates'!$A$2:$J$5,10,FALSE)),1,0)</f>
        <v>0</v>
      </c>
      <c r="W794" s="9">
        <f>IF($A794=VLOOKUP(YEAR($A794),'Festive dates'!$A$2:$J$5,7,FALSE),1,0)</f>
        <v>0</v>
      </c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>
      <c r="A795" s="8">
        <v>45810</v>
      </c>
      <c r="B795" s="9">
        <v>0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f>MAX(-20,MIN(10,$A795-VLOOKUP(YEAR($A795),'Festive dates'!$A$2:$J$5,8,FALSE)))</f>
        <v>-20</v>
      </c>
      <c r="R795" s="9">
        <f>IF(AND($A795&gt;VLOOKUP(YEAR($A795),'Festive dates'!$A$2:$J$5,2,FALSE),$A795&lt;VLOOKUP(YEAR($A795),'Festive dates'!$A$2:$J$5,3,FALSE)),1,0)</f>
        <v>0</v>
      </c>
      <c r="S795" s="9">
        <f>IF($A795=VLOOKUP(YEAR($A795),'Festive dates'!$A$2:$J$5,2,FALSE),1,0)</f>
        <v>0</v>
      </c>
      <c r="T795" s="9">
        <f>IF($A795=VLOOKUP(YEAR($A795),'Festive dates'!$A$2:$J$5,3,FALSE),1,0)</f>
        <v>0</v>
      </c>
      <c r="U795" s="9">
        <f>IF($A795=VLOOKUP(YEAR($A795),'Festive dates'!$A$2:$J$5,4,FALSE),1,0)</f>
        <v>0</v>
      </c>
      <c r="V795" s="9">
        <f>IF(AND($A795&gt;=VLOOKUP(YEAR($A795),'Festive dates'!$A$2:$J$5,9,FALSE),$A795&lt;=VLOOKUP(YEAR($A795),'Festive dates'!$A$2:$J$5,10,FALSE)),1,0)</f>
        <v>0</v>
      </c>
      <c r="W795" s="9">
        <f>IF($A795=VLOOKUP(YEAR($A795),'Festive dates'!$A$2:$J$5,7,FALSE),1,0)</f>
        <v>0</v>
      </c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>
      <c r="A796" s="8">
        <v>45811</v>
      </c>
      <c r="B796" s="9">
        <v>0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f>MAX(-20,MIN(10,$A796-VLOOKUP(YEAR($A796),'Festive dates'!$A$2:$J$5,8,FALSE)))</f>
        <v>-20</v>
      </c>
      <c r="R796" s="9">
        <f>IF(AND($A796&gt;VLOOKUP(YEAR($A796),'Festive dates'!$A$2:$J$5,2,FALSE),$A796&lt;VLOOKUP(YEAR($A796),'Festive dates'!$A$2:$J$5,3,FALSE)),1,0)</f>
        <v>0</v>
      </c>
      <c r="S796" s="9">
        <f>IF($A796=VLOOKUP(YEAR($A796),'Festive dates'!$A$2:$J$5,2,FALSE),1,0)</f>
        <v>0</v>
      </c>
      <c r="T796" s="9">
        <f>IF($A796=VLOOKUP(YEAR($A796),'Festive dates'!$A$2:$J$5,3,FALSE),1,0)</f>
        <v>0</v>
      </c>
      <c r="U796" s="9">
        <f>IF($A796=VLOOKUP(YEAR($A796),'Festive dates'!$A$2:$J$5,4,FALSE),1,0)</f>
        <v>0</v>
      </c>
      <c r="V796" s="9">
        <f>IF(AND($A796&gt;=VLOOKUP(YEAR($A796),'Festive dates'!$A$2:$J$5,9,FALSE),$A796&lt;=VLOOKUP(YEAR($A796),'Festive dates'!$A$2:$J$5,10,FALSE)),1,0)</f>
        <v>0</v>
      </c>
      <c r="W796" s="9">
        <f>IF($A796=VLOOKUP(YEAR($A796),'Festive dates'!$A$2:$J$5,7,FALSE),1,0)</f>
        <v>0</v>
      </c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>
      <c r="A797" s="8">
        <v>45812</v>
      </c>
      <c r="B797" s="9">
        <v>0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f>MAX(-20,MIN(10,$A797-VLOOKUP(YEAR($A797),'Festive dates'!$A$2:$J$5,8,FALSE)))</f>
        <v>-20</v>
      </c>
      <c r="R797" s="9">
        <f>IF(AND($A797&gt;VLOOKUP(YEAR($A797),'Festive dates'!$A$2:$J$5,2,FALSE),$A797&lt;VLOOKUP(YEAR($A797),'Festive dates'!$A$2:$J$5,3,FALSE)),1,0)</f>
        <v>0</v>
      </c>
      <c r="S797" s="9">
        <f>IF($A797=VLOOKUP(YEAR($A797),'Festive dates'!$A$2:$J$5,2,FALSE),1,0)</f>
        <v>0</v>
      </c>
      <c r="T797" s="9">
        <f>IF($A797=VLOOKUP(YEAR($A797),'Festive dates'!$A$2:$J$5,3,FALSE),1,0)</f>
        <v>0</v>
      </c>
      <c r="U797" s="9">
        <f>IF($A797=VLOOKUP(YEAR($A797),'Festive dates'!$A$2:$J$5,4,FALSE),1,0)</f>
        <v>0</v>
      </c>
      <c r="V797" s="9">
        <f>IF(AND($A797&gt;=VLOOKUP(YEAR($A797),'Festive dates'!$A$2:$J$5,9,FALSE),$A797&lt;=VLOOKUP(YEAR($A797),'Festive dates'!$A$2:$J$5,10,FALSE)),1,0)</f>
        <v>0</v>
      </c>
      <c r="W797" s="9">
        <f>IF($A797=VLOOKUP(YEAR($A797),'Festive dates'!$A$2:$J$5,7,FALSE),1,0)</f>
        <v>0</v>
      </c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>
      <c r="A798" s="8">
        <v>45813</v>
      </c>
      <c r="B798" s="9">
        <v>0</v>
      </c>
      <c r="C798" s="9">
        <v>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f>MAX(-20,MIN(10,$A798-VLOOKUP(YEAR($A798),'Festive dates'!$A$2:$J$5,8,FALSE)))</f>
        <v>-20</v>
      </c>
      <c r="R798" s="9">
        <f>IF(AND($A798&gt;VLOOKUP(YEAR($A798),'Festive dates'!$A$2:$J$5,2,FALSE),$A798&lt;VLOOKUP(YEAR($A798),'Festive dates'!$A$2:$J$5,3,FALSE)),1,0)</f>
        <v>0</v>
      </c>
      <c r="S798" s="9">
        <f>IF($A798=VLOOKUP(YEAR($A798),'Festive dates'!$A$2:$J$5,2,FALSE),1,0)</f>
        <v>0</v>
      </c>
      <c r="T798" s="9">
        <f>IF($A798=VLOOKUP(YEAR($A798),'Festive dates'!$A$2:$J$5,3,FALSE),1,0)</f>
        <v>0</v>
      </c>
      <c r="U798" s="9">
        <f>IF($A798=VLOOKUP(YEAR($A798),'Festive dates'!$A$2:$J$5,4,FALSE),1,0)</f>
        <v>0</v>
      </c>
      <c r="V798" s="9">
        <f>IF(AND($A798&gt;=VLOOKUP(YEAR($A798),'Festive dates'!$A$2:$J$5,9,FALSE),$A798&lt;=VLOOKUP(YEAR($A798),'Festive dates'!$A$2:$J$5,10,FALSE)),1,0)</f>
        <v>0</v>
      </c>
      <c r="W798" s="9">
        <f>IF($A798=VLOOKUP(YEAR($A798),'Festive dates'!$A$2:$J$5,7,FALSE),1,0)</f>
        <v>0</v>
      </c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>
      <c r="A799" s="8">
        <v>45814</v>
      </c>
      <c r="B799" s="9">
        <v>0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1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f>MAX(-20,MIN(10,$A799-VLOOKUP(YEAR($A799),'Festive dates'!$A$2:$J$5,8,FALSE)))</f>
        <v>-20</v>
      </c>
      <c r="R799" s="9">
        <f>IF(AND($A799&gt;VLOOKUP(YEAR($A799),'Festive dates'!$A$2:$J$5,2,FALSE),$A799&lt;VLOOKUP(YEAR($A799),'Festive dates'!$A$2:$J$5,3,FALSE)),1,0)</f>
        <v>0</v>
      </c>
      <c r="S799" s="9">
        <f>IF($A799=VLOOKUP(YEAR($A799),'Festive dates'!$A$2:$J$5,2,FALSE),1,0)</f>
        <v>0</v>
      </c>
      <c r="T799" s="9">
        <f>IF($A799=VLOOKUP(YEAR($A799),'Festive dates'!$A$2:$J$5,3,FALSE),1,0)</f>
        <v>0</v>
      </c>
      <c r="U799" s="9">
        <f>IF($A799=VLOOKUP(YEAR($A799),'Festive dates'!$A$2:$J$5,4,FALSE),1,0)</f>
        <v>0</v>
      </c>
      <c r="V799" s="9">
        <f>IF(AND($A799&gt;=VLOOKUP(YEAR($A799),'Festive dates'!$A$2:$J$5,9,FALSE),$A799&lt;=VLOOKUP(YEAR($A799),'Festive dates'!$A$2:$J$5,10,FALSE)),1,0)</f>
        <v>0</v>
      </c>
      <c r="W799" s="9">
        <f>IF($A799=VLOOKUP(YEAR($A799),'Festive dates'!$A$2:$J$5,7,FALSE),1,0)</f>
        <v>0</v>
      </c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>
      <c r="A800" s="8">
        <v>45815</v>
      </c>
      <c r="B800" s="9">
        <v>0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f>MAX(-20,MIN(10,$A800-VLOOKUP(YEAR($A800),'Festive dates'!$A$2:$J$5,8,FALSE)))</f>
        <v>-20</v>
      </c>
      <c r="R800" s="9">
        <f>IF(AND($A800&gt;VLOOKUP(YEAR($A800),'Festive dates'!$A$2:$J$5,2,FALSE),$A800&lt;VLOOKUP(YEAR($A800),'Festive dates'!$A$2:$J$5,3,FALSE)),1,0)</f>
        <v>0</v>
      </c>
      <c r="S800" s="9">
        <f>IF($A800=VLOOKUP(YEAR($A800),'Festive dates'!$A$2:$J$5,2,FALSE),1,0)</f>
        <v>0</v>
      </c>
      <c r="T800" s="9">
        <f>IF($A800=VLOOKUP(YEAR($A800),'Festive dates'!$A$2:$J$5,3,FALSE),1,0)</f>
        <v>0</v>
      </c>
      <c r="U800" s="9">
        <f>IF($A800=VLOOKUP(YEAR($A800),'Festive dates'!$A$2:$J$5,4,FALSE),1,0)</f>
        <v>0</v>
      </c>
      <c r="V800" s="9">
        <f>IF(AND($A800&gt;=VLOOKUP(YEAR($A800),'Festive dates'!$A$2:$J$5,9,FALSE),$A800&lt;=VLOOKUP(YEAR($A800),'Festive dates'!$A$2:$J$5,10,FALSE)),1,0)</f>
        <v>0</v>
      </c>
      <c r="W800" s="9">
        <f>IF($A800=VLOOKUP(YEAR($A800),'Festive dates'!$A$2:$J$5,7,FALSE),1,0)</f>
        <v>0</v>
      </c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>
      <c r="A801" s="8">
        <v>45816</v>
      </c>
      <c r="B801" s="9">
        <v>0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f>MAX(-20,MIN(10,$A801-VLOOKUP(YEAR($A801),'Festive dates'!$A$2:$J$5,8,FALSE)))</f>
        <v>-20</v>
      </c>
      <c r="R801" s="9">
        <f>IF(AND($A801&gt;VLOOKUP(YEAR($A801),'Festive dates'!$A$2:$J$5,2,FALSE),$A801&lt;VLOOKUP(YEAR($A801),'Festive dates'!$A$2:$J$5,3,FALSE)),1,0)</f>
        <v>0</v>
      </c>
      <c r="S801" s="9">
        <f>IF($A801=VLOOKUP(YEAR($A801),'Festive dates'!$A$2:$J$5,2,FALSE),1,0)</f>
        <v>0</v>
      </c>
      <c r="T801" s="9">
        <f>IF($A801=VLOOKUP(YEAR($A801),'Festive dates'!$A$2:$J$5,3,FALSE),1,0)</f>
        <v>0</v>
      </c>
      <c r="U801" s="9">
        <f>IF($A801=VLOOKUP(YEAR($A801),'Festive dates'!$A$2:$J$5,4,FALSE),1,0)</f>
        <v>0</v>
      </c>
      <c r="V801" s="9">
        <f>IF(AND($A801&gt;=VLOOKUP(YEAR($A801),'Festive dates'!$A$2:$J$5,9,FALSE),$A801&lt;=VLOOKUP(YEAR($A801),'Festive dates'!$A$2:$J$5,10,FALSE)),1,0)</f>
        <v>0</v>
      </c>
      <c r="W801" s="9">
        <f>IF($A801=VLOOKUP(YEAR($A801),'Festive dates'!$A$2:$J$5,7,FALSE),1,0)</f>
        <v>0</v>
      </c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>
      <c r="A802" s="8">
        <v>45817</v>
      </c>
      <c r="B802" s="9">
        <v>0</v>
      </c>
      <c r="C802" s="9">
        <v>0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f>MAX(-20,MIN(10,$A802-VLOOKUP(YEAR($A802),'Festive dates'!$A$2:$J$5,8,FALSE)))</f>
        <v>-20</v>
      </c>
      <c r="R802" s="9">
        <f>IF(AND($A802&gt;VLOOKUP(YEAR($A802),'Festive dates'!$A$2:$J$5,2,FALSE),$A802&lt;VLOOKUP(YEAR($A802),'Festive dates'!$A$2:$J$5,3,FALSE)),1,0)</f>
        <v>0</v>
      </c>
      <c r="S802" s="9">
        <f>IF($A802=VLOOKUP(YEAR($A802),'Festive dates'!$A$2:$J$5,2,FALSE),1,0)</f>
        <v>0</v>
      </c>
      <c r="T802" s="9">
        <f>IF($A802=VLOOKUP(YEAR($A802),'Festive dates'!$A$2:$J$5,3,FALSE),1,0)</f>
        <v>0</v>
      </c>
      <c r="U802" s="9">
        <f>IF($A802=VLOOKUP(YEAR($A802),'Festive dates'!$A$2:$J$5,4,FALSE),1,0)</f>
        <v>0</v>
      </c>
      <c r="V802" s="9">
        <f>IF(AND($A802&gt;=VLOOKUP(YEAR($A802),'Festive dates'!$A$2:$J$5,9,FALSE),$A802&lt;=VLOOKUP(YEAR($A802),'Festive dates'!$A$2:$J$5,10,FALSE)),1,0)</f>
        <v>0</v>
      </c>
      <c r="W802" s="9">
        <f>IF($A802=VLOOKUP(YEAR($A802),'Festive dates'!$A$2:$J$5,7,FALSE),1,0)</f>
        <v>0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>
      <c r="A803" s="8">
        <v>45818</v>
      </c>
      <c r="B803" s="9">
        <v>0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f>MAX(-20,MIN(10,$A803-VLOOKUP(YEAR($A803),'Festive dates'!$A$2:$J$5,8,FALSE)))</f>
        <v>-20</v>
      </c>
      <c r="R803" s="9">
        <f>IF(AND($A803&gt;VLOOKUP(YEAR($A803),'Festive dates'!$A$2:$J$5,2,FALSE),$A803&lt;VLOOKUP(YEAR($A803),'Festive dates'!$A$2:$J$5,3,FALSE)),1,0)</f>
        <v>0</v>
      </c>
      <c r="S803" s="9">
        <f>IF($A803=VLOOKUP(YEAR($A803),'Festive dates'!$A$2:$J$5,2,FALSE),1,0)</f>
        <v>0</v>
      </c>
      <c r="T803" s="9">
        <f>IF($A803=VLOOKUP(YEAR($A803),'Festive dates'!$A$2:$J$5,3,FALSE),1,0)</f>
        <v>0</v>
      </c>
      <c r="U803" s="9">
        <f>IF($A803=VLOOKUP(YEAR($A803),'Festive dates'!$A$2:$J$5,4,FALSE),1,0)</f>
        <v>0</v>
      </c>
      <c r="V803" s="9">
        <f>IF(AND($A803&gt;=VLOOKUP(YEAR($A803),'Festive dates'!$A$2:$J$5,9,FALSE),$A803&lt;=VLOOKUP(YEAR($A803),'Festive dates'!$A$2:$J$5,10,FALSE)),1,0)</f>
        <v>0</v>
      </c>
      <c r="W803" s="9">
        <f>IF($A803=VLOOKUP(YEAR($A803),'Festive dates'!$A$2:$J$5,7,FALSE),1,0)</f>
        <v>0</v>
      </c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>
      <c r="A804" s="8">
        <v>45819</v>
      </c>
      <c r="B804" s="9">
        <v>0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f>MAX(-20,MIN(10,$A804-VLOOKUP(YEAR($A804),'Festive dates'!$A$2:$J$5,8,FALSE)))</f>
        <v>-20</v>
      </c>
      <c r="R804" s="9">
        <f>IF(AND($A804&gt;VLOOKUP(YEAR($A804),'Festive dates'!$A$2:$J$5,2,FALSE),$A804&lt;VLOOKUP(YEAR($A804),'Festive dates'!$A$2:$J$5,3,FALSE)),1,0)</f>
        <v>0</v>
      </c>
      <c r="S804" s="9">
        <f>IF($A804=VLOOKUP(YEAR($A804),'Festive dates'!$A$2:$J$5,2,FALSE),1,0)</f>
        <v>0</v>
      </c>
      <c r="T804" s="9">
        <f>IF($A804=VLOOKUP(YEAR($A804),'Festive dates'!$A$2:$J$5,3,FALSE),1,0)</f>
        <v>0</v>
      </c>
      <c r="U804" s="9">
        <f>IF($A804=VLOOKUP(YEAR($A804),'Festive dates'!$A$2:$J$5,4,FALSE),1,0)</f>
        <v>0</v>
      </c>
      <c r="V804" s="9">
        <f>IF(AND($A804&gt;=VLOOKUP(YEAR($A804),'Festive dates'!$A$2:$J$5,9,FALSE),$A804&lt;=VLOOKUP(YEAR($A804),'Festive dates'!$A$2:$J$5,10,FALSE)),1,0)</f>
        <v>0</v>
      </c>
      <c r="W804" s="9">
        <f>IF($A804=VLOOKUP(YEAR($A804),'Festive dates'!$A$2:$J$5,7,FALSE),1,0)</f>
        <v>0</v>
      </c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>
      <c r="A805" s="8">
        <v>45820</v>
      </c>
      <c r="B805" s="9">
        <v>0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f>MAX(-20,MIN(10,$A805-VLOOKUP(YEAR($A805),'Festive dates'!$A$2:$J$5,8,FALSE)))</f>
        <v>-20</v>
      </c>
      <c r="R805" s="9">
        <f>IF(AND($A805&gt;VLOOKUP(YEAR($A805),'Festive dates'!$A$2:$J$5,2,FALSE),$A805&lt;VLOOKUP(YEAR($A805),'Festive dates'!$A$2:$J$5,3,FALSE)),1,0)</f>
        <v>0</v>
      </c>
      <c r="S805" s="9">
        <f>IF($A805=VLOOKUP(YEAR($A805),'Festive dates'!$A$2:$J$5,2,FALSE),1,0)</f>
        <v>0</v>
      </c>
      <c r="T805" s="9">
        <f>IF($A805=VLOOKUP(YEAR($A805),'Festive dates'!$A$2:$J$5,3,FALSE),1,0)</f>
        <v>0</v>
      </c>
      <c r="U805" s="9">
        <f>IF($A805=VLOOKUP(YEAR($A805),'Festive dates'!$A$2:$J$5,4,FALSE),1,0)</f>
        <v>0</v>
      </c>
      <c r="V805" s="9">
        <f>IF(AND($A805&gt;=VLOOKUP(YEAR($A805),'Festive dates'!$A$2:$J$5,9,FALSE),$A805&lt;=VLOOKUP(YEAR($A805),'Festive dates'!$A$2:$J$5,10,FALSE)),1,0)</f>
        <v>0</v>
      </c>
      <c r="W805" s="9">
        <f>IF($A805=VLOOKUP(YEAR($A805),'Festive dates'!$A$2:$J$5,7,FALSE),1,0)</f>
        <v>0</v>
      </c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>
      <c r="A806" s="8">
        <v>45821</v>
      </c>
      <c r="B806" s="9">
        <v>0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f>MAX(-20,MIN(10,$A806-VLOOKUP(YEAR($A806),'Festive dates'!$A$2:$J$5,8,FALSE)))</f>
        <v>-20</v>
      </c>
      <c r="R806" s="9">
        <f>IF(AND($A806&gt;VLOOKUP(YEAR($A806),'Festive dates'!$A$2:$J$5,2,FALSE),$A806&lt;VLOOKUP(YEAR($A806),'Festive dates'!$A$2:$J$5,3,FALSE)),1,0)</f>
        <v>0</v>
      </c>
      <c r="S806" s="9">
        <f>IF($A806=VLOOKUP(YEAR($A806),'Festive dates'!$A$2:$J$5,2,FALSE),1,0)</f>
        <v>0</v>
      </c>
      <c r="T806" s="9">
        <f>IF($A806=VLOOKUP(YEAR($A806),'Festive dates'!$A$2:$J$5,3,FALSE),1,0)</f>
        <v>0</v>
      </c>
      <c r="U806" s="9">
        <f>IF($A806=VLOOKUP(YEAR($A806),'Festive dates'!$A$2:$J$5,4,FALSE),1,0)</f>
        <v>0</v>
      </c>
      <c r="V806" s="9">
        <f>IF(AND($A806&gt;=VLOOKUP(YEAR($A806),'Festive dates'!$A$2:$J$5,9,FALSE),$A806&lt;=VLOOKUP(YEAR($A806),'Festive dates'!$A$2:$J$5,10,FALSE)),1,0)</f>
        <v>0</v>
      </c>
      <c r="W806" s="9">
        <f>IF($A806=VLOOKUP(YEAR($A806),'Festive dates'!$A$2:$J$5,7,FALSE),1,0)</f>
        <v>0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>
      <c r="A807" s="8">
        <v>45822</v>
      </c>
      <c r="B807" s="9">
        <v>0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f>MAX(-20,MIN(10,$A807-VLOOKUP(YEAR($A807),'Festive dates'!$A$2:$J$5,8,FALSE)))</f>
        <v>-20</v>
      </c>
      <c r="R807" s="9">
        <f>IF(AND($A807&gt;VLOOKUP(YEAR($A807),'Festive dates'!$A$2:$J$5,2,FALSE),$A807&lt;VLOOKUP(YEAR($A807),'Festive dates'!$A$2:$J$5,3,FALSE)),1,0)</f>
        <v>0</v>
      </c>
      <c r="S807" s="9">
        <f>IF($A807=VLOOKUP(YEAR($A807),'Festive dates'!$A$2:$J$5,2,FALSE),1,0)</f>
        <v>0</v>
      </c>
      <c r="T807" s="9">
        <f>IF($A807=VLOOKUP(YEAR($A807),'Festive dates'!$A$2:$J$5,3,FALSE),1,0)</f>
        <v>0</v>
      </c>
      <c r="U807" s="9">
        <f>IF($A807=VLOOKUP(YEAR($A807),'Festive dates'!$A$2:$J$5,4,FALSE),1,0)</f>
        <v>0</v>
      </c>
      <c r="V807" s="9">
        <f>IF(AND($A807&gt;=VLOOKUP(YEAR($A807),'Festive dates'!$A$2:$J$5,9,FALSE),$A807&lt;=VLOOKUP(YEAR($A807),'Festive dates'!$A$2:$J$5,10,FALSE)),1,0)</f>
        <v>0</v>
      </c>
      <c r="W807" s="9">
        <f>IF($A807=VLOOKUP(YEAR($A807),'Festive dates'!$A$2:$J$5,7,FALSE),1,0)</f>
        <v>0</v>
      </c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>
      <c r="A808" s="8">
        <v>45823</v>
      </c>
      <c r="B808" s="9">
        <v>0</v>
      </c>
      <c r="C808" s="9">
        <v>0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f>MAX(-20,MIN(10,$A808-VLOOKUP(YEAR($A808),'Festive dates'!$A$2:$J$5,8,FALSE)))</f>
        <v>-20</v>
      </c>
      <c r="R808" s="9">
        <f>IF(AND($A808&gt;VLOOKUP(YEAR($A808),'Festive dates'!$A$2:$J$5,2,FALSE),$A808&lt;VLOOKUP(YEAR($A808),'Festive dates'!$A$2:$J$5,3,FALSE)),1,0)</f>
        <v>0</v>
      </c>
      <c r="S808" s="9">
        <f>IF($A808=VLOOKUP(YEAR($A808),'Festive dates'!$A$2:$J$5,2,FALSE),1,0)</f>
        <v>0</v>
      </c>
      <c r="T808" s="9">
        <f>IF($A808=VLOOKUP(YEAR($A808),'Festive dates'!$A$2:$J$5,3,FALSE),1,0)</f>
        <v>0</v>
      </c>
      <c r="U808" s="9">
        <f>IF($A808=VLOOKUP(YEAR($A808),'Festive dates'!$A$2:$J$5,4,FALSE),1,0)</f>
        <v>0</v>
      </c>
      <c r="V808" s="9">
        <f>IF(AND($A808&gt;=VLOOKUP(YEAR($A808),'Festive dates'!$A$2:$J$5,9,FALSE),$A808&lt;=VLOOKUP(YEAR($A808),'Festive dates'!$A$2:$J$5,10,FALSE)),1,0)</f>
        <v>0</v>
      </c>
      <c r="W808" s="9">
        <f>IF($A808=VLOOKUP(YEAR($A808),'Festive dates'!$A$2:$J$5,7,FALSE),1,0)</f>
        <v>0</v>
      </c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>
      <c r="A809" s="8">
        <v>45824</v>
      </c>
      <c r="B809" s="9">
        <v>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f>MAX(-20,MIN(10,$A809-VLOOKUP(YEAR($A809),'Festive dates'!$A$2:$J$5,8,FALSE)))</f>
        <v>-20</v>
      </c>
      <c r="R809" s="9">
        <f>IF(AND($A809&gt;VLOOKUP(YEAR($A809),'Festive dates'!$A$2:$J$5,2,FALSE),$A809&lt;VLOOKUP(YEAR($A809),'Festive dates'!$A$2:$J$5,3,FALSE)),1,0)</f>
        <v>0</v>
      </c>
      <c r="S809" s="9">
        <f>IF($A809=VLOOKUP(YEAR($A809),'Festive dates'!$A$2:$J$5,2,FALSE),1,0)</f>
        <v>0</v>
      </c>
      <c r="T809" s="9">
        <f>IF($A809=VLOOKUP(YEAR($A809),'Festive dates'!$A$2:$J$5,3,FALSE),1,0)</f>
        <v>0</v>
      </c>
      <c r="U809" s="9">
        <f>IF($A809=VLOOKUP(YEAR($A809),'Festive dates'!$A$2:$J$5,4,FALSE),1,0)</f>
        <v>0</v>
      </c>
      <c r="V809" s="9">
        <f>IF(AND($A809&gt;=VLOOKUP(YEAR($A809),'Festive dates'!$A$2:$J$5,9,FALSE),$A809&lt;=VLOOKUP(YEAR($A809),'Festive dates'!$A$2:$J$5,10,FALSE)),1,0)</f>
        <v>0</v>
      </c>
      <c r="W809" s="9">
        <f>IF($A809=VLOOKUP(YEAR($A809),'Festive dates'!$A$2:$J$5,7,FALSE),1,0)</f>
        <v>0</v>
      </c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>
      <c r="A810" s="8">
        <v>45825</v>
      </c>
      <c r="B810" s="9">
        <v>0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f>MAX(-20,MIN(10,$A810-VLOOKUP(YEAR($A810),'Festive dates'!$A$2:$J$5,8,FALSE)))</f>
        <v>-20</v>
      </c>
      <c r="R810" s="9">
        <f>IF(AND($A810&gt;VLOOKUP(YEAR($A810),'Festive dates'!$A$2:$J$5,2,FALSE),$A810&lt;VLOOKUP(YEAR($A810),'Festive dates'!$A$2:$J$5,3,FALSE)),1,0)</f>
        <v>0</v>
      </c>
      <c r="S810" s="9">
        <f>IF($A810=VLOOKUP(YEAR($A810),'Festive dates'!$A$2:$J$5,2,FALSE),1,0)</f>
        <v>0</v>
      </c>
      <c r="T810" s="9">
        <f>IF($A810=VLOOKUP(YEAR($A810),'Festive dates'!$A$2:$J$5,3,FALSE),1,0)</f>
        <v>0</v>
      </c>
      <c r="U810" s="9">
        <f>IF($A810=VLOOKUP(YEAR($A810),'Festive dates'!$A$2:$J$5,4,FALSE),1,0)</f>
        <v>0</v>
      </c>
      <c r="V810" s="9">
        <f>IF(AND($A810&gt;=VLOOKUP(YEAR($A810),'Festive dates'!$A$2:$J$5,9,FALSE),$A810&lt;=VLOOKUP(YEAR($A810),'Festive dates'!$A$2:$J$5,10,FALSE)),1,0)</f>
        <v>0</v>
      </c>
      <c r="W810" s="9">
        <f>IF($A810=VLOOKUP(YEAR($A810),'Festive dates'!$A$2:$J$5,7,FALSE),1,0)</f>
        <v>0</v>
      </c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>
      <c r="A811" s="8">
        <v>45826</v>
      </c>
      <c r="B811" s="9">
        <v>0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f>MAX(-20,MIN(10,$A811-VLOOKUP(YEAR($A811),'Festive dates'!$A$2:$J$5,8,FALSE)))</f>
        <v>-20</v>
      </c>
      <c r="R811" s="9">
        <f>IF(AND($A811&gt;VLOOKUP(YEAR($A811),'Festive dates'!$A$2:$J$5,2,FALSE),$A811&lt;VLOOKUP(YEAR($A811),'Festive dates'!$A$2:$J$5,3,FALSE)),1,0)</f>
        <v>0</v>
      </c>
      <c r="S811" s="9">
        <f>IF($A811=VLOOKUP(YEAR($A811),'Festive dates'!$A$2:$J$5,2,FALSE),1,0)</f>
        <v>0</v>
      </c>
      <c r="T811" s="9">
        <f>IF($A811=VLOOKUP(YEAR($A811),'Festive dates'!$A$2:$J$5,3,FALSE),1,0)</f>
        <v>0</v>
      </c>
      <c r="U811" s="9">
        <f>IF($A811=VLOOKUP(YEAR($A811),'Festive dates'!$A$2:$J$5,4,FALSE),1,0)</f>
        <v>0</v>
      </c>
      <c r="V811" s="9">
        <f>IF(AND($A811&gt;=VLOOKUP(YEAR($A811),'Festive dates'!$A$2:$J$5,9,FALSE),$A811&lt;=VLOOKUP(YEAR($A811),'Festive dates'!$A$2:$J$5,10,FALSE)),1,0)</f>
        <v>0</v>
      </c>
      <c r="W811" s="9">
        <f>IF($A811=VLOOKUP(YEAR($A811),'Festive dates'!$A$2:$J$5,7,FALSE),1,0)</f>
        <v>0</v>
      </c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>
      <c r="A812" s="8">
        <v>45827</v>
      </c>
      <c r="B812" s="9">
        <v>0</v>
      </c>
      <c r="C812" s="9">
        <v>0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f>MAX(-20,MIN(10,$A812-VLOOKUP(YEAR($A812),'Festive dates'!$A$2:$J$5,8,FALSE)))</f>
        <v>-20</v>
      </c>
      <c r="R812" s="9">
        <f>IF(AND($A812&gt;VLOOKUP(YEAR($A812),'Festive dates'!$A$2:$J$5,2,FALSE),$A812&lt;VLOOKUP(YEAR($A812),'Festive dates'!$A$2:$J$5,3,FALSE)),1,0)</f>
        <v>0</v>
      </c>
      <c r="S812" s="9">
        <f>IF($A812=VLOOKUP(YEAR($A812),'Festive dates'!$A$2:$J$5,2,FALSE),1,0)</f>
        <v>0</v>
      </c>
      <c r="T812" s="9">
        <f>IF($A812=VLOOKUP(YEAR($A812),'Festive dates'!$A$2:$J$5,3,FALSE),1,0)</f>
        <v>0</v>
      </c>
      <c r="U812" s="9">
        <f>IF($A812=VLOOKUP(YEAR($A812),'Festive dates'!$A$2:$J$5,4,FALSE),1,0)</f>
        <v>0</v>
      </c>
      <c r="V812" s="9">
        <f>IF(AND($A812&gt;=VLOOKUP(YEAR($A812),'Festive dates'!$A$2:$J$5,9,FALSE),$A812&lt;=VLOOKUP(YEAR($A812),'Festive dates'!$A$2:$J$5,10,FALSE)),1,0)</f>
        <v>0</v>
      </c>
      <c r="W812" s="9">
        <f>IF($A812=VLOOKUP(YEAR($A812),'Festive dates'!$A$2:$J$5,7,FALSE),1,0)</f>
        <v>0</v>
      </c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>
      <c r="A813" s="8">
        <v>45828</v>
      </c>
      <c r="B813" s="9">
        <v>0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f>MAX(-20,MIN(10,$A813-VLOOKUP(YEAR($A813),'Festive dates'!$A$2:$J$5,8,FALSE)))</f>
        <v>-20</v>
      </c>
      <c r="R813" s="9">
        <f>IF(AND($A813&gt;VLOOKUP(YEAR($A813),'Festive dates'!$A$2:$J$5,2,FALSE),$A813&lt;VLOOKUP(YEAR($A813),'Festive dates'!$A$2:$J$5,3,FALSE)),1,0)</f>
        <v>0</v>
      </c>
      <c r="S813" s="9">
        <f>IF($A813=VLOOKUP(YEAR($A813),'Festive dates'!$A$2:$J$5,2,FALSE),1,0)</f>
        <v>0</v>
      </c>
      <c r="T813" s="9">
        <f>IF($A813=VLOOKUP(YEAR($A813),'Festive dates'!$A$2:$J$5,3,FALSE),1,0)</f>
        <v>0</v>
      </c>
      <c r="U813" s="9">
        <f>IF($A813=VLOOKUP(YEAR($A813),'Festive dates'!$A$2:$J$5,4,FALSE),1,0)</f>
        <v>0</v>
      </c>
      <c r="V813" s="9">
        <f>IF(AND($A813&gt;=VLOOKUP(YEAR($A813),'Festive dates'!$A$2:$J$5,9,FALSE),$A813&lt;=VLOOKUP(YEAR($A813),'Festive dates'!$A$2:$J$5,10,FALSE)),1,0)</f>
        <v>0</v>
      </c>
      <c r="W813" s="9">
        <f>IF($A813=VLOOKUP(YEAR($A813),'Festive dates'!$A$2:$J$5,7,FALSE),1,0)</f>
        <v>0</v>
      </c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>
      <c r="A814" s="8">
        <v>45829</v>
      </c>
      <c r="B814" s="9">
        <v>0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f>MAX(-20,MIN(10,$A814-VLOOKUP(YEAR($A814),'Festive dates'!$A$2:$J$5,8,FALSE)))</f>
        <v>-20</v>
      </c>
      <c r="R814" s="9">
        <f>IF(AND($A814&gt;VLOOKUP(YEAR($A814),'Festive dates'!$A$2:$J$5,2,FALSE),$A814&lt;VLOOKUP(YEAR($A814),'Festive dates'!$A$2:$J$5,3,FALSE)),1,0)</f>
        <v>0</v>
      </c>
      <c r="S814" s="9">
        <f>IF($A814=VLOOKUP(YEAR($A814),'Festive dates'!$A$2:$J$5,2,FALSE),1,0)</f>
        <v>0</v>
      </c>
      <c r="T814" s="9">
        <f>IF($A814=VLOOKUP(YEAR($A814),'Festive dates'!$A$2:$J$5,3,FALSE),1,0)</f>
        <v>0</v>
      </c>
      <c r="U814" s="9">
        <f>IF($A814=VLOOKUP(YEAR($A814),'Festive dates'!$A$2:$J$5,4,FALSE),1,0)</f>
        <v>0</v>
      </c>
      <c r="V814" s="9">
        <f>IF(AND($A814&gt;=VLOOKUP(YEAR($A814),'Festive dates'!$A$2:$J$5,9,FALSE),$A814&lt;=VLOOKUP(YEAR($A814),'Festive dates'!$A$2:$J$5,10,FALSE)),1,0)</f>
        <v>0</v>
      </c>
      <c r="W814" s="9">
        <f>IF($A814=VLOOKUP(YEAR($A814),'Festive dates'!$A$2:$J$5,7,FALSE),1,0)</f>
        <v>0</v>
      </c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>
      <c r="A815" s="8">
        <v>45830</v>
      </c>
      <c r="B815" s="9">
        <v>0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f>MAX(-20,MIN(10,$A815-VLOOKUP(YEAR($A815),'Festive dates'!$A$2:$J$5,8,FALSE)))</f>
        <v>-20</v>
      </c>
      <c r="R815" s="9">
        <f>IF(AND($A815&gt;VLOOKUP(YEAR($A815),'Festive dates'!$A$2:$J$5,2,FALSE),$A815&lt;VLOOKUP(YEAR($A815),'Festive dates'!$A$2:$J$5,3,FALSE)),1,0)</f>
        <v>0</v>
      </c>
      <c r="S815" s="9">
        <f>IF($A815=VLOOKUP(YEAR($A815),'Festive dates'!$A$2:$J$5,2,FALSE),1,0)</f>
        <v>0</v>
      </c>
      <c r="T815" s="9">
        <f>IF($A815=VLOOKUP(YEAR($A815),'Festive dates'!$A$2:$J$5,3,FALSE),1,0)</f>
        <v>0</v>
      </c>
      <c r="U815" s="9">
        <f>IF($A815=VLOOKUP(YEAR($A815),'Festive dates'!$A$2:$J$5,4,FALSE),1,0)</f>
        <v>0</v>
      </c>
      <c r="V815" s="9">
        <f>IF(AND($A815&gt;=VLOOKUP(YEAR($A815),'Festive dates'!$A$2:$J$5,9,FALSE),$A815&lt;=VLOOKUP(YEAR($A815),'Festive dates'!$A$2:$J$5,10,FALSE)),1,0)</f>
        <v>0</v>
      </c>
      <c r="W815" s="9">
        <f>IF($A815=VLOOKUP(YEAR($A815),'Festive dates'!$A$2:$J$5,7,FALSE),1,0)</f>
        <v>0</v>
      </c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>
      <c r="A816" s="8">
        <v>45831</v>
      </c>
      <c r="B816" s="9">
        <v>0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f>MAX(-20,MIN(10,$A816-VLOOKUP(YEAR($A816),'Festive dates'!$A$2:$J$5,8,FALSE)))</f>
        <v>-20</v>
      </c>
      <c r="R816" s="9">
        <f>IF(AND($A816&gt;VLOOKUP(YEAR($A816),'Festive dates'!$A$2:$J$5,2,FALSE),$A816&lt;VLOOKUP(YEAR($A816),'Festive dates'!$A$2:$J$5,3,FALSE)),1,0)</f>
        <v>0</v>
      </c>
      <c r="S816" s="9">
        <f>IF($A816=VLOOKUP(YEAR($A816),'Festive dates'!$A$2:$J$5,2,FALSE),1,0)</f>
        <v>0</v>
      </c>
      <c r="T816" s="9">
        <f>IF($A816=VLOOKUP(YEAR($A816),'Festive dates'!$A$2:$J$5,3,FALSE),1,0)</f>
        <v>0</v>
      </c>
      <c r="U816" s="9">
        <f>IF($A816=VLOOKUP(YEAR($A816),'Festive dates'!$A$2:$J$5,4,FALSE),1,0)</f>
        <v>0</v>
      </c>
      <c r="V816" s="9">
        <f>IF(AND($A816&gt;=VLOOKUP(YEAR($A816),'Festive dates'!$A$2:$J$5,9,FALSE),$A816&lt;=VLOOKUP(YEAR($A816),'Festive dates'!$A$2:$J$5,10,FALSE)),1,0)</f>
        <v>0</v>
      </c>
      <c r="W816" s="9">
        <f>IF($A816=VLOOKUP(YEAR($A816),'Festive dates'!$A$2:$J$5,7,FALSE),1,0)</f>
        <v>0</v>
      </c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>
      <c r="A817" s="8">
        <v>45832</v>
      </c>
      <c r="B817" s="9">
        <v>0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f>MAX(-20,MIN(10,$A817-VLOOKUP(YEAR($A817),'Festive dates'!$A$2:$J$5,8,FALSE)))</f>
        <v>-20</v>
      </c>
      <c r="R817" s="9">
        <f>IF(AND($A817&gt;VLOOKUP(YEAR($A817),'Festive dates'!$A$2:$J$5,2,FALSE),$A817&lt;VLOOKUP(YEAR($A817),'Festive dates'!$A$2:$J$5,3,FALSE)),1,0)</f>
        <v>0</v>
      </c>
      <c r="S817" s="9">
        <f>IF($A817=VLOOKUP(YEAR($A817),'Festive dates'!$A$2:$J$5,2,FALSE),1,0)</f>
        <v>0</v>
      </c>
      <c r="T817" s="9">
        <f>IF($A817=VLOOKUP(YEAR($A817),'Festive dates'!$A$2:$J$5,3,FALSE),1,0)</f>
        <v>0</v>
      </c>
      <c r="U817" s="9">
        <f>IF($A817=VLOOKUP(YEAR($A817),'Festive dates'!$A$2:$J$5,4,FALSE),1,0)</f>
        <v>0</v>
      </c>
      <c r="V817" s="9">
        <f>IF(AND($A817&gt;=VLOOKUP(YEAR($A817),'Festive dates'!$A$2:$J$5,9,FALSE),$A817&lt;=VLOOKUP(YEAR($A817),'Festive dates'!$A$2:$J$5,10,FALSE)),1,0)</f>
        <v>0</v>
      </c>
      <c r="W817" s="9">
        <f>IF($A817=VLOOKUP(YEAR($A817),'Festive dates'!$A$2:$J$5,7,FALSE),1,0)</f>
        <v>0</v>
      </c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>
      <c r="A818" s="8">
        <v>45833</v>
      </c>
      <c r="B818" s="9">
        <v>0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f>MAX(-20,MIN(10,$A818-VLOOKUP(YEAR($A818),'Festive dates'!$A$2:$J$5,8,FALSE)))</f>
        <v>-20</v>
      </c>
      <c r="R818" s="9">
        <f>IF(AND($A818&gt;VLOOKUP(YEAR($A818),'Festive dates'!$A$2:$J$5,2,FALSE),$A818&lt;VLOOKUP(YEAR($A818),'Festive dates'!$A$2:$J$5,3,FALSE)),1,0)</f>
        <v>0</v>
      </c>
      <c r="S818" s="9">
        <f>IF($A818=VLOOKUP(YEAR($A818),'Festive dates'!$A$2:$J$5,2,FALSE),1,0)</f>
        <v>0</v>
      </c>
      <c r="T818" s="9">
        <f>IF($A818=VLOOKUP(YEAR($A818),'Festive dates'!$A$2:$J$5,3,FALSE),1,0)</f>
        <v>0</v>
      </c>
      <c r="U818" s="9">
        <f>IF($A818=VLOOKUP(YEAR($A818),'Festive dates'!$A$2:$J$5,4,FALSE),1,0)</f>
        <v>0</v>
      </c>
      <c r="V818" s="9">
        <f>IF(AND($A818&gt;=VLOOKUP(YEAR($A818),'Festive dates'!$A$2:$J$5,9,FALSE),$A818&lt;=VLOOKUP(YEAR($A818),'Festive dates'!$A$2:$J$5,10,FALSE)),1,0)</f>
        <v>0</v>
      </c>
      <c r="W818" s="9">
        <f>IF($A818=VLOOKUP(YEAR($A818),'Festive dates'!$A$2:$J$5,7,FALSE),1,0)</f>
        <v>0</v>
      </c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>
      <c r="A819" s="8">
        <v>45834</v>
      </c>
      <c r="B819" s="9">
        <v>0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f>MAX(-20,MIN(10,$A819-VLOOKUP(YEAR($A819),'Festive dates'!$A$2:$J$5,8,FALSE)))</f>
        <v>-20</v>
      </c>
      <c r="R819" s="9">
        <f>IF(AND($A819&gt;VLOOKUP(YEAR($A819),'Festive dates'!$A$2:$J$5,2,FALSE),$A819&lt;VLOOKUP(YEAR($A819),'Festive dates'!$A$2:$J$5,3,FALSE)),1,0)</f>
        <v>0</v>
      </c>
      <c r="S819" s="9">
        <f>IF($A819=VLOOKUP(YEAR($A819),'Festive dates'!$A$2:$J$5,2,FALSE),1,0)</f>
        <v>0</v>
      </c>
      <c r="T819" s="9">
        <f>IF($A819=VLOOKUP(YEAR($A819),'Festive dates'!$A$2:$J$5,3,FALSE),1,0)</f>
        <v>0</v>
      </c>
      <c r="U819" s="9">
        <f>IF($A819=VLOOKUP(YEAR($A819),'Festive dates'!$A$2:$J$5,4,FALSE),1,0)</f>
        <v>0</v>
      </c>
      <c r="V819" s="9">
        <f>IF(AND($A819&gt;=VLOOKUP(YEAR($A819),'Festive dates'!$A$2:$J$5,9,FALSE),$A819&lt;=VLOOKUP(YEAR($A819),'Festive dates'!$A$2:$J$5,10,FALSE)),1,0)</f>
        <v>0</v>
      </c>
      <c r="W819" s="9">
        <f>IF($A819=VLOOKUP(YEAR($A819),'Festive dates'!$A$2:$J$5,7,FALSE),1,0)</f>
        <v>0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>
      <c r="A820" s="8">
        <v>45835</v>
      </c>
      <c r="B820" s="9">
        <v>0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1</v>
      </c>
      <c r="M820" s="9">
        <v>0</v>
      </c>
      <c r="N820" s="9">
        <v>0</v>
      </c>
      <c r="O820" s="9">
        <v>0</v>
      </c>
      <c r="P820" s="9">
        <v>0</v>
      </c>
      <c r="Q820" s="9">
        <f>MAX(-20,MIN(10,$A820-VLOOKUP(YEAR($A820),'Festive dates'!$A$2:$J$5,8,FALSE)))</f>
        <v>-20</v>
      </c>
      <c r="R820" s="9">
        <f>IF(AND($A820&gt;VLOOKUP(YEAR($A820),'Festive dates'!$A$2:$J$5,2,FALSE),$A820&lt;VLOOKUP(YEAR($A820),'Festive dates'!$A$2:$J$5,3,FALSE)),1,0)</f>
        <v>0</v>
      </c>
      <c r="S820" s="9">
        <f>IF($A820=VLOOKUP(YEAR($A820),'Festive dates'!$A$2:$J$5,2,FALSE),1,0)</f>
        <v>0</v>
      </c>
      <c r="T820" s="9">
        <f>IF($A820=VLOOKUP(YEAR($A820),'Festive dates'!$A$2:$J$5,3,FALSE),1,0)</f>
        <v>0</v>
      </c>
      <c r="U820" s="9">
        <f>IF($A820=VLOOKUP(YEAR($A820),'Festive dates'!$A$2:$J$5,4,FALSE),1,0)</f>
        <v>0</v>
      </c>
      <c r="V820" s="9">
        <f>IF(AND($A820&gt;=VLOOKUP(YEAR($A820),'Festive dates'!$A$2:$J$5,9,FALSE),$A820&lt;=VLOOKUP(YEAR($A820),'Festive dates'!$A$2:$J$5,10,FALSE)),1,0)</f>
        <v>0</v>
      </c>
      <c r="W820" s="9">
        <f>IF($A820=VLOOKUP(YEAR($A820),'Festive dates'!$A$2:$J$5,7,FALSE),1,0)</f>
        <v>0</v>
      </c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>
      <c r="A821" s="8">
        <v>45836</v>
      </c>
      <c r="B821" s="9">
        <v>0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f>MAX(-20,MIN(10,$A821-VLOOKUP(YEAR($A821),'Festive dates'!$A$2:$J$5,8,FALSE)))</f>
        <v>-20</v>
      </c>
      <c r="R821" s="9">
        <f>IF(AND($A821&gt;VLOOKUP(YEAR($A821),'Festive dates'!$A$2:$J$5,2,FALSE),$A821&lt;VLOOKUP(YEAR($A821),'Festive dates'!$A$2:$J$5,3,FALSE)),1,0)</f>
        <v>0</v>
      </c>
      <c r="S821" s="9">
        <f>IF($A821=VLOOKUP(YEAR($A821),'Festive dates'!$A$2:$J$5,2,FALSE),1,0)</f>
        <v>0</v>
      </c>
      <c r="T821" s="9">
        <f>IF($A821=VLOOKUP(YEAR($A821),'Festive dates'!$A$2:$J$5,3,FALSE),1,0)</f>
        <v>0</v>
      </c>
      <c r="U821" s="9">
        <f>IF($A821=VLOOKUP(YEAR($A821),'Festive dates'!$A$2:$J$5,4,FALSE),1,0)</f>
        <v>0</v>
      </c>
      <c r="V821" s="9">
        <f>IF(AND($A821&gt;=VLOOKUP(YEAR($A821),'Festive dates'!$A$2:$J$5,9,FALSE),$A821&lt;=VLOOKUP(YEAR($A821),'Festive dates'!$A$2:$J$5,10,FALSE)),1,0)</f>
        <v>0</v>
      </c>
      <c r="W821" s="9">
        <f>IF($A821=VLOOKUP(YEAR($A821),'Festive dates'!$A$2:$J$5,7,FALSE),1,0)</f>
        <v>0</v>
      </c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>
      <c r="A822" s="8">
        <v>45837</v>
      </c>
      <c r="B822" s="9">
        <v>0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f>MAX(-20,MIN(10,$A822-VLOOKUP(YEAR($A822),'Festive dates'!$A$2:$J$5,8,FALSE)))</f>
        <v>-20</v>
      </c>
      <c r="R822" s="9">
        <f>IF(AND($A822&gt;VLOOKUP(YEAR($A822),'Festive dates'!$A$2:$J$5,2,FALSE),$A822&lt;VLOOKUP(YEAR($A822),'Festive dates'!$A$2:$J$5,3,FALSE)),1,0)</f>
        <v>0</v>
      </c>
      <c r="S822" s="9">
        <f>IF($A822=VLOOKUP(YEAR($A822),'Festive dates'!$A$2:$J$5,2,FALSE),1,0)</f>
        <v>0</v>
      </c>
      <c r="T822" s="9">
        <f>IF($A822=VLOOKUP(YEAR($A822),'Festive dates'!$A$2:$J$5,3,FALSE),1,0)</f>
        <v>0</v>
      </c>
      <c r="U822" s="9">
        <f>IF($A822=VLOOKUP(YEAR($A822),'Festive dates'!$A$2:$J$5,4,FALSE),1,0)</f>
        <v>0</v>
      </c>
      <c r="V822" s="9">
        <f>IF(AND($A822&gt;=VLOOKUP(YEAR($A822),'Festive dates'!$A$2:$J$5,9,FALSE),$A822&lt;=VLOOKUP(YEAR($A822),'Festive dates'!$A$2:$J$5,10,FALSE)),1,0)</f>
        <v>0</v>
      </c>
      <c r="W822" s="9">
        <f>IF($A822=VLOOKUP(YEAR($A822),'Festive dates'!$A$2:$J$5,7,FALSE),1,0)</f>
        <v>0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>
      <c r="A823" s="8">
        <v>45838</v>
      </c>
      <c r="B823" s="9">
        <v>0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f>MAX(-20,MIN(10,$A823-VLOOKUP(YEAR($A823),'Festive dates'!$A$2:$J$5,8,FALSE)))</f>
        <v>-20</v>
      </c>
      <c r="R823" s="9">
        <f>IF(AND($A823&gt;VLOOKUP(YEAR($A823),'Festive dates'!$A$2:$J$5,2,FALSE),$A823&lt;VLOOKUP(YEAR($A823),'Festive dates'!$A$2:$J$5,3,FALSE)),1,0)</f>
        <v>0</v>
      </c>
      <c r="S823" s="9">
        <f>IF($A823=VLOOKUP(YEAR($A823),'Festive dates'!$A$2:$J$5,2,FALSE),1,0)</f>
        <v>0</v>
      </c>
      <c r="T823" s="9">
        <f>IF($A823=VLOOKUP(YEAR($A823),'Festive dates'!$A$2:$J$5,3,FALSE),1,0)</f>
        <v>0</v>
      </c>
      <c r="U823" s="9">
        <f>IF($A823=VLOOKUP(YEAR($A823),'Festive dates'!$A$2:$J$5,4,FALSE),1,0)</f>
        <v>0</v>
      </c>
      <c r="V823" s="9">
        <f>IF(AND($A823&gt;=VLOOKUP(YEAR($A823),'Festive dates'!$A$2:$J$5,9,FALSE),$A823&lt;=VLOOKUP(YEAR($A823),'Festive dates'!$A$2:$J$5,10,FALSE)),1,0)</f>
        <v>0</v>
      </c>
      <c r="W823" s="9">
        <f>IF($A823=VLOOKUP(YEAR($A823),'Festive dates'!$A$2:$J$5,7,FALSE),1,0)</f>
        <v>0</v>
      </c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>
      <c r="A824" s="8">
        <v>45839</v>
      </c>
      <c r="B824" s="9">
        <v>0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f>MAX(-20,MIN(10,$A824-VLOOKUP(YEAR($A824),'Festive dates'!$A$2:$J$5,8,FALSE)))</f>
        <v>-20</v>
      </c>
      <c r="R824" s="9">
        <f>IF(AND($A824&gt;VLOOKUP(YEAR($A824),'Festive dates'!$A$2:$J$5,2,FALSE),$A824&lt;VLOOKUP(YEAR($A824),'Festive dates'!$A$2:$J$5,3,FALSE)),1,0)</f>
        <v>0</v>
      </c>
      <c r="S824" s="9">
        <f>IF($A824=VLOOKUP(YEAR($A824),'Festive dates'!$A$2:$J$5,2,FALSE),1,0)</f>
        <v>0</v>
      </c>
      <c r="T824" s="9">
        <f>IF($A824=VLOOKUP(YEAR($A824),'Festive dates'!$A$2:$J$5,3,FALSE),1,0)</f>
        <v>0</v>
      </c>
      <c r="U824" s="9">
        <f>IF($A824=VLOOKUP(YEAR($A824),'Festive dates'!$A$2:$J$5,4,FALSE),1,0)</f>
        <v>0</v>
      </c>
      <c r="V824" s="9">
        <f>IF(AND($A824&gt;=VLOOKUP(YEAR($A824),'Festive dates'!$A$2:$J$5,9,FALSE),$A824&lt;=VLOOKUP(YEAR($A824),'Festive dates'!$A$2:$J$5,10,FALSE)),1,0)</f>
        <v>0</v>
      </c>
      <c r="W824" s="9">
        <f>IF($A824=VLOOKUP(YEAR($A824),'Festive dates'!$A$2:$J$5,7,FALSE),1,0)</f>
        <v>0</v>
      </c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>
      <c r="A825" s="8">
        <v>45840</v>
      </c>
      <c r="B825" s="9">
        <v>0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f>MAX(-20,MIN(10,$A825-VLOOKUP(YEAR($A825),'Festive dates'!$A$2:$J$5,8,FALSE)))</f>
        <v>-20</v>
      </c>
      <c r="R825" s="9">
        <f>IF(AND($A825&gt;VLOOKUP(YEAR($A825),'Festive dates'!$A$2:$J$5,2,FALSE),$A825&lt;VLOOKUP(YEAR($A825),'Festive dates'!$A$2:$J$5,3,FALSE)),1,0)</f>
        <v>0</v>
      </c>
      <c r="S825" s="9">
        <f>IF($A825=VLOOKUP(YEAR($A825),'Festive dates'!$A$2:$J$5,2,FALSE),1,0)</f>
        <v>0</v>
      </c>
      <c r="T825" s="9">
        <f>IF($A825=VLOOKUP(YEAR($A825),'Festive dates'!$A$2:$J$5,3,FALSE),1,0)</f>
        <v>0</v>
      </c>
      <c r="U825" s="9">
        <f>IF($A825=VLOOKUP(YEAR($A825),'Festive dates'!$A$2:$J$5,4,FALSE),1,0)</f>
        <v>0</v>
      </c>
      <c r="V825" s="9">
        <f>IF(AND($A825&gt;=VLOOKUP(YEAR($A825),'Festive dates'!$A$2:$J$5,9,FALSE),$A825&lt;=VLOOKUP(YEAR($A825),'Festive dates'!$A$2:$J$5,10,FALSE)),1,0)</f>
        <v>0</v>
      </c>
      <c r="W825" s="9">
        <f>IF($A825=VLOOKUP(YEAR($A825),'Festive dates'!$A$2:$J$5,7,FALSE),1,0)</f>
        <v>0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>
      <c r="A826" s="8">
        <v>45841</v>
      </c>
      <c r="B826" s="9">
        <v>0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f>MAX(-20,MIN(10,$A826-VLOOKUP(YEAR($A826),'Festive dates'!$A$2:$J$5,8,FALSE)))</f>
        <v>-20</v>
      </c>
      <c r="R826" s="9">
        <f>IF(AND($A826&gt;VLOOKUP(YEAR($A826),'Festive dates'!$A$2:$J$5,2,FALSE),$A826&lt;VLOOKUP(YEAR($A826),'Festive dates'!$A$2:$J$5,3,FALSE)),1,0)</f>
        <v>0</v>
      </c>
      <c r="S826" s="9">
        <f>IF($A826=VLOOKUP(YEAR($A826),'Festive dates'!$A$2:$J$5,2,FALSE),1,0)</f>
        <v>0</v>
      </c>
      <c r="T826" s="9">
        <f>IF($A826=VLOOKUP(YEAR($A826),'Festive dates'!$A$2:$J$5,3,FALSE),1,0)</f>
        <v>0</v>
      </c>
      <c r="U826" s="9">
        <f>IF($A826=VLOOKUP(YEAR($A826),'Festive dates'!$A$2:$J$5,4,FALSE),1,0)</f>
        <v>0</v>
      </c>
      <c r="V826" s="9">
        <f>IF(AND($A826&gt;=VLOOKUP(YEAR($A826),'Festive dates'!$A$2:$J$5,9,FALSE),$A826&lt;=VLOOKUP(YEAR($A826),'Festive dates'!$A$2:$J$5,10,FALSE)),1,0)</f>
        <v>0</v>
      </c>
      <c r="W826" s="9">
        <f>IF($A826=VLOOKUP(YEAR($A826),'Festive dates'!$A$2:$J$5,7,FALSE),1,0)</f>
        <v>0</v>
      </c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>
      <c r="A827" s="8">
        <v>45842</v>
      </c>
      <c r="B827" s="9">
        <v>0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f>MAX(-20,MIN(10,$A827-VLOOKUP(YEAR($A827),'Festive dates'!$A$2:$J$5,8,FALSE)))</f>
        <v>-20</v>
      </c>
      <c r="R827" s="9">
        <f>IF(AND($A827&gt;VLOOKUP(YEAR($A827),'Festive dates'!$A$2:$J$5,2,FALSE),$A827&lt;VLOOKUP(YEAR($A827),'Festive dates'!$A$2:$J$5,3,FALSE)),1,0)</f>
        <v>0</v>
      </c>
      <c r="S827" s="9">
        <f>IF($A827=VLOOKUP(YEAR($A827),'Festive dates'!$A$2:$J$5,2,FALSE),1,0)</f>
        <v>0</v>
      </c>
      <c r="T827" s="9">
        <f>IF($A827=VLOOKUP(YEAR($A827),'Festive dates'!$A$2:$J$5,3,FALSE),1,0)</f>
        <v>0</v>
      </c>
      <c r="U827" s="9">
        <f>IF($A827=VLOOKUP(YEAR($A827),'Festive dates'!$A$2:$J$5,4,FALSE),1,0)</f>
        <v>0</v>
      </c>
      <c r="V827" s="9">
        <f>IF(AND($A827&gt;=VLOOKUP(YEAR($A827),'Festive dates'!$A$2:$J$5,9,FALSE),$A827&lt;=VLOOKUP(YEAR($A827),'Festive dates'!$A$2:$J$5,10,FALSE)),1,0)</f>
        <v>0</v>
      </c>
      <c r="W827" s="9">
        <f>IF($A827=VLOOKUP(YEAR($A827),'Festive dates'!$A$2:$J$5,7,FALSE),1,0)</f>
        <v>0</v>
      </c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>
      <c r="A828" s="8">
        <v>45843</v>
      </c>
      <c r="B828" s="9">
        <v>0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f>MAX(-20,MIN(10,$A828-VLOOKUP(YEAR($A828),'Festive dates'!$A$2:$J$5,8,FALSE)))</f>
        <v>-20</v>
      </c>
      <c r="R828" s="9">
        <f>IF(AND($A828&gt;VLOOKUP(YEAR($A828),'Festive dates'!$A$2:$J$5,2,FALSE),$A828&lt;VLOOKUP(YEAR($A828),'Festive dates'!$A$2:$J$5,3,FALSE)),1,0)</f>
        <v>0</v>
      </c>
      <c r="S828" s="9">
        <f>IF($A828=VLOOKUP(YEAR($A828),'Festive dates'!$A$2:$J$5,2,FALSE),1,0)</f>
        <v>0</v>
      </c>
      <c r="T828" s="9">
        <f>IF($A828=VLOOKUP(YEAR($A828),'Festive dates'!$A$2:$J$5,3,FALSE),1,0)</f>
        <v>0</v>
      </c>
      <c r="U828" s="9">
        <f>IF($A828=VLOOKUP(YEAR($A828),'Festive dates'!$A$2:$J$5,4,FALSE),1,0)</f>
        <v>0</v>
      </c>
      <c r="V828" s="9">
        <f>IF(AND($A828&gt;=VLOOKUP(YEAR($A828),'Festive dates'!$A$2:$J$5,9,FALSE),$A828&lt;=VLOOKUP(YEAR($A828),'Festive dates'!$A$2:$J$5,10,FALSE)),1,0)</f>
        <v>0</v>
      </c>
      <c r="W828" s="9">
        <f>IF($A828=VLOOKUP(YEAR($A828),'Festive dates'!$A$2:$J$5,7,FALSE),1,0)</f>
        <v>0</v>
      </c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>
      <c r="A829" s="8">
        <v>45844</v>
      </c>
      <c r="B829" s="9">
        <v>0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f>MAX(-20,MIN(10,$A829-VLOOKUP(YEAR($A829),'Festive dates'!$A$2:$J$5,8,FALSE)))</f>
        <v>-20</v>
      </c>
      <c r="R829" s="9">
        <f>IF(AND($A829&gt;VLOOKUP(YEAR($A829),'Festive dates'!$A$2:$J$5,2,FALSE),$A829&lt;VLOOKUP(YEAR($A829),'Festive dates'!$A$2:$J$5,3,FALSE)),1,0)</f>
        <v>0</v>
      </c>
      <c r="S829" s="9">
        <f>IF($A829=VLOOKUP(YEAR($A829),'Festive dates'!$A$2:$J$5,2,FALSE),1,0)</f>
        <v>0</v>
      </c>
      <c r="T829" s="9">
        <f>IF($A829=VLOOKUP(YEAR($A829),'Festive dates'!$A$2:$J$5,3,FALSE),1,0)</f>
        <v>0</v>
      </c>
      <c r="U829" s="9">
        <f>IF($A829=VLOOKUP(YEAR($A829),'Festive dates'!$A$2:$J$5,4,FALSE),1,0)</f>
        <v>0</v>
      </c>
      <c r="V829" s="9">
        <f>IF(AND($A829&gt;=VLOOKUP(YEAR($A829),'Festive dates'!$A$2:$J$5,9,FALSE),$A829&lt;=VLOOKUP(YEAR($A829),'Festive dates'!$A$2:$J$5,10,FALSE)),1,0)</f>
        <v>0</v>
      </c>
      <c r="W829" s="9">
        <f>IF($A829=VLOOKUP(YEAR($A829),'Festive dates'!$A$2:$J$5,7,FALSE),1,0)</f>
        <v>0</v>
      </c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>
      <c r="A830" s="8">
        <v>45845</v>
      </c>
      <c r="B830" s="9">
        <v>0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f>MAX(-20,MIN(10,$A830-VLOOKUP(YEAR($A830),'Festive dates'!$A$2:$J$5,8,FALSE)))</f>
        <v>-20</v>
      </c>
      <c r="R830" s="9">
        <f>IF(AND($A830&gt;VLOOKUP(YEAR($A830),'Festive dates'!$A$2:$J$5,2,FALSE),$A830&lt;VLOOKUP(YEAR($A830),'Festive dates'!$A$2:$J$5,3,FALSE)),1,0)</f>
        <v>0</v>
      </c>
      <c r="S830" s="9">
        <f>IF($A830=VLOOKUP(YEAR($A830),'Festive dates'!$A$2:$J$5,2,FALSE),1,0)</f>
        <v>0</v>
      </c>
      <c r="T830" s="9">
        <f>IF($A830=VLOOKUP(YEAR($A830),'Festive dates'!$A$2:$J$5,3,FALSE),1,0)</f>
        <v>0</v>
      </c>
      <c r="U830" s="9">
        <f>IF($A830=VLOOKUP(YEAR($A830),'Festive dates'!$A$2:$J$5,4,FALSE),1,0)</f>
        <v>0</v>
      </c>
      <c r="V830" s="9">
        <f>IF(AND($A830&gt;=VLOOKUP(YEAR($A830),'Festive dates'!$A$2:$J$5,9,FALSE),$A830&lt;=VLOOKUP(YEAR($A830),'Festive dates'!$A$2:$J$5,10,FALSE)),1,0)</f>
        <v>0</v>
      </c>
      <c r="W830" s="9">
        <f>IF($A830=VLOOKUP(YEAR($A830),'Festive dates'!$A$2:$J$5,7,FALSE),1,0)</f>
        <v>0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>
      <c r="A831" s="8">
        <v>45846</v>
      </c>
      <c r="B831" s="9">
        <v>0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f>MAX(-20,MIN(10,$A831-VLOOKUP(YEAR($A831),'Festive dates'!$A$2:$J$5,8,FALSE)))</f>
        <v>-20</v>
      </c>
      <c r="R831" s="9">
        <f>IF(AND($A831&gt;VLOOKUP(YEAR($A831),'Festive dates'!$A$2:$J$5,2,FALSE),$A831&lt;VLOOKUP(YEAR($A831),'Festive dates'!$A$2:$J$5,3,FALSE)),1,0)</f>
        <v>0</v>
      </c>
      <c r="S831" s="9">
        <f>IF($A831=VLOOKUP(YEAR($A831),'Festive dates'!$A$2:$J$5,2,FALSE),1,0)</f>
        <v>0</v>
      </c>
      <c r="T831" s="9">
        <f>IF($A831=VLOOKUP(YEAR($A831),'Festive dates'!$A$2:$J$5,3,FALSE),1,0)</f>
        <v>0</v>
      </c>
      <c r="U831" s="9">
        <f>IF($A831=VLOOKUP(YEAR($A831),'Festive dates'!$A$2:$J$5,4,FALSE),1,0)</f>
        <v>0</v>
      </c>
      <c r="V831" s="9">
        <f>IF(AND($A831&gt;=VLOOKUP(YEAR($A831),'Festive dates'!$A$2:$J$5,9,FALSE),$A831&lt;=VLOOKUP(YEAR($A831),'Festive dates'!$A$2:$J$5,10,FALSE)),1,0)</f>
        <v>0</v>
      </c>
      <c r="W831" s="9">
        <f>IF($A831=VLOOKUP(YEAR($A831),'Festive dates'!$A$2:$J$5,7,FALSE),1,0)</f>
        <v>0</v>
      </c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>
      <c r="A832" s="8">
        <v>45847</v>
      </c>
      <c r="B832" s="9">
        <v>0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f>MAX(-20,MIN(10,$A832-VLOOKUP(YEAR($A832),'Festive dates'!$A$2:$J$5,8,FALSE)))</f>
        <v>-20</v>
      </c>
      <c r="R832" s="9">
        <f>IF(AND($A832&gt;VLOOKUP(YEAR($A832),'Festive dates'!$A$2:$J$5,2,FALSE),$A832&lt;VLOOKUP(YEAR($A832),'Festive dates'!$A$2:$J$5,3,FALSE)),1,0)</f>
        <v>0</v>
      </c>
      <c r="S832" s="9">
        <f>IF($A832=VLOOKUP(YEAR($A832),'Festive dates'!$A$2:$J$5,2,FALSE),1,0)</f>
        <v>0</v>
      </c>
      <c r="T832" s="9">
        <f>IF($A832=VLOOKUP(YEAR($A832),'Festive dates'!$A$2:$J$5,3,FALSE),1,0)</f>
        <v>0</v>
      </c>
      <c r="U832" s="9">
        <f>IF($A832=VLOOKUP(YEAR($A832),'Festive dates'!$A$2:$J$5,4,FALSE),1,0)</f>
        <v>0</v>
      </c>
      <c r="V832" s="9">
        <f>IF(AND($A832&gt;=VLOOKUP(YEAR($A832),'Festive dates'!$A$2:$J$5,9,FALSE),$A832&lt;=VLOOKUP(YEAR($A832),'Festive dates'!$A$2:$J$5,10,FALSE)),1,0)</f>
        <v>0</v>
      </c>
      <c r="W832" s="9">
        <f>IF($A832=VLOOKUP(YEAR($A832),'Festive dates'!$A$2:$J$5,7,FALSE),1,0)</f>
        <v>0</v>
      </c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>
      <c r="A833" s="8">
        <v>45848</v>
      </c>
      <c r="B833" s="9">
        <v>0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1</v>
      </c>
      <c r="N833" s="9">
        <v>0</v>
      </c>
      <c r="O833" s="9">
        <v>0</v>
      </c>
      <c r="P833" s="9">
        <v>0</v>
      </c>
      <c r="Q833" s="9">
        <f>MAX(-20,MIN(10,$A833-VLOOKUP(YEAR($A833),'Festive dates'!$A$2:$J$5,8,FALSE)))</f>
        <v>-20</v>
      </c>
      <c r="R833" s="9">
        <f>IF(AND($A833&gt;VLOOKUP(YEAR($A833),'Festive dates'!$A$2:$J$5,2,FALSE),$A833&lt;VLOOKUP(YEAR($A833),'Festive dates'!$A$2:$J$5,3,FALSE)),1,0)</f>
        <v>0</v>
      </c>
      <c r="S833" s="9">
        <f>IF($A833=VLOOKUP(YEAR($A833),'Festive dates'!$A$2:$J$5,2,FALSE),1,0)</f>
        <v>0</v>
      </c>
      <c r="T833" s="9">
        <f>IF($A833=VLOOKUP(YEAR($A833),'Festive dates'!$A$2:$J$5,3,FALSE),1,0)</f>
        <v>0</v>
      </c>
      <c r="U833" s="9">
        <f>IF($A833=VLOOKUP(YEAR($A833),'Festive dates'!$A$2:$J$5,4,FALSE),1,0)</f>
        <v>0</v>
      </c>
      <c r="V833" s="9">
        <f>IF(AND($A833&gt;=VLOOKUP(YEAR($A833),'Festive dates'!$A$2:$J$5,9,FALSE),$A833&lt;=VLOOKUP(YEAR($A833),'Festive dates'!$A$2:$J$5,10,FALSE)),1,0)</f>
        <v>0</v>
      </c>
      <c r="W833" s="9">
        <f>IF($A833=VLOOKUP(YEAR($A833),'Festive dates'!$A$2:$J$5,7,FALSE),1,0)</f>
        <v>0</v>
      </c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>
      <c r="A834" s="8">
        <v>45849</v>
      </c>
      <c r="B834" s="9">
        <v>0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f>MAX(-20,MIN(10,$A834-VLOOKUP(YEAR($A834),'Festive dates'!$A$2:$J$5,8,FALSE)))</f>
        <v>-20</v>
      </c>
      <c r="R834" s="9">
        <f>IF(AND($A834&gt;VLOOKUP(YEAR($A834),'Festive dates'!$A$2:$J$5,2,FALSE),$A834&lt;VLOOKUP(YEAR($A834),'Festive dates'!$A$2:$J$5,3,FALSE)),1,0)</f>
        <v>0</v>
      </c>
      <c r="S834" s="9">
        <f>IF($A834=VLOOKUP(YEAR($A834),'Festive dates'!$A$2:$J$5,2,FALSE),1,0)</f>
        <v>0</v>
      </c>
      <c r="T834" s="9">
        <f>IF($A834=VLOOKUP(YEAR($A834),'Festive dates'!$A$2:$J$5,3,FALSE),1,0)</f>
        <v>0</v>
      </c>
      <c r="U834" s="9">
        <f>IF($A834=VLOOKUP(YEAR($A834),'Festive dates'!$A$2:$J$5,4,FALSE),1,0)</f>
        <v>0</v>
      </c>
      <c r="V834" s="9">
        <f>IF(AND($A834&gt;=VLOOKUP(YEAR($A834),'Festive dates'!$A$2:$J$5,9,FALSE),$A834&lt;=VLOOKUP(YEAR($A834),'Festive dates'!$A$2:$J$5,10,FALSE)),1,0)</f>
        <v>0</v>
      </c>
      <c r="W834" s="9">
        <f>IF($A834=VLOOKUP(YEAR($A834),'Festive dates'!$A$2:$J$5,7,FALSE),1,0)</f>
        <v>0</v>
      </c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>
      <c r="A835" s="8">
        <v>45850</v>
      </c>
      <c r="B835" s="9">
        <v>0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f>MAX(-20,MIN(10,$A835-VLOOKUP(YEAR($A835),'Festive dates'!$A$2:$J$5,8,FALSE)))</f>
        <v>-20</v>
      </c>
      <c r="R835" s="9">
        <f>IF(AND($A835&gt;VLOOKUP(YEAR($A835),'Festive dates'!$A$2:$J$5,2,FALSE),$A835&lt;VLOOKUP(YEAR($A835),'Festive dates'!$A$2:$J$5,3,FALSE)),1,0)</f>
        <v>0</v>
      </c>
      <c r="S835" s="9">
        <f>IF($A835=VLOOKUP(YEAR($A835),'Festive dates'!$A$2:$J$5,2,FALSE),1,0)</f>
        <v>0</v>
      </c>
      <c r="T835" s="9">
        <f>IF($A835=VLOOKUP(YEAR($A835),'Festive dates'!$A$2:$J$5,3,FALSE),1,0)</f>
        <v>0</v>
      </c>
      <c r="U835" s="9">
        <f>IF($A835=VLOOKUP(YEAR($A835),'Festive dates'!$A$2:$J$5,4,FALSE),1,0)</f>
        <v>0</v>
      </c>
      <c r="V835" s="9">
        <f>IF(AND($A835&gt;=VLOOKUP(YEAR($A835),'Festive dates'!$A$2:$J$5,9,FALSE),$A835&lt;=VLOOKUP(YEAR($A835),'Festive dates'!$A$2:$J$5,10,FALSE)),1,0)</f>
        <v>0</v>
      </c>
      <c r="W835" s="9">
        <f>IF($A835=VLOOKUP(YEAR($A835),'Festive dates'!$A$2:$J$5,7,FALSE),1,0)</f>
        <v>0</v>
      </c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>
      <c r="A836" s="8">
        <v>45851</v>
      </c>
      <c r="B836" s="9">
        <v>0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f>MAX(-20,MIN(10,$A836-VLOOKUP(YEAR($A836),'Festive dates'!$A$2:$J$5,8,FALSE)))</f>
        <v>-20</v>
      </c>
      <c r="R836" s="9">
        <f>IF(AND($A836&gt;VLOOKUP(YEAR($A836),'Festive dates'!$A$2:$J$5,2,FALSE),$A836&lt;VLOOKUP(YEAR($A836),'Festive dates'!$A$2:$J$5,3,FALSE)),1,0)</f>
        <v>0</v>
      </c>
      <c r="S836" s="9">
        <f>IF($A836=VLOOKUP(YEAR($A836),'Festive dates'!$A$2:$J$5,2,FALSE),1,0)</f>
        <v>0</v>
      </c>
      <c r="T836" s="9">
        <f>IF($A836=VLOOKUP(YEAR($A836),'Festive dates'!$A$2:$J$5,3,FALSE),1,0)</f>
        <v>0</v>
      </c>
      <c r="U836" s="9">
        <f>IF($A836=VLOOKUP(YEAR($A836),'Festive dates'!$A$2:$J$5,4,FALSE),1,0)</f>
        <v>0</v>
      </c>
      <c r="V836" s="9">
        <f>IF(AND($A836&gt;=VLOOKUP(YEAR($A836),'Festive dates'!$A$2:$J$5,9,FALSE),$A836&lt;=VLOOKUP(YEAR($A836),'Festive dates'!$A$2:$J$5,10,FALSE)),1,0)</f>
        <v>0</v>
      </c>
      <c r="W836" s="9">
        <f>IF($A836=VLOOKUP(YEAR($A836),'Festive dates'!$A$2:$J$5,7,FALSE),1,0)</f>
        <v>0</v>
      </c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>
      <c r="A837" s="8">
        <v>45852</v>
      </c>
      <c r="B837" s="9">
        <v>0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f>MAX(-20,MIN(10,$A837-VLOOKUP(YEAR($A837),'Festive dates'!$A$2:$J$5,8,FALSE)))</f>
        <v>-20</v>
      </c>
      <c r="R837" s="9">
        <f>IF(AND($A837&gt;VLOOKUP(YEAR($A837),'Festive dates'!$A$2:$J$5,2,FALSE),$A837&lt;VLOOKUP(YEAR($A837),'Festive dates'!$A$2:$J$5,3,FALSE)),1,0)</f>
        <v>0</v>
      </c>
      <c r="S837" s="9">
        <f>IF($A837=VLOOKUP(YEAR($A837),'Festive dates'!$A$2:$J$5,2,FALSE),1,0)</f>
        <v>0</v>
      </c>
      <c r="T837" s="9">
        <f>IF($A837=VLOOKUP(YEAR($A837),'Festive dates'!$A$2:$J$5,3,FALSE),1,0)</f>
        <v>0</v>
      </c>
      <c r="U837" s="9">
        <f>IF($A837=VLOOKUP(YEAR($A837),'Festive dates'!$A$2:$J$5,4,FALSE),1,0)</f>
        <v>0</v>
      </c>
      <c r="V837" s="9">
        <f>IF(AND($A837&gt;=VLOOKUP(YEAR($A837),'Festive dates'!$A$2:$J$5,9,FALSE),$A837&lt;=VLOOKUP(YEAR($A837),'Festive dates'!$A$2:$J$5,10,FALSE)),1,0)</f>
        <v>0</v>
      </c>
      <c r="W837" s="9">
        <f>IF($A837=VLOOKUP(YEAR($A837),'Festive dates'!$A$2:$J$5,7,FALSE),1,0)</f>
        <v>0</v>
      </c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>
      <c r="A838" s="8">
        <v>45853</v>
      </c>
      <c r="B838" s="9">
        <v>0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f>MAX(-20,MIN(10,$A838-VLOOKUP(YEAR($A838),'Festive dates'!$A$2:$J$5,8,FALSE)))</f>
        <v>-20</v>
      </c>
      <c r="R838" s="9">
        <f>IF(AND($A838&gt;VLOOKUP(YEAR($A838),'Festive dates'!$A$2:$J$5,2,FALSE),$A838&lt;VLOOKUP(YEAR($A838),'Festive dates'!$A$2:$J$5,3,FALSE)),1,0)</f>
        <v>0</v>
      </c>
      <c r="S838" s="9">
        <f>IF($A838=VLOOKUP(YEAR($A838),'Festive dates'!$A$2:$J$5,2,FALSE),1,0)</f>
        <v>0</v>
      </c>
      <c r="T838" s="9">
        <f>IF($A838=VLOOKUP(YEAR($A838),'Festive dates'!$A$2:$J$5,3,FALSE),1,0)</f>
        <v>0</v>
      </c>
      <c r="U838" s="9">
        <f>IF($A838=VLOOKUP(YEAR($A838),'Festive dates'!$A$2:$J$5,4,FALSE),1,0)</f>
        <v>0</v>
      </c>
      <c r="V838" s="9">
        <f>IF(AND($A838&gt;=VLOOKUP(YEAR($A838),'Festive dates'!$A$2:$J$5,9,FALSE),$A838&lt;=VLOOKUP(YEAR($A838),'Festive dates'!$A$2:$J$5,10,FALSE)),1,0)</f>
        <v>0</v>
      </c>
      <c r="W838" s="9">
        <f>IF($A838=VLOOKUP(YEAR($A838),'Festive dates'!$A$2:$J$5,7,FALSE),1,0)</f>
        <v>0</v>
      </c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>
      <c r="A839" s="8">
        <v>45854</v>
      </c>
      <c r="B839" s="9">
        <v>0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f>MAX(-20,MIN(10,$A839-VLOOKUP(YEAR($A839),'Festive dates'!$A$2:$J$5,8,FALSE)))</f>
        <v>-20</v>
      </c>
      <c r="R839" s="9">
        <f>IF(AND($A839&gt;VLOOKUP(YEAR($A839),'Festive dates'!$A$2:$J$5,2,FALSE),$A839&lt;VLOOKUP(YEAR($A839),'Festive dates'!$A$2:$J$5,3,FALSE)),1,0)</f>
        <v>0</v>
      </c>
      <c r="S839" s="9">
        <f>IF($A839=VLOOKUP(YEAR($A839),'Festive dates'!$A$2:$J$5,2,FALSE),1,0)</f>
        <v>0</v>
      </c>
      <c r="T839" s="9">
        <f>IF($A839=VLOOKUP(YEAR($A839),'Festive dates'!$A$2:$J$5,3,FALSE),1,0)</f>
        <v>0</v>
      </c>
      <c r="U839" s="9">
        <f>IF($A839=VLOOKUP(YEAR($A839),'Festive dates'!$A$2:$J$5,4,FALSE),1,0)</f>
        <v>0</v>
      </c>
      <c r="V839" s="9">
        <f>IF(AND($A839&gt;=VLOOKUP(YEAR($A839),'Festive dates'!$A$2:$J$5,9,FALSE),$A839&lt;=VLOOKUP(YEAR($A839),'Festive dates'!$A$2:$J$5,10,FALSE)),1,0)</f>
        <v>0</v>
      </c>
      <c r="W839" s="9">
        <f>IF($A839=VLOOKUP(YEAR($A839),'Festive dates'!$A$2:$J$5,7,FALSE),1,0)</f>
        <v>0</v>
      </c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>
      <c r="A840" s="8">
        <v>45855</v>
      </c>
      <c r="B840" s="9">
        <v>0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f>MAX(-20,MIN(10,$A840-VLOOKUP(YEAR($A840),'Festive dates'!$A$2:$J$5,8,FALSE)))</f>
        <v>-20</v>
      </c>
      <c r="R840" s="9">
        <f>IF(AND($A840&gt;VLOOKUP(YEAR($A840),'Festive dates'!$A$2:$J$5,2,FALSE),$A840&lt;VLOOKUP(YEAR($A840),'Festive dates'!$A$2:$J$5,3,FALSE)),1,0)</f>
        <v>0</v>
      </c>
      <c r="S840" s="9">
        <f>IF($A840=VLOOKUP(YEAR($A840),'Festive dates'!$A$2:$J$5,2,FALSE),1,0)</f>
        <v>0</v>
      </c>
      <c r="T840" s="9">
        <f>IF($A840=VLOOKUP(YEAR($A840),'Festive dates'!$A$2:$J$5,3,FALSE),1,0)</f>
        <v>0</v>
      </c>
      <c r="U840" s="9">
        <f>IF($A840=VLOOKUP(YEAR($A840),'Festive dates'!$A$2:$J$5,4,FALSE),1,0)</f>
        <v>0</v>
      </c>
      <c r="V840" s="9">
        <f>IF(AND($A840&gt;=VLOOKUP(YEAR($A840),'Festive dates'!$A$2:$J$5,9,FALSE),$A840&lt;=VLOOKUP(YEAR($A840),'Festive dates'!$A$2:$J$5,10,FALSE)),1,0)</f>
        <v>0</v>
      </c>
      <c r="W840" s="9">
        <f>IF($A840=VLOOKUP(YEAR($A840),'Festive dates'!$A$2:$J$5,7,FALSE),1,0)</f>
        <v>0</v>
      </c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>
      <c r="A841" s="8">
        <v>45856</v>
      </c>
      <c r="B841" s="9">
        <v>0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f>MAX(-20,MIN(10,$A841-VLOOKUP(YEAR($A841),'Festive dates'!$A$2:$J$5,8,FALSE)))</f>
        <v>-20</v>
      </c>
      <c r="R841" s="9">
        <f>IF(AND($A841&gt;VLOOKUP(YEAR($A841),'Festive dates'!$A$2:$J$5,2,FALSE),$A841&lt;VLOOKUP(YEAR($A841),'Festive dates'!$A$2:$J$5,3,FALSE)),1,0)</f>
        <v>0</v>
      </c>
      <c r="S841" s="9">
        <f>IF($A841=VLOOKUP(YEAR($A841),'Festive dates'!$A$2:$J$5,2,FALSE),1,0)</f>
        <v>0</v>
      </c>
      <c r="T841" s="9">
        <f>IF($A841=VLOOKUP(YEAR($A841),'Festive dates'!$A$2:$J$5,3,FALSE),1,0)</f>
        <v>0</v>
      </c>
      <c r="U841" s="9">
        <f>IF($A841=VLOOKUP(YEAR($A841),'Festive dates'!$A$2:$J$5,4,FALSE),1,0)</f>
        <v>0</v>
      </c>
      <c r="V841" s="9">
        <f>IF(AND($A841&gt;=VLOOKUP(YEAR($A841),'Festive dates'!$A$2:$J$5,9,FALSE),$A841&lt;=VLOOKUP(YEAR($A841),'Festive dates'!$A$2:$J$5,10,FALSE)),1,0)</f>
        <v>0</v>
      </c>
      <c r="W841" s="9">
        <f>IF($A841=VLOOKUP(YEAR($A841),'Festive dates'!$A$2:$J$5,7,FALSE),1,0)</f>
        <v>0</v>
      </c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>
      <c r="A842" s="8">
        <v>45857</v>
      </c>
      <c r="B842" s="9">
        <v>0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f>MAX(-20,MIN(10,$A842-VLOOKUP(YEAR($A842),'Festive dates'!$A$2:$J$5,8,FALSE)))</f>
        <v>-20</v>
      </c>
      <c r="R842" s="9">
        <f>IF(AND($A842&gt;VLOOKUP(YEAR($A842),'Festive dates'!$A$2:$J$5,2,FALSE),$A842&lt;VLOOKUP(YEAR($A842),'Festive dates'!$A$2:$J$5,3,FALSE)),1,0)</f>
        <v>0</v>
      </c>
      <c r="S842" s="9">
        <f>IF($A842=VLOOKUP(YEAR($A842),'Festive dates'!$A$2:$J$5,2,FALSE),1,0)</f>
        <v>0</v>
      </c>
      <c r="T842" s="9">
        <f>IF($A842=VLOOKUP(YEAR($A842),'Festive dates'!$A$2:$J$5,3,FALSE),1,0)</f>
        <v>0</v>
      </c>
      <c r="U842" s="9">
        <f>IF($A842=VLOOKUP(YEAR($A842),'Festive dates'!$A$2:$J$5,4,FALSE),1,0)</f>
        <v>0</v>
      </c>
      <c r="V842" s="9">
        <f>IF(AND($A842&gt;=VLOOKUP(YEAR($A842),'Festive dates'!$A$2:$J$5,9,FALSE),$A842&lt;=VLOOKUP(YEAR($A842),'Festive dates'!$A$2:$J$5,10,FALSE)),1,0)</f>
        <v>0</v>
      </c>
      <c r="W842" s="9">
        <f>IF($A842=VLOOKUP(YEAR($A842),'Festive dates'!$A$2:$J$5,7,FALSE),1,0)</f>
        <v>0</v>
      </c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>
      <c r="A843" s="8">
        <v>45858</v>
      </c>
      <c r="B843" s="9">
        <v>0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f>MAX(-20,MIN(10,$A843-VLOOKUP(YEAR($A843),'Festive dates'!$A$2:$J$5,8,FALSE)))</f>
        <v>-20</v>
      </c>
      <c r="R843" s="9">
        <f>IF(AND($A843&gt;VLOOKUP(YEAR($A843),'Festive dates'!$A$2:$J$5,2,FALSE),$A843&lt;VLOOKUP(YEAR($A843),'Festive dates'!$A$2:$J$5,3,FALSE)),1,0)</f>
        <v>0</v>
      </c>
      <c r="S843" s="9">
        <f>IF($A843=VLOOKUP(YEAR($A843),'Festive dates'!$A$2:$J$5,2,FALSE),1,0)</f>
        <v>0</v>
      </c>
      <c r="T843" s="9">
        <f>IF($A843=VLOOKUP(YEAR($A843),'Festive dates'!$A$2:$J$5,3,FALSE),1,0)</f>
        <v>0</v>
      </c>
      <c r="U843" s="9">
        <f>IF($A843=VLOOKUP(YEAR($A843),'Festive dates'!$A$2:$J$5,4,FALSE),1,0)</f>
        <v>0</v>
      </c>
      <c r="V843" s="9">
        <f>IF(AND($A843&gt;=VLOOKUP(YEAR($A843),'Festive dates'!$A$2:$J$5,9,FALSE),$A843&lt;=VLOOKUP(YEAR($A843),'Festive dates'!$A$2:$J$5,10,FALSE)),1,0)</f>
        <v>0</v>
      </c>
      <c r="W843" s="9">
        <f>IF($A843=VLOOKUP(YEAR($A843),'Festive dates'!$A$2:$J$5,7,FALSE),1,0)</f>
        <v>0</v>
      </c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>
      <c r="A844" s="8">
        <v>45859</v>
      </c>
      <c r="B844" s="9">
        <v>0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f>MAX(-20,MIN(10,$A844-VLOOKUP(YEAR($A844),'Festive dates'!$A$2:$J$5,8,FALSE)))</f>
        <v>-20</v>
      </c>
      <c r="R844" s="9">
        <f>IF(AND($A844&gt;VLOOKUP(YEAR($A844),'Festive dates'!$A$2:$J$5,2,FALSE),$A844&lt;VLOOKUP(YEAR($A844),'Festive dates'!$A$2:$J$5,3,FALSE)),1,0)</f>
        <v>0</v>
      </c>
      <c r="S844" s="9">
        <f>IF($A844=VLOOKUP(YEAR($A844),'Festive dates'!$A$2:$J$5,2,FALSE),1,0)</f>
        <v>0</v>
      </c>
      <c r="T844" s="9">
        <f>IF($A844=VLOOKUP(YEAR($A844),'Festive dates'!$A$2:$J$5,3,FALSE),1,0)</f>
        <v>0</v>
      </c>
      <c r="U844" s="9">
        <f>IF($A844=VLOOKUP(YEAR($A844),'Festive dates'!$A$2:$J$5,4,FALSE),1,0)</f>
        <v>0</v>
      </c>
      <c r="V844" s="9">
        <f>IF(AND($A844&gt;=VLOOKUP(YEAR($A844),'Festive dates'!$A$2:$J$5,9,FALSE),$A844&lt;=VLOOKUP(YEAR($A844),'Festive dates'!$A$2:$J$5,10,FALSE)),1,0)</f>
        <v>0</v>
      </c>
      <c r="W844" s="9">
        <f>IF($A844=VLOOKUP(YEAR($A844),'Festive dates'!$A$2:$J$5,7,FALSE),1,0)</f>
        <v>0</v>
      </c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>
      <c r="A845" s="8">
        <v>45860</v>
      </c>
      <c r="B845" s="9">
        <v>0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f>MAX(-20,MIN(10,$A845-VLOOKUP(YEAR($A845),'Festive dates'!$A$2:$J$5,8,FALSE)))</f>
        <v>-20</v>
      </c>
      <c r="R845" s="9">
        <f>IF(AND($A845&gt;VLOOKUP(YEAR($A845),'Festive dates'!$A$2:$J$5,2,FALSE),$A845&lt;VLOOKUP(YEAR($A845),'Festive dates'!$A$2:$J$5,3,FALSE)),1,0)</f>
        <v>0</v>
      </c>
      <c r="S845" s="9">
        <f>IF($A845=VLOOKUP(YEAR($A845),'Festive dates'!$A$2:$J$5,2,FALSE),1,0)</f>
        <v>0</v>
      </c>
      <c r="T845" s="9">
        <f>IF($A845=VLOOKUP(YEAR($A845),'Festive dates'!$A$2:$J$5,3,FALSE),1,0)</f>
        <v>0</v>
      </c>
      <c r="U845" s="9">
        <f>IF($A845=VLOOKUP(YEAR($A845),'Festive dates'!$A$2:$J$5,4,FALSE),1,0)</f>
        <v>0</v>
      </c>
      <c r="V845" s="9">
        <f>IF(AND($A845&gt;=VLOOKUP(YEAR($A845),'Festive dates'!$A$2:$J$5,9,FALSE),$A845&lt;=VLOOKUP(YEAR($A845),'Festive dates'!$A$2:$J$5,10,FALSE)),1,0)</f>
        <v>0</v>
      </c>
      <c r="W845" s="9">
        <f>IF($A845=VLOOKUP(YEAR($A845),'Festive dates'!$A$2:$J$5,7,FALSE),1,0)</f>
        <v>0</v>
      </c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>
      <c r="A846" s="8">
        <v>45861</v>
      </c>
      <c r="B846" s="9">
        <v>0</v>
      </c>
      <c r="C846" s="9">
        <v>0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f>MAX(-20,MIN(10,$A846-VLOOKUP(YEAR($A846),'Festive dates'!$A$2:$J$5,8,FALSE)))</f>
        <v>-20</v>
      </c>
      <c r="R846" s="9">
        <f>IF(AND($A846&gt;VLOOKUP(YEAR($A846),'Festive dates'!$A$2:$J$5,2,FALSE),$A846&lt;VLOOKUP(YEAR($A846),'Festive dates'!$A$2:$J$5,3,FALSE)),1,0)</f>
        <v>0</v>
      </c>
      <c r="S846" s="9">
        <f>IF($A846=VLOOKUP(YEAR($A846),'Festive dates'!$A$2:$J$5,2,FALSE),1,0)</f>
        <v>0</v>
      </c>
      <c r="T846" s="9">
        <f>IF($A846=VLOOKUP(YEAR($A846),'Festive dates'!$A$2:$J$5,3,FALSE),1,0)</f>
        <v>0</v>
      </c>
      <c r="U846" s="9">
        <f>IF($A846=VLOOKUP(YEAR($A846),'Festive dates'!$A$2:$J$5,4,FALSE),1,0)</f>
        <v>0</v>
      </c>
      <c r="V846" s="9">
        <f>IF(AND($A846&gt;=VLOOKUP(YEAR($A846),'Festive dates'!$A$2:$J$5,9,FALSE),$A846&lt;=VLOOKUP(YEAR($A846),'Festive dates'!$A$2:$J$5,10,FALSE)),1,0)</f>
        <v>0</v>
      </c>
      <c r="W846" s="9">
        <f>IF($A846=VLOOKUP(YEAR($A846),'Festive dates'!$A$2:$J$5,7,FALSE),1,0)</f>
        <v>0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>
      <c r="A847" s="8">
        <v>45862</v>
      </c>
      <c r="B847" s="9">
        <v>0</v>
      </c>
      <c r="C847" s="9">
        <v>0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f>MAX(-20,MIN(10,$A847-VLOOKUP(YEAR($A847),'Festive dates'!$A$2:$J$5,8,FALSE)))</f>
        <v>-20</v>
      </c>
      <c r="R847" s="9">
        <f>IF(AND($A847&gt;VLOOKUP(YEAR($A847),'Festive dates'!$A$2:$J$5,2,FALSE),$A847&lt;VLOOKUP(YEAR($A847),'Festive dates'!$A$2:$J$5,3,FALSE)),1,0)</f>
        <v>0</v>
      </c>
      <c r="S847" s="9">
        <f>IF($A847=VLOOKUP(YEAR($A847),'Festive dates'!$A$2:$J$5,2,FALSE),1,0)</f>
        <v>0</v>
      </c>
      <c r="T847" s="9">
        <f>IF($A847=VLOOKUP(YEAR($A847),'Festive dates'!$A$2:$J$5,3,FALSE),1,0)</f>
        <v>0</v>
      </c>
      <c r="U847" s="9">
        <f>IF($A847=VLOOKUP(YEAR($A847),'Festive dates'!$A$2:$J$5,4,FALSE),1,0)</f>
        <v>0</v>
      </c>
      <c r="V847" s="9">
        <f>IF(AND($A847&gt;=VLOOKUP(YEAR($A847),'Festive dates'!$A$2:$J$5,9,FALSE),$A847&lt;=VLOOKUP(YEAR($A847),'Festive dates'!$A$2:$J$5,10,FALSE)),1,0)</f>
        <v>0</v>
      </c>
      <c r="W847" s="9">
        <f>IF($A847=VLOOKUP(YEAR($A847),'Festive dates'!$A$2:$J$5,7,FALSE),1,0)</f>
        <v>0</v>
      </c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>
      <c r="A848" s="8">
        <v>45863</v>
      </c>
      <c r="B848" s="9">
        <v>0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f>MAX(-20,MIN(10,$A848-VLOOKUP(YEAR($A848),'Festive dates'!$A$2:$J$5,8,FALSE)))</f>
        <v>-20</v>
      </c>
      <c r="R848" s="9">
        <f>IF(AND($A848&gt;VLOOKUP(YEAR($A848),'Festive dates'!$A$2:$J$5,2,FALSE),$A848&lt;VLOOKUP(YEAR($A848),'Festive dates'!$A$2:$J$5,3,FALSE)),1,0)</f>
        <v>0</v>
      </c>
      <c r="S848" s="9">
        <f>IF($A848=VLOOKUP(YEAR($A848),'Festive dates'!$A$2:$J$5,2,FALSE),1,0)</f>
        <v>0</v>
      </c>
      <c r="T848" s="9">
        <f>IF($A848=VLOOKUP(YEAR($A848),'Festive dates'!$A$2:$J$5,3,FALSE),1,0)</f>
        <v>0</v>
      </c>
      <c r="U848" s="9">
        <f>IF($A848=VLOOKUP(YEAR($A848),'Festive dates'!$A$2:$J$5,4,FALSE),1,0)</f>
        <v>0</v>
      </c>
      <c r="V848" s="9">
        <f>IF(AND($A848&gt;=VLOOKUP(YEAR($A848),'Festive dates'!$A$2:$J$5,9,FALSE),$A848&lt;=VLOOKUP(YEAR($A848),'Festive dates'!$A$2:$J$5,10,FALSE)),1,0)</f>
        <v>0</v>
      </c>
      <c r="W848" s="9">
        <f>IF($A848=VLOOKUP(YEAR($A848),'Festive dates'!$A$2:$J$5,7,FALSE),1,0)</f>
        <v>0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>
      <c r="A849" s="8">
        <v>45864</v>
      </c>
      <c r="B849" s="9">
        <v>0</v>
      </c>
      <c r="C849" s="9">
        <v>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f>MAX(-20,MIN(10,$A849-VLOOKUP(YEAR($A849),'Festive dates'!$A$2:$J$5,8,FALSE)))</f>
        <v>-20</v>
      </c>
      <c r="R849" s="9">
        <f>IF(AND($A849&gt;VLOOKUP(YEAR($A849),'Festive dates'!$A$2:$J$5,2,FALSE),$A849&lt;VLOOKUP(YEAR($A849),'Festive dates'!$A$2:$J$5,3,FALSE)),1,0)</f>
        <v>0</v>
      </c>
      <c r="S849" s="9">
        <f>IF($A849=VLOOKUP(YEAR($A849),'Festive dates'!$A$2:$J$5,2,FALSE),1,0)</f>
        <v>0</v>
      </c>
      <c r="T849" s="9">
        <f>IF($A849=VLOOKUP(YEAR($A849),'Festive dates'!$A$2:$J$5,3,FALSE),1,0)</f>
        <v>0</v>
      </c>
      <c r="U849" s="9">
        <f>IF($A849=VLOOKUP(YEAR($A849),'Festive dates'!$A$2:$J$5,4,FALSE),1,0)</f>
        <v>0</v>
      </c>
      <c r="V849" s="9">
        <f>IF(AND($A849&gt;=VLOOKUP(YEAR($A849),'Festive dates'!$A$2:$J$5,9,FALSE),$A849&lt;=VLOOKUP(YEAR($A849),'Festive dates'!$A$2:$J$5,10,FALSE)),1,0)</f>
        <v>0</v>
      </c>
      <c r="W849" s="9">
        <f>IF($A849=VLOOKUP(YEAR($A849),'Festive dates'!$A$2:$J$5,7,FALSE),1,0)</f>
        <v>0</v>
      </c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>
      <c r="A850" s="8">
        <v>45865</v>
      </c>
      <c r="B850" s="9">
        <v>1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f>MAX(-20,MIN(10,$A850-VLOOKUP(YEAR($A850),'Festive dates'!$A$2:$J$5,8,FALSE)))</f>
        <v>-20</v>
      </c>
      <c r="R850" s="9">
        <f>IF(AND($A850&gt;VLOOKUP(YEAR($A850),'Festive dates'!$A$2:$J$5,2,FALSE),$A850&lt;VLOOKUP(YEAR($A850),'Festive dates'!$A$2:$J$5,3,FALSE)),1,0)</f>
        <v>0</v>
      </c>
      <c r="S850" s="9">
        <f>IF($A850=VLOOKUP(YEAR($A850),'Festive dates'!$A$2:$J$5,2,FALSE),1,0)</f>
        <v>0</v>
      </c>
      <c r="T850" s="9">
        <f>IF($A850=VLOOKUP(YEAR($A850),'Festive dates'!$A$2:$J$5,3,FALSE),1,0)</f>
        <v>0</v>
      </c>
      <c r="U850" s="9">
        <f>IF($A850=VLOOKUP(YEAR($A850),'Festive dates'!$A$2:$J$5,4,FALSE),1,0)</f>
        <v>0</v>
      </c>
      <c r="V850" s="9">
        <f>IF(AND($A850&gt;=VLOOKUP(YEAR($A850),'Festive dates'!$A$2:$J$5,9,FALSE),$A850&lt;=VLOOKUP(YEAR($A850),'Festive dates'!$A$2:$J$5,10,FALSE)),1,0)</f>
        <v>0</v>
      </c>
      <c r="W850" s="9">
        <f>IF($A850=VLOOKUP(YEAR($A850),'Festive dates'!$A$2:$J$5,7,FALSE),1,0)</f>
        <v>0</v>
      </c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>
      <c r="A851" s="8">
        <v>45866</v>
      </c>
      <c r="B851" s="9">
        <v>0</v>
      </c>
      <c r="C851" s="9">
        <v>0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f>MAX(-20,MIN(10,$A851-VLOOKUP(YEAR($A851),'Festive dates'!$A$2:$J$5,8,FALSE)))</f>
        <v>-20</v>
      </c>
      <c r="R851" s="9">
        <f>IF(AND($A851&gt;VLOOKUP(YEAR($A851),'Festive dates'!$A$2:$J$5,2,FALSE),$A851&lt;VLOOKUP(YEAR($A851),'Festive dates'!$A$2:$J$5,3,FALSE)),1,0)</f>
        <v>0</v>
      </c>
      <c r="S851" s="9">
        <f>IF($A851=VLOOKUP(YEAR($A851),'Festive dates'!$A$2:$J$5,2,FALSE),1,0)</f>
        <v>0</v>
      </c>
      <c r="T851" s="9">
        <f>IF($A851=VLOOKUP(YEAR($A851),'Festive dates'!$A$2:$J$5,3,FALSE),1,0)</f>
        <v>0</v>
      </c>
      <c r="U851" s="9">
        <f>IF($A851=VLOOKUP(YEAR($A851),'Festive dates'!$A$2:$J$5,4,FALSE),1,0)</f>
        <v>0</v>
      </c>
      <c r="V851" s="9">
        <f>IF(AND($A851&gt;=VLOOKUP(YEAR($A851),'Festive dates'!$A$2:$J$5,9,FALSE),$A851&lt;=VLOOKUP(YEAR($A851),'Festive dates'!$A$2:$J$5,10,FALSE)),1,0)</f>
        <v>0</v>
      </c>
      <c r="W851" s="9">
        <f>IF($A851=VLOOKUP(YEAR($A851),'Festive dates'!$A$2:$J$5,7,FALSE),1,0)</f>
        <v>0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>
      <c r="A852" s="8">
        <v>45867</v>
      </c>
      <c r="B852" s="9">
        <v>0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1</v>
      </c>
      <c r="O852" s="9">
        <v>0</v>
      </c>
      <c r="P852" s="9">
        <v>0</v>
      </c>
      <c r="Q852" s="9">
        <f>MAX(-20,MIN(10,$A852-VLOOKUP(YEAR($A852),'Festive dates'!$A$2:$J$5,8,FALSE)))</f>
        <v>-20</v>
      </c>
      <c r="R852" s="9">
        <f>IF(AND($A852&gt;VLOOKUP(YEAR($A852),'Festive dates'!$A$2:$J$5,2,FALSE),$A852&lt;VLOOKUP(YEAR($A852),'Festive dates'!$A$2:$J$5,3,FALSE)),1,0)</f>
        <v>0</v>
      </c>
      <c r="S852" s="9">
        <f>IF($A852=VLOOKUP(YEAR($A852),'Festive dates'!$A$2:$J$5,2,FALSE),1,0)</f>
        <v>0</v>
      </c>
      <c r="T852" s="9">
        <f>IF($A852=VLOOKUP(YEAR($A852),'Festive dates'!$A$2:$J$5,3,FALSE),1,0)</f>
        <v>0</v>
      </c>
      <c r="U852" s="9">
        <f>IF($A852=VLOOKUP(YEAR($A852),'Festive dates'!$A$2:$J$5,4,FALSE),1,0)</f>
        <v>0</v>
      </c>
      <c r="V852" s="9">
        <f>IF(AND($A852&gt;=VLOOKUP(YEAR($A852),'Festive dates'!$A$2:$J$5,9,FALSE),$A852&lt;=VLOOKUP(YEAR($A852),'Festive dates'!$A$2:$J$5,10,FALSE)),1,0)</f>
        <v>0</v>
      </c>
      <c r="W852" s="9">
        <f>IF($A852=VLOOKUP(YEAR($A852),'Festive dates'!$A$2:$J$5,7,FALSE),1,0)</f>
        <v>0</v>
      </c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>
      <c r="A853" s="8">
        <v>45868</v>
      </c>
      <c r="B853" s="9">
        <v>0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f>MAX(-20,MIN(10,$A853-VLOOKUP(YEAR($A853),'Festive dates'!$A$2:$J$5,8,FALSE)))</f>
        <v>-20</v>
      </c>
      <c r="R853" s="9">
        <f>IF(AND($A853&gt;VLOOKUP(YEAR($A853),'Festive dates'!$A$2:$J$5,2,FALSE),$A853&lt;VLOOKUP(YEAR($A853),'Festive dates'!$A$2:$J$5,3,FALSE)),1,0)</f>
        <v>0</v>
      </c>
      <c r="S853" s="9">
        <f>IF($A853=VLOOKUP(YEAR($A853),'Festive dates'!$A$2:$J$5,2,FALSE),1,0)</f>
        <v>0</v>
      </c>
      <c r="T853" s="9">
        <f>IF($A853=VLOOKUP(YEAR($A853),'Festive dates'!$A$2:$J$5,3,FALSE),1,0)</f>
        <v>0</v>
      </c>
      <c r="U853" s="9">
        <f>IF($A853=VLOOKUP(YEAR($A853),'Festive dates'!$A$2:$J$5,4,FALSE),1,0)</f>
        <v>0</v>
      </c>
      <c r="V853" s="9">
        <f>IF(AND($A853&gt;=VLOOKUP(YEAR($A853),'Festive dates'!$A$2:$J$5,9,FALSE),$A853&lt;=VLOOKUP(YEAR($A853),'Festive dates'!$A$2:$J$5,10,FALSE)),1,0)</f>
        <v>0</v>
      </c>
      <c r="W853" s="9">
        <f>IF($A853=VLOOKUP(YEAR($A853),'Festive dates'!$A$2:$J$5,7,FALSE),1,0)</f>
        <v>0</v>
      </c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>
      <c r="A854" s="8">
        <v>45869</v>
      </c>
      <c r="B854" s="9">
        <v>0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f>MAX(-20,MIN(10,$A854-VLOOKUP(YEAR($A854),'Festive dates'!$A$2:$J$5,8,FALSE)))</f>
        <v>-20</v>
      </c>
      <c r="R854" s="9">
        <f>IF(AND($A854&gt;VLOOKUP(YEAR($A854),'Festive dates'!$A$2:$J$5,2,FALSE),$A854&lt;VLOOKUP(YEAR($A854),'Festive dates'!$A$2:$J$5,3,FALSE)),1,0)</f>
        <v>0</v>
      </c>
      <c r="S854" s="9">
        <f>IF($A854=VLOOKUP(YEAR($A854),'Festive dates'!$A$2:$J$5,2,FALSE),1,0)</f>
        <v>0</v>
      </c>
      <c r="T854" s="9">
        <f>IF($A854=VLOOKUP(YEAR($A854),'Festive dates'!$A$2:$J$5,3,FALSE),1,0)</f>
        <v>0</v>
      </c>
      <c r="U854" s="9">
        <f>IF($A854=VLOOKUP(YEAR($A854),'Festive dates'!$A$2:$J$5,4,FALSE),1,0)</f>
        <v>0</v>
      </c>
      <c r="V854" s="9">
        <f>IF(AND($A854&gt;=VLOOKUP(YEAR($A854),'Festive dates'!$A$2:$J$5,9,FALSE),$A854&lt;=VLOOKUP(YEAR($A854),'Festive dates'!$A$2:$J$5,10,FALSE)),1,0)</f>
        <v>0</v>
      </c>
      <c r="W854" s="9">
        <f>IF($A854=VLOOKUP(YEAR($A854),'Festive dates'!$A$2:$J$5,7,FALSE),1,0)</f>
        <v>0</v>
      </c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>
      <c r="A855" s="8">
        <v>45870</v>
      </c>
      <c r="B855" s="9">
        <v>0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f>MAX(-20,MIN(10,$A855-VLOOKUP(YEAR($A855),'Festive dates'!$A$2:$J$5,8,FALSE)))</f>
        <v>-20</v>
      </c>
      <c r="R855" s="9">
        <f>IF(AND($A855&gt;VLOOKUP(YEAR($A855),'Festive dates'!$A$2:$J$5,2,FALSE),$A855&lt;VLOOKUP(YEAR($A855),'Festive dates'!$A$2:$J$5,3,FALSE)),1,0)</f>
        <v>0</v>
      </c>
      <c r="S855" s="9">
        <f>IF($A855=VLOOKUP(YEAR($A855),'Festive dates'!$A$2:$J$5,2,FALSE),1,0)</f>
        <v>0</v>
      </c>
      <c r="T855" s="9">
        <f>IF($A855=VLOOKUP(YEAR($A855),'Festive dates'!$A$2:$J$5,3,FALSE),1,0)</f>
        <v>0</v>
      </c>
      <c r="U855" s="9">
        <f>IF($A855=VLOOKUP(YEAR($A855),'Festive dates'!$A$2:$J$5,4,FALSE),1,0)</f>
        <v>0</v>
      </c>
      <c r="V855" s="9">
        <f>IF(AND($A855&gt;=VLOOKUP(YEAR($A855),'Festive dates'!$A$2:$J$5,9,FALSE),$A855&lt;=VLOOKUP(YEAR($A855),'Festive dates'!$A$2:$J$5,10,FALSE)),1,0)</f>
        <v>0</v>
      </c>
      <c r="W855" s="9">
        <f>IF($A855=VLOOKUP(YEAR($A855),'Festive dates'!$A$2:$J$5,7,FALSE),1,0)</f>
        <v>0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>
      <c r="A856" s="8">
        <v>45871</v>
      </c>
      <c r="B856" s="9">
        <v>0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f>MAX(-20,MIN(10,$A856-VLOOKUP(YEAR($A856),'Festive dates'!$A$2:$J$5,8,FALSE)))</f>
        <v>-20</v>
      </c>
      <c r="R856" s="9">
        <f>IF(AND($A856&gt;VLOOKUP(YEAR($A856),'Festive dates'!$A$2:$J$5,2,FALSE),$A856&lt;VLOOKUP(YEAR($A856),'Festive dates'!$A$2:$J$5,3,FALSE)),1,0)</f>
        <v>0</v>
      </c>
      <c r="S856" s="9">
        <f>IF($A856=VLOOKUP(YEAR($A856),'Festive dates'!$A$2:$J$5,2,FALSE),1,0)</f>
        <v>0</v>
      </c>
      <c r="T856" s="9">
        <f>IF($A856=VLOOKUP(YEAR($A856),'Festive dates'!$A$2:$J$5,3,FALSE),1,0)</f>
        <v>0</v>
      </c>
      <c r="U856" s="9">
        <f>IF($A856=VLOOKUP(YEAR($A856),'Festive dates'!$A$2:$J$5,4,FALSE),1,0)</f>
        <v>0</v>
      </c>
      <c r="V856" s="9">
        <f>IF(AND($A856&gt;=VLOOKUP(YEAR($A856),'Festive dates'!$A$2:$J$5,9,FALSE),$A856&lt;=VLOOKUP(YEAR($A856),'Festive dates'!$A$2:$J$5,10,FALSE)),1,0)</f>
        <v>0</v>
      </c>
      <c r="W856" s="9">
        <f>IF($A856=VLOOKUP(YEAR($A856),'Festive dates'!$A$2:$J$5,7,FALSE),1,0)</f>
        <v>0</v>
      </c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>
      <c r="A857" s="8">
        <v>45872</v>
      </c>
      <c r="B857" s="9">
        <v>0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f>MAX(-20,MIN(10,$A857-VLOOKUP(YEAR($A857),'Festive dates'!$A$2:$J$5,8,FALSE)))</f>
        <v>-20</v>
      </c>
      <c r="R857" s="9">
        <f>IF(AND($A857&gt;VLOOKUP(YEAR($A857),'Festive dates'!$A$2:$J$5,2,FALSE),$A857&lt;VLOOKUP(YEAR($A857),'Festive dates'!$A$2:$J$5,3,FALSE)),1,0)</f>
        <v>0</v>
      </c>
      <c r="S857" s="9">
        <f>IF($A857=VLOOKUP(YEAR($A857),'Festive dates'!$A$2:$J$5,2,FALSE),1,0)</f>
        <v>0</v>
      </c>
      <c r="T857" s="9">
        <f>IF($A857=VLOOKUP(YEAR($A857),'Festive dates'!$A$2:$J$5,3,FALSE),1,0)</f>
        <v>0</v>
      </c>
      <c r="U857" s="9">
        <f>IF($A857=VLOOKUP(YEAR($A857),'Festive dates'!$A$2:$J$5,4,FALSE),1,0)</f>
        <v>0</v>
      </c>
      <c r="V857" s="9">
        <f>IF(AND($A857&gt;=VLOOKUP(YEAR($A857),'Festive dates'!$A$2:$J$5,9,FALSE),$A857&lt;=VLOOKUP(YEAR($A857),'Festive dates'!$A$2:$J$5,10,FALSE)),1,0)</f>
        <v>0</v>
      </c>
      <c r="W857" s="9">
        <f>IF($A857=VLOOKUP(YEAR($A857),'Festive dates'!$A$2:$J$5,7,FALSE),1,0)</f>
        <v>0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>
      <c r="A858" s="8">
        <v>45873</v>
      </c>
      <c r="B858" s="9">
        <v>0</v>
      </c>
      <c r="C858" s="9">
        <v>0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f>MAX(-20,MIN(10,$A858-VLOOKUP(YEAR($A858),'Festive dates'!$A$2:$J$5,8,FALSE)))</f>
        <v>-20</v>
      </c>
      <c r="R858" s="9">
        <f>IF(AND($A858&gt;VLOOKUP(YEAR($A858),'Festive dates'!$A$2:$J$5,2,FALSE),$A858&lt;VLOOKUP(YEAR($A858),'Festive dates'!$A$2:$J$5,3,FALSE)),1,0)</f>
        <v>0</v>
      </c>
      <c r="S858" s="9">
        <f>IF($A858=VLOOKUP(YEAR($A858),'Festive dates'!$A$2:$J$5,2,FALSE),1,0)</f>
        <v>0</v>
      </c>
      <c r="T858" s="9">
        <f>IF($A858=VLOOKUP(YEAR($A858),'Festive dates'!$A$2:$J$5,3,FALSE),1,0)</f>
        <v>0</v>
      </c>
      <c r="U858" s="9">
        <f>IF($A858=VLOOKUP(YEAR($A858),'Festive dates'!$A$2:$J$5,4,FALSE),1,0)</f>
        <v>0</v>
      </c>
      <c r="V858" s="9">
        <f>IF(AND($A858&gt;=VLOOKUP(YEAR($A858),'Festive dates'!$A$2:$J$5,9,FALSE),$A858&lt;=VLOOKUP(YEAR($A858),'Festive dates'!$A$2:$J$5,10,FALSE)),1,0)</f>
        <v>0</v>
      </c>
      <c r="W858" s="9">
        <f>IF($A858=VLOOKUP(YEAR($A858),'Festive dates'!$A$2:$J$5,7,FALSE),1,0)</f>
        <v>0</v>
      </c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>
      <c r="A859" s="8">
        <v>45874</v>
      </c>
      <c r="B859" s="9">
        <v>0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f>MAX(-20,MIN(10,$A859-VLOOKUP(YEAR($A859),'Festive dates'!$A$2:$J$5,8,FALSE)))</f>
        <v>-20</v>
      </c>
      <c r="R859" s="9">
        <f>IF(AND($A859&gt;VLOOKUP(YEAR($A859),'Festive dates'!$A$2:$J$5,2,FALSE),$A859&lt;VLOOKUP(YEAR($A859),'Festive dates'!$A$2:$J$5,3,FALSE)),1,0)</f>
        <v>0</v>
      </c>
      <c r="S859" s="9">
        <f>IF($A859=VLOOKUP(YEAR($A859),'Festive dates'!$A$2:$J$5,2,FALSE),1,0)</f>
        <v>0</v>
      </c>
      <c r="T859" s="9">
        <f>IF($A859=VLOOKUP(YEAR($A859),'Festive dates'!$A$2:$J$5,3,FALSE),1,0)</f>
        <v>0</v>
      </c>
      <c r="U859" s="9">
        <f>IF($A859=VLOOKUP(YEAR($A859),'Festive dates'!$A$2:$J$5,4,FALSE),1,0)</f>
        <v>0</v>
      </c>
      <c r="V859" s="9">
        <f>IF(AND($A859&gt;=VLOOKUP(YEAR($A859),'Festive dates'!$A$2:$J$5,9,FALSE),$A859&lt;=VLOOKUP(YEAR($A859),'Festive dates'!$A$2:$J$5,10,FALSE)),1,0)</f>
        <v>0</v>
      </c>
      <c r="W859" s="9">
        <f>IF($A859=VLOOKUP(YEAR($A859),'Festive dates'!$A$2:$J$5,7,FALSE),1,0)</f>
        <v>0</v>
      </c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>
      <c r="A860" s="8">
        <v>45875</v>
      </c>
      <c r="B860" s="9">
        <v>0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f>MAX(-20,MIN(10,$A860-VLOOKUP(YEAR($A860),'Festive dates'!$A$2:$J$5,8,FALSE)))</f>
        <v>-20</v>
      </c>
      <c r="R860" s="9">
        <f>IF(AND($A860&gt;VLOOKUP(YEAR($A860),'Festive dates'!$A$2:$J$5,2,FALSE),$A860&lt;VLOOKUP(YEAR($A860),'Festive dates'!$A$2:$J$5,3,FALSE)),1,0)</f>
        <v>0</v>
      </c>
      <c r="S860" s="9">
        <f>IF($A860=VLOOKUP(YEAR($A860),'Festive dates'!$A$2:$J$5,2,FALSE),1,0)</f>
        <v>0</v>
      </c>
      <c r="T860" s="9">
        <f>IF($A860=VLOOKUP(YEAR($A860),'Festive dates'!$A$2:$J$5,3,FALSE),1,0)</f>
        <v>0</v>
      </c>
      <c r="U860" s="9">
        <f>IF($A860=VLOOKUP(YEAR($A860),'Festive dates'!$A$2:$J$5,4,FALSE),1,0)</f>
        <v>0</v>
      </c>
      <c r="V860" s="9">
        <f>IF(AND($A860&gt;=VLOOKUP(YEAR($A860),'Festive dates'!$A$2:$J$5,9,FALSE),$A860&lt;=VLOOKUP(YEAR($A860),'Festive dates'!$A$2:$J$5,10,FALSE)),1,0)</f>
        <v>0</v>
      </c>
      <c r="W860" s="9">
        <f>IF($A860=VLOOKUP(YEAR($A860),'Festive dates'!$A$2:$J$5,7,FALSE),1,0)</f>
        <v>0</v>
      </c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>
      <c r="A861" s="8">
        <v>45876</v>
      </c>
      <c r="B861" s="9">
        <v>0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f>MAX(-20,MIN(10,$A861-VLOOKUP(YEAR($A861),'Festive dates'!$A$2:$J$5,8,FALSE)))</f>
        <v>-20</v>
      </c>
      <c r="R861" s="9">
        <f>IF(AND($A861&gt;VLOOKUP(YEAR($A861),'Festive dates'!$A$2:$J$5,2,FALSE),$A861&lt;VLOOKUP(YEAR($A861),'Festive dates'!$A$2:$J$5,3,FALSE)),1,0)</f>
        <v>0</v>
      </c>
      <c r="S861" s="9">
        <f>IF($A861=VLOOKUP(YEAR($A861),'Festive dates'!$A$2:$J$5,2,FALSE),1,0)</f>
        <v>0</v>
      </c>
      <c r="T861" s="9">
        <f>IF($A861=VLOOKUP(YEAR($A861),'Festive dates'!$A$2:$J$5,3,FALSE),1,0)</f>
        <v>0</v>
      </c>
      <c r="U861" s="9">
        <f>IF($A861=VLOOKUP(YEAR($A861),'Festive dates'!$A$2:$J$5,4,FALSE),1,0)</f>
        <v>0</v>
      </c>
      <c r="V861" s="9">
        <f>IF(AND($A861&gt;=VLOOKUP(YEAR($A861),'Festive dates'!$A$2:$J$5,9,FALSE),$A861&lt;=VLOOKUP(YEAR($A861),'Festive dates'!$A$2:$J$5,10,FALSE)),1,0)</f>
        <v>0</v>
      </c>
      <c r="W861" s="9">
        <f>IF($A861=VLOOKUP(YEAR($A861),'Festive dates'!$A$2:$J$5,7,FALSE),1,0)</f>
        <v>0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>
      <c r="A862" s="8">
        <v>45877</v>
      </c>
      <c r="B862" s="9">
        <v>0</v>
      </c>
      <c r="C862" s="9">
        <v>0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f>MAX(-20,MIN(10,$A862-VLOOKUP(YEAR($A862),'Festive dates'!$A$2:$J$5,8,FALSE)))</f>
        <v>-20</v>
      </c>
      <c r="R862" s="9">
        <f>IF(AND($A862&gt;VLOOKUP(YEAR($A862),'Festive dates'!$A$2:$J$5,2,FALSE),$A862&lt;VLOOKUP(YEAR($A862),'Festive dates'!$A$2:$J$5,3,FALSE)),1,0)</f>
        <v>0</v>
      </c>
      <c r="S862" s="9">
        <f>IF($A862=VLOOKUP(YEAR($A862),'Festive dates'!$A$2:$J$5,2,FALSE),1,0)</f>
        <v>0</v>
      </c>
      <c r="T862" s="9">
        <f>IF($A862=VLOOKUP(YEAR($A862),'Festive dates'!$A$2:$J$5,3,FALSE),1,0)</f>
        <v>0</v>
      </c>
      <c r="U862" s="9">
        <f>IF($A862=VLOOKUP(YEAR($A862),'Festive dates'!$A$2:$J$5,4,FALSE),1,0)</f>
        <v>0</v>
      </c>
      <c r="V862" s="9">
        <f>IF(AND($A862&gt;=VLOOKUP(YEAR($A862),'Festive dates'!$A$2:$J$5,9,FALSE),$A862&lt;=VLOOKUP(YEAR($A862),'Festive dates'!$A$2:$J$5,10,FALSE)),1,0)</f>
        <v>0</v>
      </c>
      <c r="W862" s="9">
        <f>IF($A862=VLOOKUP(YEAR($A862),'Festive dates'!$A$2:$J$5,7,FALSE),1,0)</f>
        <v>0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>
      <c r="A863" s="8">
        <v>45878</v>
      </c>
      <c r="B863" s="9">
        <v>0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1</v>
      </c>
      <c r="P863" s="9">
        <v>0</v>
      </c>
      <c r="Q863" s="9">
        <f>MAX(-20,MIN(10,$A863-VLOOKUP(YEAR($A863),'Festive dates'!$A$2:$J$5,8,FALSE)))</f>
        <v>-20</v>
      </c>
      <c r="R863" s="9">
        <f>IF(AND($A863&gt;VLOOKUP(YEAR($A863),'Festive dates'!$A$2:$J$5,2,FALSE),$A863&lt;VLOOKUP(YEAR($A863),'Festive dates'!$A$2:$J$5,3,FALSE)),1,0)</f>
        <v>0</v>
      </c>
      <c r="S863" s="9">
        <f>IF($A863=VLOOKUP(YEAR($A863),'Festive dates'!$A$2:$J$5,2,FALSE),1,0)</f>
        <v>0</v>
      </c>
      <c r="T863" s="9">
        <f>IF($A863=VLOOKUP(YEAR($A863),'Festive dates'!$A$2:$J$5,3,FALSE),1,0)</f>
        <v>0</v>
      </c>
      <c r="U863" s="9">
        <f>IF($A863=VLOOKUP(YEAR($A863),'Festive dates'!$A$2:$J$5,4,FALSE),1,0)</f>
        <v>0</v>
      </c>
      <c r="V863" s="9">
        <f>IF(AND($A863&gt;=VLOOKUP(YEAR($A863),'Festive dates'!$A$2:$J$5,9,FALSE),$A863&lt;=VLOOKUP(YEAR($A863),'Festive dates'!$A$2:$J$5,10,FALSE)),1,0)</f>
        <v>0</v>
      </c>
      <c r="W863" s="9">
        <f>IF($A863=VLOOKUP(YEAR($A863),'Festive dates'!$A$2:$J$5,7,FALSE),1,0)</f>
        <v>0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>
      <c r="A864" s="8">
        <v>45879</v>
      </c>
      <c r="B864" s="9">
        <v>0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f>MAX(-20,MIN(10,$A864-VLOOKUP(YEAR($A864),'Festive dates'!$A$2:$J$5,8,FALSE)))</f>
        <v>-20</v>
      </c>
      <c r="R864" s="9">
        <f>IF(AND($A864&gt;VLOOKUP(YEAR($A864),'Festive dates'!$A$2:$J$5,2,FALSE),$A864&lt;VLOOKUP(YEAR($A864),'Festive dates'!$A$2:$J$5,3,FALSE)),1,0)</f>
        <v>0</v>
      </c>
      <c r="S864" s="9">
        <f>IF($A864=VLOOKUP(YEAR($A864),'Festive dates'!$A$2:$J$5,2,FALSE),1,0)</f>
        <v>0</v>
      </c>
      <c r="T864" s="9">
        <f>IF($A864=VLOOKUP(YEAR($A864),'Festive dates'!$A$2:$J$5,3,FALSE),1,0)</f>
        <v>0</v>
      </c>
      <c r="U864" s="9">
        <f>IF($A864=VLOOKUP(YEAR($A864),'Festive dates'!$A$2:$J$5,4,FALSE),1,0)</f>
        <v>0</v>
      </c>
      <c r="V864" s="9">
        <f>IF(AND($A864&gt;=VLOOKUP(YEAR($A864),'Festive dates'!$A$2:$J$5,9,FALSE),$A864&lt;=VLOOKUP(YEAR($A864),'Festive dates'!$A$2:$J$5,10,FALSE)),1,0)</f>
        <v>0</v>
      </c>
      <c r="W864" s="9">
        <f>IF($A864=VLOOKUP(YEAR($A864),'Festive dates'!$A$2:$J$5,7,FALSE),1,0)</f>
        <v>0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>
      <c r="A865" s="8">
        <v>45880</v>
      </c>
      <c r="B865" s="9">
        <v>0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f>MAX(-20,MIN(10,$A865-VLOOKUP(YEAR($A865),'Festive dates'!$A$2:$J$5,8,FALSE)))</f>
        <v>-20</v>
      </c>
      <c r="R865" s="9">
        <f>IF(AND($A865&gt;VLOOKUP(YEAR($A865),'Festive dates'!$A$2:$J$5,2,FALSE),$A865&lt;VLOOKUP(YEAR($A865),'Festive dates'!$A$2:$J$5,3,FALSE)),1,0)</f>
        <v>0</v>
      </c>
      <c r="S865" s="9">
        <f>IF($A865=VLOOKUP(YEAR($A865),'Festive dates'!$A$2:$J$5,2,FALSE),1,0)</f>
        <v>0</v>
      </c>
      <c r="T865" s="9">
        <f>IF($A865=VLOOKUP(YEAR($A865),'Festive dates'!$A$2:$J$5,3,FALSE),1,0)</f>
        <v>0</v>
      </c>
      <c r="U865" s="9">
        <f>IF($A865=VLOOKUP(YEAR($A865),'Festive dates'!$A$2:$J$5,4,FALSE),1,0)</f>
        <v>0</v>
      </c>
      <c r="V865" s="9">
        <f>IF(AND($A865&gt;=VLOOKUP(YEAR($A865),'Festive dates'!$A$2:$J$5,9,FALSE),$A865&lt;=VLOOKUP(YEAR($A865),'Festive dates'!$A$2:$J$5,10,FALSE)),1,0)</f>
        <v>0</v>
      </c>
      <c r="W865" s="9">
        <f>IF($A865=VLOOKUP(YEAR($A865),'Festive dates'!$A$2:$J$5,7,FALSE),1,0)</f>
        <v>0</v>
      </c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>
      <c r="A866" s="8">
        <v>45881</v>
      </c>
      <c r="B866" s="9">
        <v>0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f>MAX(-20,MIN(10,$A866-VLOOKUP(YEAR($A866),'Festive dates'!$A$2:$J$5,8,FALSE)))</f>
        <v>-20</v>
      </c>
      <c r="R866" s="9">
        <f>IF(AND($A866&gt;VLOOKUP(YEAR($A866),'Festive dates'!$A$2:$J$5,2,FALSE),$A866&lt;VLOOKUP(YEAR($A866),'Festive dates'!$A$2:$J$5,3,FALSE)),1,0)</f>
        <v>0</v>
      </c>
      <c r="S866" s="9">
        <f>IF($A866=VLOOKUP(YEAR($A866),'Festive dates'!$A$2:$J$5,2,FALSE),1,0)</f>
        <v>0</v>
      </c>
      <c r="T866" s="9">
        <f>IF($A866=VLOOKUP(YEAR($A866),'Festive dates'!$A$2:$J$5,3,FALSE),1,0)</f>
        <v>0</v>
      </c>
      <c r="U866" s="9">
        <f>IF($A866=VLOOKUP(YEAR($A866),'Festive dates'!$A$2:$J$5,4,FALSE),1,0)</f>
        <v>0</v>
      </c>
      <c r="V866" s="9">
        <f>IF(AND($A866&gt;=VLOOKUP(YEAR($A866),'Festive dates'!$A$2:$J$5,9,FALSE),$A866&lt;=VLOOKUP(YEAR($A866),'Festive dates'!$A$2:$J$5,10,FALSE)),1,0)</f>
        <v>0</v>
      </c>
      <c r="W866" s="9">
        <f>IF($A866=VLOOKUP(YEAR($A866),'Festive dates'!$A$2:$J$5,7,FALSE),1,0)</f>
        <v>0</v>
      </c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>
      <c r="A867" s="8">
        <v>45882</v>
      </c>
      <c r="B867" s="9">
        <v>0</v>
      </c>
      <c r="C867" s="9">
        <v>0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f>MAX(-20,MIN(10,$A867-VLOOKUP(YEAR($A867),'Festive dates'!$A$2:$J$5,8,FALSE)))</f>
        <v>-20</v>
      </c>
      <c r="R867" s="9">
        <f>IF(AND($A867&gt;VLOOKUP(YEAR($A867),'Festive dates'!$A$2:$J$5,2,FALSE),$A867&lt;VLOOKUP(YEAR($A867),'Festive dates'!$A$2:$J$5,3,FALSE)),1,0)</f>
        <v>0</v>
      </c>
      <c r="S867" s="9">
        <f>IF($A867=VLOOKUP(YEAR($A867),'Festive dates'!$A$2:$J$5,2,FALSE),1,0)</f>
        <v>0</v>
      </c>
      <c r="T867" s="9">
        <f>IF($A867=VLOOKUP(YEAR($A867),'Festive dates'!$A$2:$J$5,3,FALSE),1,0)</f>
        <v>0</v>
      </c>
      <c r="U867" s="9">
        <f>IF($A867=VLOOKUP(YEAR($A867),'Festive dates'!$A$2:$J$5,4,FALSE),1,0)</f>
        <v>0</v>
      </c>
      <c r="V867" s="9">
        <f>IF(AND($A867&gt;=VLOOKUP(YEAR($A867),'Festive dates'!$A$2:$J$5,9,FALSE),$A867&lt;=VLOOKUP(YEAR($A867),'Festive dates'!$A$2:$J$5,10,FALSE)),1,0)</f>
        <v>0</v>
      </c>
      <c r="W867" s="9">
        <f>IF($A867=VLOOKUP(YEAR($A867),'Festive dates'!$A$2:$J$5,7,FALSE),1,0)</f>
        <v>0</v>
      </c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>
      <c r="A868" s="8">
        <v>45883</v>
      </c>
      <c r="B868" s="9">
        <v>0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f>MAX(-20,MIN(10,$A868-VLOOKUP(YEAR($A868),'Festive dates'!$A$2:$J$5,8,FALSE)))</f>
        <v>-20</v>
      </c>
      <c r="R868" s="9">
        <f>IF(AND($A868&gt;VLOOKUP(YEAR($A868),'Festive dates'!$A$2:$J$5,2,FALSE),$A868&lt;VLOOKUP(YEAR($A868),'Festive dates'!$A$2:$J$5,3,FALSE)),1,0)</f>
        <v>0</v>
      </c>
      <c r="S868" s="9">
        <f>IF($A868=VLOOKUP(YEAR($A868),'Festive dates'!$A$2:$J$5,2,FALSE),1,0)</f>
        <v>0</v>
      </c>
      <c r="T868" s="9">
        <f>IF($A868=VLOOKUP(YEAR($A868),'Festive dates'!$A$2:$J$5,3,FALSE),1,0)</f>
        <v>0</v>
      </c>
      <c r="U868" s="9">
        <f>IF($A868=VLOOKUP(YEAR($A868),'Festive dates'!$A$2:$J$5,4,FALSE),1,0)</f>
        <v>0</v>
      </c>
      <c r="V868" s="9">
        <f>IF(AND($A868&gt;=VLOOKUP(YEAR($A868),'Festive dates'!$A$2:$J$5,9,FALSE),$A868&lt;=VLOOKUP(YEAR($A868),'Festive dates'!$A$2:$J$5,10,FALSE)),1,0)</f>
        <v>0</v>
      </c>
      <c r="W868" s="9">
        <f>IF($A868=VLOOKUP(YEAR($A868),'Festive dates'!$A$2:$J$5,7,FALSE),1,0)</f>
        <v>0</v>
      </c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>
      <c r="A869" s="8">
        <v>45884</v>
      </c>
      <c r="B869" s="9">
        <v>0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f>MAX(-20,MIN(10,$A869-VLOOKUP(YEAR($A869),'Festive dates'!$A$2:$J$5,8,FALSE)))</f>
        <v>-20</v>
      </c>
      <c r="R869" s="9">
        <f>IF(AND($A869&gt;VLOOKUP(YEAR($A869),'Festive dates'!$A$2:$J$5,2,FALSE),$A869&lt;VLOOKUP(YEAR($A869),'Festive dates'!$A$2:$J$5,3,FALSE)),1,0)</f>
        <v>0</v>
      </c>
      <c r="S869" s="9">
        <f>IF($A869=VLOOKUP(YEAR($A869),'Festive dates'!$A$2:$J$5,2,FALSE),1,0)</f>
        <v>0</v>
      </c>
      <c r="T869" s="9">
        <f>IF($A869=VLOOKUP(YEAR($A869),'Festive dates'!$A$2:$J$5,3,FALSE),1,0)</f>
        <v>0</v>
      </c>
      <c r="U869" s="9">
        <f>IF($A869=VLOOKUP(YEAR($A869),'Festive dates'!$A$2:$J$5,4,FALSE),1,0)</f>
        <v>0</v>
      </c>
      <c r="V869" s="9">
        <f>IF(AND($A869&gt;=VLOOKUP(YEAR($A869),'Festive dates'!$A$2:$J$5,9,FALSE),$A869&lt;=VLOOKUP(YEAR($A869),'Festive dates'!$A$2:$J$5,10,FALSE)),1,0)</f>
        <v>0</v>
      </c>
      <c r="W869" s="9">
        <f>IF($A869=VLOOKUP(YEAR($A869),'Festive dates'!$A$2:$J$5,7,FALSE),1,0)</f>
        <v>0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>
      <c r="A870" s="8">
        <v>45885</v>
      </c>
      <c r="B870" s="9">
        <v>0</v>
      </c>
      <c r="C870" s="9">
        <v>0</v>
      </c>
      <c r="D870" s="9">
        <v>1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f>MAX(-20,MIN(10,$A870-VLOOKUP(YEAR($A870),'Festive dates'!$A$2:$J$5,8,FALSE)))</f>
        <v>-20</v>
      </c>
      <c r="R870" s="9">
        <f>IF(AND($A870&gt;VLOOKUP(YEAR($A870),'Festive dates'!$A$2:$J$5,2,FALSE),$A870&lt;VLOOKUP(YEAR($A870),'Festive dates'!$A$2:$J$5,3,FALSE)),1,0)</f>
        <v>0</v>
      </c>
      <c r="S870" s="9">
        <f>IF($A870=VLOOKUP(YEAR($A870),'Festive dates'!$A$2:$J$5,2,FALSE),1,0)</f>
        <v>0</v>
      </c>
      <c r="T870" s="9">
        <f>IF($A870=VLOOKUP(YEAR($A870),'Festive dates'!$A$2:$J$5,3,FALSE),1,0)</f>
        <v>0</v>
      </c>
      <c r="U870" s="9">
        <f>IF($A870=VLOOKUP(YEAR($A870),'Festive dates'!$A$2:$J$5,4,FALSE),1,0)</f>
        <v>0</v>
      </c>
      <c r="V870" s="9">
        <f>IF(AND($A870&gt;=VLOOKUP(YEAR($A870),'Festive dates'!$A$2:$J$5,9,FALSE),$A870&lt;=VLOOKUP(YEAR($A870),'Festive dates'!$A$2:$J$5,10,FALSE)),1,0)</f>
        <v>0</v>
      </c>
      <c r="W870" s="9">
        <f>IF($A870=VLOOKUP(YEAR($A870),'Festive dates'!$A$2:$J$5,7,FALSE),1,0)</f>
        <v>0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>
      <c r="A871" s="8">
        <v>45886</v>
      </c>
      <c r="B871" s="9">
        <v>0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f>MAX(-20,MIN(10,$A871-VLOOKUP(YEAR($A871),'Festive dates'!$A$2:$J$5,8,FALSE)))</f>
        <v>-20</v>
      </c>
      <c r="R871" s="9">
        <f>IF(AND($A871&gt;VLOOKUP(YEAR($A871),'Festive dates'!$A$2:$J$5,2,FALSE),$A871&lt;VLOOKUP(YEAR($A871),'Festive dates'!$A$2:$J$5,3,FALSE)),1,0)</f>
        <v>0</v>
      </c>
      <c r="S871" s="9">
        <f>IF($A871=VLOOKUP(YEAR($A871),'Festive dates'!$A$2:$J$5,2,FALSE),1,0)</f>
        <v>0</v>
      </c>
      <c r="T871" s="9">
        <f>IF($A871=VLOOKUP(YEAR($A871),'Festive dates'!$A$2:$J$5,3,FALSE),1,0)</f>
        <v>0</v>
      </c>
      <c r="U871" s="9">
        <f>IF($A871=VLOOKUP(YEAR($A871),'Festive dates'!$A$2:$J$5,4,FALSE),1,0)</f>
        <v>0</v>
      </c>
      <c r="V871" s="9">
        <f>IF(AND($A871&gt;=VLOOKUP(YEAR($A871),'Festive dates'!$A$2:$J$5,9,FALSE),$A871&lt;=VLOOKUP(YEAR($A871),'Festive dates'!$A$2:$J$5,10,FALSE)),1,0)</f>
        <v>0</v>
      </c>
      <c r="W871" s="9">
        <f>IF($A871=VLOOKUP(YEAR($A871),'Festive dates'!$A$2:$J$5,7,FALSE),1,0)</f>
        <v>0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>
      <c r="A872" s="8">
        <v>45887</v>
      </c>
      <c r="B872" s="9">
        <v>0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f>MAX(-20,MIN(10,$A872-VLOOKUP(YEAR($A872),'Festive dates'!$A$2:$J$5,8,FALSE)))</f>
        <v>-20</v>
      </c>
      <c r="R872" s="9">
        <f>IF(AND($A872&gt;VLOOKUP(YEAR($A872),'Festive dates'!$A$2:$J$5,2,FALSE),$A872&lt;VLOOKUP(YEAR($A872),'Festive dates'!$A$2:$J$5,3,FALSE)),1,0)</f>
        <v>0</v>
      </c>
      <c r="S872" s="9">
        <f>IF($A872=VLOOKUP(YEAR($A872),'Festive dates'!$A$2:$J$5,2,FALSE),1,0)</f>
        <v>0</v>
      </c>
      <c r="T872" s="9">
        <f>IF($A872=VLOOKUP(YEAR($A872),'Festive dates'!$A$2:$J$5,3,FALSE),1,0)</f>
        <v>0</v>
      </c>
      <c r="U872" s="9">
        <f>IF($A872=VLOOKUP(YEAR($A872),'Festive dates'!$A$2:$J$5,4,FALSE),1,0)</f>
        <v>0</v>
      </c>
      <c r="V872" s="9">
        <f>IF(AND($A872&gt;=VLOOKUP(YEAR($A872),'Festive dates'!$A$2:$J$5,9,FALSE),$A872&lt;=VLOOKUP(YEAR($A872),'Festive dates'!$A$2:$J$5,10,FALSE)),1,0)</f>
        <v>0</v>
      </c>
      <c r="W872" s="9">
        <f>IF($A872=VLOOKUP(YEAR($A872),'Festive dates'!$A$2:$J$5,7,FALSE),1,0)</f>
        <v>0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>
      <c r="A873" s="8">
        <v>45888</v>
      </c>
      <c r="B873" s="9">
        <v>0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f>MAX(-20,MIN(10,$A873-VLOOKUP(YEAR($A873),'Festive dates'!$A$2:$J$5,8,FALSE)))</f>
        <v>-20</v>
      </c>
      <c r="R873" s="9">
        <f>IF(AND($A873&gt;VLOOKUP(YEAR($A873),'Festive dates'!$A$2:$J$5,2,FALSE),$A873&lt;VLOOKUP(YEAR($A873),'Festive dates'!$A$2:$J$5,3,FALSE)),1,0)</f>
        <v>0</v>
      </c>
      <c r="S873" s="9">
        <f>IF($A873=VLOOKUP(YEAR($A873),'Festive dates'!$A$2:$J$5,2,FALSE),1,0)</f>
        <v>0</v>
      </c>
      <c r="T873" s="9">
        <f>IF($A873=VLOOKUP(YEAR($A873),'Festive dates'!$A$2:$J$5,3,FALSE),1,0)</f>
        <v>0</v>
      </c>
      <c r="U873" s="9">
        <f>IF($A873=VLOOKUP(YEAR($A873),'Festive dates'!$A$2:$J$5,4,FALSE),1,0)</f>
        <v>0</v>
      </c>
      <c r="V873" s="9">
        <f>IF(AND($A873&gt;=VLOOKUP(YEAR($A873),'Festive dates'!$A$2:$J$5,9,FALSE),$A873&lt;=VLOOKUP(YEAR($A873),'Festive dates'!$A$2:$J$5,10,FALSE)),1,0)</f>
        <v>0</v>
      </c>
      <c r="W873" s="9">
        <f>IF($A873=VLOOKUP(YEAR($A873),'Festive dates'!$A$2:$J$5,7,FALSE),1,0)</f>
        <v>0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>
      <c r="A874" s="8">
        <v>45889</v>
      </c>
      <c r="B874" s="9">
        <v>0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f>MAX(-20,MIN(10,$A874-VLOOKUP(YEAR($A874),'Festive dates'!$A$2:$J$5,8,FALSE)))</f>
        <v>-20</v>
      </c>
      <c r="R874" s="9">
        <f>IF(AND($A874&gt;VLOOKUP(YEAR($A874),'Festive dates'!$A$2:$J$5,2,FALSE),$A874&lt;VLOOKUP(YEAR($A874),'Festive dates'!$A$2:$J$5,3,FALSE)),1,0)</f>
        <v>0</v>
      </c>
      <c r="S874" s="9">
        <f>IF($A874=VLOOKUP(YEAR($A874),'Festive dates'!$A$2:$J$5,2,FALSE),1,0)</f>
        <v>0</v>
      </c>
      <c r="T874" s="9">
        <f>IF($A874=VLOOKUP(YEAR($A874),'Festive dates'!$A$2:$J$5,3,FALSE),1,0)</f>
        <v>0</v>
      </c>
      <c r="U874" s="9">
        <f>IF($A874=VLOOKUP(YEAR($A874),'Festive dates'!$A$2:$J$5,4,FALSE),1,0)</f>
        <v>0</v>
      </c>
      <c r="V874" s="9">
        <f>IF(AND($A874&gt;=VLOOKUP(YEAR($A874),'Festive dates'!$A$2:$J$5,9,FALSE),$A874&lt;=VLOOKUP(YEAR($A874),'Festive dates'!$A$2:$J$5,10,FALSE)),1,0)</f>
        <v>0</v>
      </c>
      <c r="W874" s="9">
        <f>IF($A874=VLOOKUP(YEAR($A874),'Festive dates'!$A$2:$J$5,7,FALSE),1,0)</f>
        <v>0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>
      <c r="A875" s="8">
        <v>45890</v>
      </c>
      <c r="B875" s="9">
        <v>0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f>MAX(-20,MIN(10,$A875-VLOOKUP(YEAR($A875),'Festive dates'!$A$2:$J$5,8,FALSE)))</f>
        <v>-20</v>
      </c>
      <c r="R875" s="9">
        <f>IF(AND($A875&gt;VLOOKUP(YEAR($A875),'Festive dates'!$A$2:$J$5,2,FALSE),$A875&lt;VLOOKUP(YEAR($A875),'Festive dates'!$A$2:$J$5,3,FALSE)),1,0)</f>
        <v>0</v>
      </c>
      <c r="S875" s="9">
        <f>IF($A875=VLOOKUP(YEAR($A875),'Festive dates'!$A$2:$J$5,2,FALSE),1,0)</f>
        <v>0</v>
      </c>
      <c r="T875" s="9">
        <f>IF($A875=VLOOKUP(YEAR($A875),'Festive dates'!$A$2:$J$5,3,FALSE),1,0)</f>
        <v>0</v>
      </c>
      <c r="U875" s="9">
        <f>IF($A875=VLOOKUP(YEAR($A875),'Festive dates'!$A$2:$J$5,4,FALSE),1,0)</f>
        <v>0</v>
      </c>
      <c r="V875" s="9">
        <f>IF(AND($A875&gt;=VLOOKUP(YEAR($A875),'Festive dates'!$A$2:$J$5,9,FALSE),$A875&lt;=VLOOKUP(YEAR($A875),'Festive dates'!$A$2:$J$5,10,FALSE)),1,0)</f>
        <v>0</v>
      </c>
      <c r="W875" s="9">
        <f>IF($A875=VLOOKUP(YEAR($A875),'Festive dates'!$A$2:$J$5,7,FALSE),1,0)</f>
        <v>0</v>
      </c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>
      <c r="A876" s="8">
        <v>45891</v>
      </c>
      <c r="B876" s="9">
        <v>0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f>MAX(-20,MIN(10,$A876-VLOOKUP(YEAR($A876),'Festive dates'!$A$2:$J$5,8,FALSE)))</f>
        <v>-20</v>
      </c>
      <c r="R876" s="9">
        <f>IF(AND($A876&gt;VLOOKUP(YEAR($A876),'Festive dates'!$A$2:$J$5,2,FALSE),$A876&lt;VLOOKUP(YEAR($A876),'Festive dates'!$A$2:$J$5,3,FALSE)),1,0)</f>
        <v>0</v>
      </c>
      <c r="S876" s="9">
        <f>IF($A876=VLOOKUP(YEAR($A876),'Festive dates'!$A$2:$J$5,2,FALSE),1,0)</f>
        <v>0</v>
      </c>
      <c r="T876" s="9">
        <f>IF($A876=VLOOKUP(YEAR($A876),'Festive dates'!$A$2:$J$5,3,FALSE),1,0)</f>
        <v>0</v>
      </c>
      <c r="U876" s="9">
        <f>IF($A876=VLOOKUP(YEAR($A876),'Festive dates'!$A$2:$J$5,4,FALSE),1,0)</f>
        <v>0</v>
      </c>
      <c r="V876" s="9">
        <f>IF(AND($A876&gt;=VLOOKUP(YEAR($A876),'Festive dates'!$A$2:$J$5,9,FALSE),$A876&lt;=VLOOKUP(YEAR($A876),'Festive dates'!$A$2:$J$5,10,FALSE)),1,0)</f>
        <v>0</v>
      </c>
      <c r="W876" s="9">
        <f>IF($A876=VLOOKUP(YEAR($A876),'Festive dates'!$A$2:$J$5,7,FALSE),1,0)</f>
        <v>0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>
      <c r="A877" s="8">
        <v>45892</v>
      </c>
      <c r="B877" s="9">
        <v>0</v>
      </c>
      <c r="C877" s="9">
        <v>0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f>MAX(-20,MIN(10,$A877-VLOOKUP(YEAR($A877),'Festive dates'!$A$2:$J$5,8,FALSE)))</f>
        <v>-20</v>
      </c>
      <c r="R877" s="9">
        <f>IF(AND($A877&gt;VLOOKUP(YEAR($A877),'Festive dates'!$A$2:$J$5,2,FALSE),$A877&lt;VLOOKUP(YEAR($A877),'Festive dates'!$A$2:$J$5,3,FALSE)),1,0)</f>
        <v>0</v>
      </c>
      <c r="S877" s="9">
        <f>IF($A877=VLOOKUP(YEAR($A877),'Festive dates'!$A$2:$J$5,2,FALSE),1,0)</f>
        <v>0</v>
      </c>
      <c r="T877" s="9">
        <f>IF($A877=VLOOKUP(YEAR($A877),'Festive dates'!$A$2:$J$5,3,FALSE),1,0)</f>
        <v>0</v>
      </c>
      <c r="U877" s="9">
        <f>IF($A877=VLOOKUP(YEAR($A877),'Festive dates'!$A$2:$J$5,4,FALSE),1,0)</f>
        <v>0</v>
      </c>
      <c r="V877" s="9">
        <f>IF(AND($A877&gt;=VLOOKUP(YEAR($A877),'Festive dates'!$A$2:$J$5,9,FALSE),$A877&lt;=VLOOKUP(YEAR($A877),'Festive dates'!$A$2:$J$5,10,FALSE)),1,0)</f>
        <v>0</v>
      </c>
      <c r="W877" s="9">
        <f>IF($A877=VLOOKUP(YEAR($A877),'Festive dates'!$A$2:$J$5,7,FALSE),1,0)</f>
        <v>0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>
      <c r="A878" s="8">
        <v>45893</v>
      </c>
      <c r="B878" s="9">
        <v>0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f>MAX(-20,MIN(10,$A878-VLOOKUP(YEAR($A878),'Festive dates'!$A$2:$J$5,8,FALSE)))</f>
        <v>-20</v>
      </c>
      <c r="R878" s="9">
        <f>IF(AND($A878&gt;VLOOKUP(YEAR($A878),'Festive dates'!$A$2:$J$5,2,FALSE),$A878&lt;VLOOKUP(YEAR($A878),'Festive dates'!$A$2:$J$5,3,FALSE)),1,0)</f>
        <v>0</v>
      </c>
      <c r="S878" s="9">
        <f>IF($A878=VLOOKUP(YEAR($A878),'Festive dates'!$A$2:$J$5,2,FALSE),1,0)</f>
        <v>0</v>
      </c>
      <c r="T878" s="9">
        <f>IF($A878=VLOOKUP(YEAR($A878),'Festive dates'!$A$2:$J$5,3,FALSE),1,0)</f>
        <v>0</v>
      </c>
      <c r="U878" s="9">
        <f>IF($A878=VLOOKUP(YEAR($A878),'Festive dates'!$A$2:$J$5,4,FALSE),1,0)</f>
        <v>0</v>
      </c>
      <c r="V878" s="9">
        <f>IF(AND($A878&gt;=VLOOKUP(YEAR($A878),'Festive dates'!$A$2:$J$5,9,FALSE),$A878&lt;=VLOOKUP(YEAR($A878),'Festive dates'!$A$2:$J$5,10,FALSE)),1,0)</f>
        <v>0</v>
      </c>
      <c r="W878" s="9">
        <f>IF($A878=VLOOKUP(YEAR($A878),'Festive dates'!$A$2:$J$5,7,FALSE),1,0)</f>
        <v>0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>
      <c r="A879" s="8">
        <v>45894</v>
      </c>
      <c r="B879" s="9">
        <v>0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f>MAX(-20,MIN(10,$A879-VLOOKUP(YEAR($A879),'Festive dates'!$A$2:$J$5,8,FALSE)))</f>
        <v>-20</v>
      </c>
      <c r="R879" s="9">
        <f>IF(AND($A879&gt;VLOOKUP(YEAR($A879),'Festive dates'!$A$2:$J$5,2,FALSE),$A879&lt;VLOOKUP(YEAR($A879),'Festive dates'!$A$2:$J$5,3,FALSE)),1,0)</f>
        <v>0</v>
      </c>
      <c r="S879" s="9">
        <f>IF($A879=VLOOKUP(YEAR($A879),'Festive dates'!$A$2:$J$5,2,FALSE),1,0)</f>
        <v>0</v>
      </c>
      <c r="T879" s="9">
        <f>IF($A879=VLOOKUP(YEAR($A879),'Festive dates'!$A$2:$J$5,3,FALSE),1,0)</f>
        <v>0</v>
      </c>
      <c r="U879" s="9">
        <f>IF($A879=VLOOKUP(YEAR($A879),'Festive dates'!$A$2:$J$5,4,FALSE),1,0)</f>
        <v>0</v>
      </c>
      <c r="V879" s="9">
        <f>IF(AND($A879&gt;=VLOOKUP(YEAR($A879),'Festive dates'!$A$2:$J$5,9,FALSE),$A879&lt;=VLOOKUP(YEAR($A879),'Festive dates'!$A$2:$J$5,10,FALSE)),1,0)</f>
        <v>0</v>
      </c>
      <c r="W879" s="9">
        <f>IF($A879=VLOOKUP(YEAR($A879),'Festive dates'!$A$2:$J$5,7,FALSE),1,0)</f>
        <v>0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>
      <c r="A880" s="8">
        <v>45895</v>
      </c>
      <c r="B880" s="9">
        <v>0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f>MAX(-20,MIN(10,$A880-VLOOKUP(YEAR($A880),'Festive dates'!$A$2:$J$5,8,FALSE)))</f>
        <v>-20</v>
      </c>
      <c r="R880" s="9">
        <f>IF(AND($A880&gt;VLOOKUP(YEAR($A880),'Festive dates'!$A$2:$J$5,2,FALSE),$A880&lt;VLOOKUP(YEAR($A880),'Festive dates'!$A$2:$J$5,3,FALSE)),1,0)</f>
        <v>0</v>
      </c>
      <c r="S880" s="9">
        <f>IF($A880=VLOOKUP(YEAR($A880),'Festive dates'!$A$2:$J$5,2,FALSE),1,0)</f>
        <v>0</v>
      </c>
      <c r="T880" s="9">
        <f>IF($A880=VLOOKUP(YEAR($A880),'Festive dates'!$A$2:$J$5,3,FALSE),1,0)</f>
        <v>0</v>
      </c>
      <c r="U880" s="9">
        <f>IF($A880=VLOOKUP(YEAR($A880),'Festive dates'!$A$2:$J$5,4,FALSE),1,0)</f>
        <v>0</v>
      </c>
      <c r="V880" s="9">
        <f>IF(AND($A880&gt;=VLOOKUP(YEAR($A880),'Festive dates'!$A$2:$J$5,9,FALSE),$A880&lt;=VLOOKUP(YEAR($A880),'Festive dates'!$A$2:$J$5,10,FALSE)),1,0)</f>
        <v>0</v>
      </c>
      <c r="W880" s="9">
        <f>IF($A880=VLOOKUP(YEAR($A880),'Festive dates'!$A$2:$J$5,7,FALSE),1,0)</f>
        <v>0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>
      <c r="A881" s="8">
        <v>45896</v>
      </c>
      <c r="B881" s="9">
        <v>0</v>
      </c>
      <c r="C881" s="9">
        <v>1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f>MAX(-20,MIN(10,$A881-VLOOKUP(YEAR($A881),'Festive dates'!$A$2:$J$5,8,FALSE)))</f>
        <v>-20</v>
      </c>
      <c r="R881" s="9">
        <f>IF(AND($A881&gt;VLOOKUP(YEAR($A881),'Festive dates'!$A$2:$J$5,2,FALSE),$A881&lt;VLOOKUP(YEAR($A881),'Festive dates'!$A$2:$J$5,3,FALSE)),1,0)</f>
        <v>0</v>
      </c>
      <c r="S881" s="9">
        <f>IF($A881=VLOOKUP(YEAR($A881),'Festive dates'!$A$2:$J$5,2,FALSE),1,0)</f>
        <v>0</v>
      </c>
      <c r="T881" s="9">
        <f>IF($A881=VLOOKUP(YEAR($A881),'Festive dates'!$A$2:$J$5,3,FALSE),1,0)</f>
        <v>0</v>
      </c>
      <c r="U881" s="9">
        <f>IF($A881=VLOOKUP(YEAR($A881),'Festive dates'!$A$2:$J$5,4,FALSE),1,0)</f>
        <v>0</v>
      </c>
      <c r="V881" s="9">
        <f>IF(AND($A881&gt;=VLOOKUP(YEAR($A881),'Festive dates'!$A$2:$J$5,9,FALSE),$A881&lt;=VLOOKUP(YEAR($A881),'Festive dates'!$A$2:$J$5,10,FALSE)),1,0)</f>
        <v>0</v>
      </c>
      <c r="W881" s="9">
        <f>IF($A881=VLOOKUP(YEAR($A881),'Festive dates'!$A$2:$J$5,7,FALSE),1,0)</f>
        <v>0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>
      <c r="A882" s="8">
        <v>45897</v>
      </c>
      <c r="B882" s="9">
        <v>0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f>MAX(-20,MIN(10,$A882-VLOOKUP(YEAR($A882),'Festive dates'!$A$2:$J$5,8,FALSE)))</f>
        <v>-20</v>
      </c>
      <c r="R882" s="9">
        <f>IF(AND($A882&gt;VLOOKUP(YEAR($A882),'Festive dates'!$A$2:$J$5,2,FALSE),$A882&lt;VLOOKUP(YEAR($A882),'Festive dates'!$A$2:$J$5,3,FALSE)),1,0)</f>
        <v>0</v>
      </c>
      <c r="S882" s="9">
        <f>IF($A882=VLOOKUP(YEAR($A882),'Festive dates'!$A$2:$J$5,2,FALSE),1,0)</f>
        <v>0</v>
      </c>
      <c r="T882" s="9">
        <f>IF($A882=VLOOKUP(YEAR($A882),'Festive dates'!$A$2:$J$5,3,FALSE),1,0)</f>
        <v>0</v>
      </c>
      <c r="U882" s="9">
        <f>IF($A882=VLOOKUP(YEAR($A882),'Festive dates'!$A$2:$J$5,4,FALSE),1,0)</f>
        <v>0</v>
      </c>
      <c r="V882" s="9">
        <f>IF(AND($A882&gt;=VLOOKUP(YEAR($A882),'Festive dates'!$A$2:$J$5,9,FALSE),$A882&lt;=VLOOKUP(YEAR($A882),'Festive dates'!$A$2:$J$5,10,FALSE)),1,0)</f>
        <v>0</v>
      </c>
      <c r="W882" s="9">
        <f>IF($A882=VLOOKUP(YEAR($A882),'Festive dates'!$A$2:$J$5,7,FALSE),1,0)</f>
        <v>0</v>
      </c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>
      <c r="A883" s="8">
        <v>45898</v>
      </c>
      <c r="B883" s="9">
        <v>0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f>MAX(-20,MIN(10,$A883-VLOOKUP(YEAR($A883),'Festive dates'!$A$2:$J$5,8,FALSE)))</f>
        <v>-20</v>
      </c>
      <c r="R883" s="9">
        <f>IF(AND($A883&gt;VLOOKUP(YEAR($A883),'Festive dates'!$A$2:$J$5,2,FALSE),$A883&lt;VLOOKUP(YEAR($A883),'Festive dates'!$A$2:$J$5,3,FALSE)),1,0)</f>
        <v>0</v>
      </c>
      <c r="S883" s="9">
        <f>IF($A883=VLOOKUP(YEAR($A883),'Festive dates'!$A$2:$J$5,2,FALSE),1,0)</f>
        <v>0</v>
      </c>
      <c r="T883" s="9">
        <f>IF($A883=VLOOKUP(YEAR($A883),'Festive dates'!$A$2:$J$5,3,FALSE),1,0)</f>
        <v>0</v>
      </c>
      <c r="U883" s="9">
        <f>IF($A883=VLOOKUP(YEAR($A883),'Festive dates'!$A$2:$J$5,4,FALSE),1,0)</f>
        <v>0</v>
      </c>
      <c r="V883" s="9">
        <f>IF(AND($A883&gt;=VLOOKUP(YEAR($A883),'Festive dates'!$A$2:$J$5,9,FALSE),$A883&lt;=VLOOKUP(YEAR($A883),'Festive dates'!$A$2:$J$5,10,FALSE)),1,0)</f>
        <v>0</v>
      </c>
      <c r="W883" s="9">
        <f>IF($A883=VLOOKUP(YEAR($A883),'Festive dates'!$A$2:$J$5,7,FALSE),1,0)</f>
        <v>0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>
      <c r="A884" s="8">
        <v>45899</v>
      </c>
      <c r="B884" s="9">
        <v>0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f>MAX(-20,MIN(10,$A884-VLOOKUP(YEAR($A884),'Festive dates'!$A$2:$J$5,8,FALSE)))</f>
        <v>-20</v>
      </c>
      <c r="R884" s="9">
        <f>IF(AND($A884&gt;VLOOKUP(YEAR($A884),'Festive dates'!$A$2:$J$5,2,FALSE),$A884&lt;VLOOKUP(YEAR($A884),'Festive dates'!$A$2:$J$5,3,FALSE)),1,0)</f>
        <v>0</v>
      </c>
      <c r="S884" s="9">
        <f>IF($A884=VLOOKUP(YEAR($A884),'Festive dates'!$A$2:$J$5,2,FALSE),1,0)</f>
        <v>0</v>
      </c>
      <c r="T884" s="9">
        <f>IF($A884=VLOOKUP(YEAR($A884),'Festive dates'!$A$2:$J$5,3,FALSE),1,0)</f>
        <v>0</v>
      </c>
      <c r="U884" s="9">
        <f>IF($A884=VLOOKUP(YEAR($A884),'Festive dates'!$A$2:$J$5,4,FALSE),1,0)</f>
        <v>0</v>
      </c>
      <c r="V884" s="9">
        <f>IF(AND($A884&gt;=VLOOKUP(YEAR($A884),'Festive dates'!$A$2:$J$5,9,FALSE),$A884&lt;=VLOOKUP(YEAR($A884),'Festive dates'!$A$2:$J$5,10,FALSE)),1,0)</f>
        <v>0</v>
      </c>
      <c r="W884" s="9">
        <f>IF($A884=VLOOKUP(YEAR($A884),'Festive dates'!$A$2:$J$5,7,FALSE),1,0)</f>
        <v>0</v>
      </c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>
      <c r="A885" s="8">
        <v>45900</v>
      </c>
      <c r="B885" s="9">
        <v>0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f>MAX(-20,MIN(10,$A885-VLOOKUP(YEAR($A885),'Festive dates'!$A$2:$J$5,8,FALSE)))</f>
        <v>-20</v>
      </c>
      <c r="R885" s="9">
        <f>IF(AND($A885&gt;VLOOKUP(YEAR($A885),'Festive dates'!$A$2:$J$5,2,FALSE),$A885&lt;VLOOKUP(YEAR($A885),'Festive dates'!$A$2:$J$5,3,FALSE)),1,0)</f>
        <v>0</v>
      </c>
      <c r="S885" s="9">
        <f>IF($A885=VLOOKUP(YEAR($A885),'Festive dates'!$A$2:$J$5,2,FALSE),1,0)</f>
        <v>0</v>
      </c>
      <c r="T885" s="9">
        <f>IF($A885=VLOOKUP(YEAR($A885),'Festive dates'!$A$2:$J$5,3,FALSE),1,0)</f>
        <v>0</v>
      </c>
      <c r="U885" s="9">
        <f>IF($A885=VLOOKUP(YEAR($A885),'Festive dates'!$A$2:$J$5,4,FALSE),1,0)</f>
        <v>0</v>
      </c>
      <c r="V885" s="9">
        <f>IF(AND($A885&gt;=VLOOKUP(YEAR($A885),'Festive dates'!$A$2:$J$5,9,FALSE),$A885&lt;=VLOOKUP(YEAR($A885),'Festive dates'!$A$2:$J$5,10,FALSE)),1,0)</f>
        <v>0</v>
      </c>
      <c r="W885" s="9">
        <f>IF($A885=VLOOKUP(YEAR($A885),'Festive dates'!$A$2:$J$5,7,FALSE),1,0)</f>
        <v>0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>
      <c r="A886" s="8">
        <v>45901</v>
      </c>
      <c r="B886" s="9">
        <v>0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f>MAX(-20,MIN(10,$A886-VLOOKUP(YEAR($A886),'Festive dates'!$A$2:$J$5,8,FALSE)))</f>
        <v>-20</v>
      </c>
      <c r="R886" s="9">
        <f>IF(AND($A886&gt;VLOOKUP(YEAR($A886),'Festive dates'!$A$2:$J$5,2,FALSE),$A886&lt;VLOOKUP(YEAR($A886),'Festive dates'!$A$2:$J$5,3,FALSE)),1,0)</f>
        <v>0</v>
      </c>
      <c r="S886" s="9">
        <f>IF($A886=VLOOKUP(YEAR($A886),'Festive dates'!$A$2:$J$5,2,FALSE),1,0)</f>
        <v>0</v>
      </c>
      <c r="T886" s="9">
        <f>IF($A886=VLOOKUP(YEAR($A886),'Festive dates'!$A$2:$J$5,3,FALSE),1,0)</f>
        <v>0</v>
      </c>
      <c r="U886" s="9">
        <f>IF($A886=VLOOKUP(YEAR($A886),'Festive dates'!$A$2:$J$5,4,FALSE),1,0)</f>
        <v>0</v>
      </c>
      <c r="V886" s="9">
        <f>IF(AND($A886&gt;=VLOOKUP(YEAR($A886),'Festive dates'!$A$2:$J$5,9,FALSE),$A886&lt;=VLOOKUP(YEAR($A886),'Festive dates'!$A$2:$J$5,10,FALSE)),1,0)</f>
        <v>0</v>
      </c>
      <c r="W886" s="9">
        <f>IF($A886=VLOOKUP(YEAR($A886),'Festive dates'!$A$2:$J$5,7,FALSE),1,0)</f>
        <v>0</v>
      </c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>
      <c r="A887" s="8">
        <v>45902</v>
      </c>
      <c r="B887" s="9">
        <v>0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f>MAX(-20,MIN(10,$A887-VLOOKUP(YEAR($A887),'Festive dates'!$A$2:$J$5,8,FALSE)))</f>
        <v>-20</v>
      </c>
      <c r="R887" s="9">
        <f>IF(AND($A887&gt;VLOOKUP(YEAR($A887),'Festive dates'!$A$2:$J$5,2,FALSE),$A887&lt;VLOOKUP(YEAR($A887),'Festive dates'!$A$2:$J$5,3,FALSE)),1,0)</f>
        <v>0</v>
      </c>
      <c r="S887" s="9">
        <f>IF($A887=VLOOKUP(YEAR($A887),'Festive dates'!$A$2:$J$5,2,FALSE),1,0)</f>
        <v>0</v>
      </c>
      <c r="T887" s="9">
        <f>IF($A887=VLOOKUP(YEAR($A887),'Festive dates'!$A$2:$J$5,3,FALSE),1,0)</f>
        <v>0</v>
      </c>
      <c r="U887" s="9">
        <f>IF($A887=VLOOKUP(YEAR($A887),'Festive dates'!$A$2:$J$5,4,FALSE),1,0)</f>
        <v>0</v>
      </c>
      <c r="V887" s="9">
        <f>IF(AND($A887&gt;=VLOOKUP(YEAR($A887),'Festive dates'!$A$2:$J$5,9,FALSE),$A887&lt;=VLOOKUP(YEAR($A887),'Festive dates'!$A$2:$J$5,10,FALSE)),1,0)</f>
        <v>0</v>
      </c>
      <c r="W887" s="9">
        <f>IF($A887=VLOOKUP(YEAR($A887),'Festive dates'!$A$2:$J$5,7,FALSE),1,0)</f>
        <v>0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>
      <c r="A888" s="8">
        <v>45903</v>
      </c>
      <c r="B888" s="9">
        <v>0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f>MAX(-20,MIN(10,$A888-VLOOKUP(YEAR($A888),'Festive dates'!$A$2:$J$5,8,FALSE)))</f>
        <v>-20</v>
      </c>
      <c r="R888" s="9">
        <f>IF(AND($A888&gt;VLOOKUP(YEAR($A888),'Festive dates'!$A$2:$J$5,2,FALSE),$A888&lt;VLOOKUP(YEAR($A888),'Festive dates'!$A$2:$J$5,3,FALSE)),1,0)</f>
        <v>0</v>
      </c>
      <c r="S888" s="9">
        <f>IF($A888=VLOOKUP(YEAR($A888),'Festive dates'!$A$2:$J$5,2,FALSE),1,0)</f>
        <v>0</v>
      </c>
      <c r="T888" s="9">
        <f>IF($A888=VLOOKUP(YEAR($A888),'Festive dates'!$A$2:$J$5,3,FALSE),1,0)</f>
        <v>0</v>
      </c>
      <c r="U888" s="9">
        <f>IF($A888=VLOOKUP(YEAR($A888),'Festive dates'!$A$2:$J$5,4,FALSE),1,0)</f>
        <v>0</v>
      </c>
      <c r="V888" s="9">
        <f>IF(AND($A888&gt;=VLOOKUP(YEAR($A888),'Festive dates'!$A$2:$J$5,9,FALSE),$A888&lt;=VLOOKUP(YEAR($A888),'Festive dates'!$A$2:$J$5,10,FALSE)),1,0)</f>
        <v>0</v>
      </c>
      <c r="W888" s="9">
        <f>IF($A888=VLOOKUP(YEAR($A888),'Festive dates'!$A$2:$J$5,7,FALSE),1,0)</f>
        <v>0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>
      <c r="A889" s="8">
        <v>45904</v>
      </c>
      <c r="B889" s="9">
        <v>0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f>MAX(-20,MIN(10,$A889-VLOOKUP(YEAR($A889),'Festive dates'!$A$2:$J$5,8,FALSE)))</f>
        <v>-20</v>
      </c>
      <c r="R889" s="9">
        <f>IF(AND($A889&gt;VLOOKUP(YEAR($A889),'Festive dates'!$A$2:$J$5,2,FALSE),$A889&lt;VLOOKUP(YEAR($A889),'Festive dates'!$A$2:$J$5,3,FALSE)),1,0)</f>
        <v>0</v>
      </c>
      <c r="S889" s="9">
        <f>IF($A889=VLOOKUP(YEAR($A889),'Festive dates'!$A$2:$J$5,2,FALSE),1,0)</f>
        <v>0</v>
      </c>
      <c r="T889" s="9">
        <f>IF($A889=VLOOKUP(YEAR($A889),'Festive dates'!$A$2:$J$5,3,FALSE),1,0)</f>
        <v>0</v>
      </c>
      <c r="U889" s="9">
        <f>IF($A889=VLOOKUP(YEAR($A889),'Festive dates'!$A$2:$J$5,4,FALSE),1,0)</f>
        <v>0</v>
      </c>
      <c r="V889" s="9">
        <f>IF(AND($A889&gt;=VLOOKUP(YEAR($A889),'Festive dates'!$A$2:$J$5,9,FALSE),$A889&lt;=VLOOKUP(YEAR($A889),'Festive dates'!$A$2:$J$5,10,FALSE)),1,0)</f>
        <v>0</v>
      </c>
      <c r="W889" s="9">
        <f>IF($A889=VLOOKUP(YEAR($A889),'Festive dates'!$A$2:$J$5,7,FALSE),1,0)</f>
        <v>0</v>
      </c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>
      <c r="A890" s="8">
        <v>45905</v>
      </c>
      <c r="B890" s="9">
        <v>0</v>
      </c>
      <c r="C890" s="9">
        <v>0</v>
      </c>
      <c r="D890" s="9">
        <v>0</v>
      </c>
      <c r="E890" s="9">
        <v>0</v>
      </c>
      <c r="F890" s="9">
        <v>0</v>
      </c>
      <c r="G890" s="9">
        <v>1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f>MAX(-20,MIN(10,$A890-VLOOKUP(YEAR($A890),'Festive dates'!$A$2:$J$5,8,FALSE)))</f>
        <v>-20</v>
      </c>
      <c r="R890" s="9">
        <f>IF(AND($A890&gt;VLOOKUP(YEAR($A890),'Festive dates'!$A$2:$J$5,2,FALSE),$A890&lt;VLOOKUP(YEAR($A890),'Festive dates'!$A$2:$J$5,3,FALSE)),1,0)</f>
        <v>0</v>
      </c>
      <c r="S890" s="9">
        <f>IF($A890=VLOOKUP(YEAR($A890),'Festive dates'!$A$2:$J$5,2,FALSE),1,0)</f>
        <v>0</v>
      </c>
      <c r="T890" s="9">
        <f>IF($A890=VLOOKUP(YEAR($A890),'Festive dates'!$A$2:$J$5,3,FALSE),1,0)</f>
        <v>0</v>
      </c>
      <c r="U890" s="9">
        <f>IF($A890=VLOOKUP(YEAR($A890),'Festive dates'!$A$2:$J$5,4,FALSE),1,0)</f>
        <v>0</v>
      </c>
      <c r="V890" s="9">
        <f>IF(AND($A890&gt;=VLOOKUP(YEAR($A890),'Festive dates'!$A$2:$J$5,9,FALSE),$A890&lt;=VLOOKUP(YEAR($A890),'Festive dates'!$A$2:$J$5,10,FALSE)),1,0)</f>
        <v>0</v>
      </c>
      <c r="W890" s="9">
        <f>IF($A890=VLOOKUP(YEAR($A890),'Festive dates'!$A$2:$J$5,7,FALSE),1,0)</f>
        <v>0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>
      <c r="A891" s="8">
        <v>45906</v>
      </c>
      <c r="B891" s="9">
        <v>0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f>MAX(-20,MIN(10,$A891-VLOOKUP(YEAR($A891),'Festive dates'!$A$2:$J$5,8,FALSE)))</f>
        <v>-20</v>
      </c>
      <c r="R891" s="9">
        <f>IF(AND($A891&gt;VLOOKUP(YEAR($A891),'Festive dates'!$A$2:$J$5,2,FALSE),$A891&lt;VLOOKUP(YEAR($A891),'Festive dates'!$A$2:$J$5,3,FALSE)),1,0)</f>
        <v>0</v>
      </c>
      <c r="S891" s="9">
        <f>IF($A891=VLOOKUP(YEAR($A891),'Festive dates'!$A$2:$J$5,2,FALSE),1,0)</f>
        <v>0</v>
      </c>
      <c r="T891" s="9">
        <f>IF($A891=VLOOKUP(YEAR($A891),'Festive dates'!$A$2:$J$5,3,FALSE),1,0)</f>
        <v>0</v>
      </c>
      <c r="U891" s="9">
        <f>IF($A891=VLOOKUP(YEAR($A891),'Festive dates'!$A$2:$J$5,4,FALSE),1,0)</f>
        <v>0</v>
      </c>
      <c r="V891" s="9">
        <f>IF(AND($A891&gt;=VLOOKUP(YEAR($A891),'Festive dates'!$A$2:$J$5,9,FALSE),$A891&lt;=VLOOKUP(YEAR($A891),'Festive dates'!$A$2:$J$5,10,FALSE)),1,0)</f>
        <v>1</v>
      </c>
      <c r="W891" s="9">
        <f>IF($A891=VLOOKUP(YEAR($A891),'Festive dates'!$A$2:$J$5,7,FALSE),1,0)</f>
        <v>0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>
      <c r="A892" s="8">
        <v>45907</v>
      </c>
      <c r="B892" s="9">
        <v>0</v>
      </c>
      <c r="C892" s="9">
        <v>0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f>MAX(-20,MIN(10,$A892-VLOOKUP(YEAR($A892),'Festive dates'!$A$2:$J$5,8,FALSE)))</f>
        <v>-20</v>
      </c>
      <c r="R892" s="9">
        <f>IF(AND($A892&gt;VLOOKUP(YEAR($A892),'Festive dates'!$A$2:$J$5,2,FALSE),$A892&lt;VLOOKUP(YEAR($A892),'Festive dates'!$A$2:$J$5,3,FALSE)),1,0)</f>
        <v>0</v>
      </c>
      <c r="S892" s="9">
        <f>IF($A892=VLOOKUP(YEAR($A892),'Festive dates'!$A$2:$J$5,2,FALSE),1,0)</f>
        <v>0</v>
      </c>
      <c r="T892" s="9">
        <f>IF($A892=VLOOKUP(YEAR($A892),'Festive dates'!$A$2:$J$5,3,FALSE),1,0)</f>
        <v>0</v>
      </c>
      <c r="U892" s="9">
        <f>IF($A892=VLOOKUP(YEAR($A892),'Festive dates'!$A$2:$J$5,4,FALSE),1,0)</f>
        <v>0</v>
      </c>
      <c r="V892" s="9">
        <f>IF(AND($A892&gt;=VLOOKUP(YEAR($A892),'Festive dates'!$A$2:$J$5,9,FALSE),$A892&lt;=VLOOKUP(YEAR($A892),'Festive dates'!$A$2:$J$5,10,FALSE)),1,0)</f>
        <v>1</v>
      </c>
      <c r="W892" s="9">
        <f>IF($A892=VLOOKUP(YEAR($A892),'Festive dates'!$A$2:$J$5,7,FALSE),1,0)</f>
        <v>0</v>
      </c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>
      <c r="A893" s="8">
        <v>45908</v>
      </c>
      <c r="B893" s="9">
        <v>0</v>
      </c>
      <c r="C893" s="9">
        <v>0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f>MAX(-20,MIN(10,$A893-VLOOKUP(YEAR($A893),'Festive dates'!$A$2:$J$5,8,FALSE)))</f>
        <v>-20</v>
      </c>
      <c r="R893" s="9">
        <f>IF(AND($A893&gt;VLOOKUP(YEAR($A893),'Festive dates'!$A$2:$J$5,2,FALSE),$A893&lt;VLOOKUP(YEAR($A893),'Festive dates'!$A$2:$J$5,3,FALSE)),1,0)</f>
        <v>0</v>
      </c>
      <c r="S893" s="9">
        <f>IF($A893=VLOOKUP(YEAR($A893),'Festive dates'!$A$2:$J$5,2,FALSE),1,0)</f>
        <v>0</v>
      </c>
      <c r="T893" s="9">
        <f>IF($A893=VLOOKUP(YEAR($A893),'Festive dates'!$A$2:$J$5,3,FALSE),1,0)</f>
        <v>0</v>
      </c>
      <c r="U893" s="9">
        <f>IF($A893=VLOOKUP(YEAR($A893),'Festive dates'!$A$2:$J$5,4,FALSE),1,0)</f>
        <v>0</v>
      </c>
      <c r="V893" s="9">
        <f>IF(AND($A893&gt;=VLOOKUP(YEAR($A893),'Festive dates'!$A$2:$J$5,9,FALSE),$A893&lt;=VLOOKUP(YEAR($A893),'Festive dates'!$A$2:$J$5,10,FALSE)),1,0)</f>
        <v>1</v>
      </c>
      <c r="W893" s="9">
        <f>IF($A893=VLOOKUP(YEAR($A893),'Festive dates'!$A$2:$J$5,7,FALSE),1,0)</f>
        <v>0</v>
      </c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>
      <c r="A894" s="8">
        <v>45909</v>
      </c>
      <c r="B894" s="9">
        <v>0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f>MAX(-20,MIN(10,$A894-VLOOKUP(YEAR($A894),'Festive dates'!$A$2:$J$5,8,FALSE)))</f>
        <v>-20</v>
      </c>
      <c r="R894" s="9">
        <f>IF(AND($A894&gt;VLOOKUP(YEAR($A894),'Festive dates'!$A$2:$J$5,2,FALSE),$A894&lt;VLOOKUP(YEAR($A894),'Festive dates'!$A$2:$J$5,3,FALSE)),1,0)</f>
        <v>0</v>
      </c>
      <c r="S894" s="9">
        <f>IF($A894=VLOOKUP(YEAR($A894),'Festive dates'!$A$2:$J$5,2,FALSE),1,0)</f>
        <v>0</v>
      </c>
      <c r="T894" s="9">
        <f>IF($A894=VLOOKUP(YEAR($A894),'Festive dates'!$A$2:$J$5,3,FALSE),1,0)</f>
        <v>0</v>
      </c>
      <c r="U894" s="9">
        <f>IF($A894=VLOOKUP(YEAR($A894),'Festive dates'!$A$2:$J$5,4,FALSE),1,0)</f>
        <v>0</v>
      </c>
      <c r="V894" s="9">
        <f>IF(AND($A894&gt;=VLOOKUP(YEAR($A894),'Festive dates'!$A$2:$J$5,9,FALSE),$A894&lt;=VLOOKUP(YEAR($A894),'Festive dates'!$A$2:$J$5,10,FALSE)),1,0)</f>
        <v>1</v>
      </c>
      <c r="W894" s="9">
        <f>IF($A894=VLOOKUP(YEAR($A894),'Festive dates'!$A$2:$J$5,7,FALSE),1,0)</f>
        <v>0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>
      <c r="A895" s="8">
        <v>45910</v>
      </c>
      <c r="B895" s="9">
        <v>0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f>MAX(-20,MIN(10,$A895-VLOOKUP(YEAR($A895),'Festive dates'!$A$2:$J$5,8,FALSE)))</f>
        <v>-20</v>
      </c>
      <c r="R895" s="9">
        <f>IF(AND($A895&gt;VLOOKUP(YEAR($A895),'Festive dates'!$A$2:$J$5,2,FALSE),$A895&lt;VLOOKUP(YEAR($A895),'Festive dates'!$A$2:$J$5,3,FALSE)),1,0)</f>
        <v>0</v>
      </c>
      <c r="S895" s="9">
        <f>IF($A895=VLOOKUP(YEAR($A895),'Festive dates'!$A$2:$J$5,2,FALSE),1,0)</f>
        <v>0</v>
      </c>
      <c r="T895" s="9">
        <f>IF($A895=VLOOKUP(YEAR($A895),'Festive dates'!$A$2:$J$5,3,FALSE),1,0)</f>
        <v>0</v>
      </c>
      <c r="U895" s="9">
        <f>IF($A895=VLOOKUP(YEAR($A895),'Festive dates'!$A$2:$J$5,4,FALSE),1,0)</f>
        <v>0</v>
      </c>
      <c r="V895" s="9">
        <f>IF(AND($A895&gt;=VLOOKUP(YEAR($A895),'Festive dates'!$A$2:$J$5,9,FALSE),$A895&lt;=VLOOKUP(YEAR($A895),'Festive dates'!$A$2:$J$5,10,FALSE)),1,0)</f>
        <v>1</v>
      </c>
      <c r="W895" s="9">
        <f>IF($A895=VLOOKUP(YEAR($A895),'Festive dates'!$A$2:$J$5,7,FALSE),1,0)</f>
        <v>0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>
      <c r="A896" s="8">
        <v>45911</v>
      </c>
      <c r="B896" s="9">
        <v>0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f>MAX(-20,MIN(10,$A896-VLOOKUP(YEAR($A896),'Festive dates'!$A$2:$J$5,8,FALSE)))</f>
        <v>-20</v>
      </c>
      <c r="R896" s="9">
        <f>IF(AND($A896&gt;VLOOKUP(YEAR($A896),'Festive dates'!$A$2:$J$5,2,FALSE),$A896&lt;VLOOKUP(YEAR($A896),'Festive dates'!$A$2:$J$5,3,FALSE)),1,0)</f>
        <v>0</v>
      </c>
      <c r="S896" s="9">
        <f>IF($A896=VLOOKUP(YEAR($A896),'Festive dates'!$A$2:$J$5,2,FALSE),1,0)</f>
        <v>0</v>
      </c>
      <c r="T896" s="9">
        <f>IF($A896=VLOOKUP(YEAR($A896),'Festive dates'!$A$2:$J$5,3,FALSE),1,0)</f>
        <v>0</v>
      </c>
      <c r="U896" s="9">
        <f>IF($A896=VLOOKUP(YEAR($A896),'Festive dates'!$A$2:$J$5,4,FALSE),1,0)</f>
        <v>0</v>
      </c>
      <c r="V896" s="9">
        <f>IF(AND($A896&gt;=VLOOKUP(YEAR($A896),'Festive dates'!$A$2:$J$5,9,FALSE),$A896&lt;=VLOOKUP(YEAR($A896),'Festive dates'!$A$2:$J$5,10,FALSE)),1,0)</f>
        <v>1</v>
      </c>
      <c r="W896" s="9">
        <f>IF($A896=VLOOKUP(YEAR($A896),'Festive dates'!$A$2:$J$5,7,FALSE),1,0)</f>
        <v>0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>
      <c r="A897" s="8">
        <v>45912</v>
      </c>
      <c r="B897" s="9">
        <v>0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f>MAX(-20,MIN(10,$A897-VLOOKUP(YEAR($A897),'Festive dates'!$A$2:$J$5,8,FALSE)))</f>
        <v>-20</v>
      </c>
      <c r="R897" s="9">
        <f>IF(AND($A897&gt;VLOOKUP(YEAR($A897),'Festive dates'!$A$2:$J$5,2,FALSE),$A897&lt;VLOOKUP(YEAR($A897),'Festive dates'!$A$2:$J$5,3,FALSE)),1,0)</f>
        <v>0</v>
      </c>
      <c r="S897" s="9">
        <f>IF($A897=VLOOKUP(YEAR($A897),'Festive dates'!$A$2:$J$5,2,FALSE),1,0)</f>
        <v>0</v>
      </c>
      <c r="T897" s="9">
        <f>IF($A897=VLOOKUP(YEAR($A897),'Festive dates'!$A$2:$J$5,3,FALSE),1,0)</f>
        <v>0</v>
      </c>
      <c r="U897" s="9">
        <f>IF($A897=VLOOKUP(YEAR($A897),'Festive dates'!$A$2:$J$5,4,FALSE),1,0)</f>
        <v>0</v>
      </c>
      <c r="V897" s="9">
        <f>IF(AND($A897&gt;=VLOOKUP(YEAR($A897),'Festive dates'!$A$2:$J$5,9,FALSE),$A897&lt;=VLOOKUP(YEAR($A897),'Festive dates'!$A$2:$J$5,10,FALSE)),1,0)</f>
        <v>1</v>
      </c>
      <c r="W897" s="9">
        <f>IF($A897=VLOOKUP(YEAR($A897),'Festive dates'!$A$2:$J$5,7,FALSE),1,0)</f>
        <v>0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>
      <c r="A898" s="8">
        <v>45913</v>
      </c>
      <c r="B898" s="9">
        <v>0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f>MAX(-20,MIN(10,$A898-VLOOKUP(YEAR($A898),'Festive dates'!$A$2:$J$5,8,FALSE)))</f>
        <v>-20</v>
      </c>
      <c r="R898" s="9">
        <f>IF(AND($A898&gt;VLOOKUP(YEAR($A898),'Festive dates'!$A$2:$J$5,2,FALSE),$A898&lt;VLOOKUP(YEAR($A898),'Festive dates'!$A$2:$J$5,3,FALSE)),1,0)</f>
        <v>0</v>
      </c>
      <c r="S898" s="9">
        <f>IF($A898=VLOOKUP(YEAR($A898),'Festive dates'!$A$2:$J$5,2,FALSE),1,0)</f>
        <v>0</v>
      </c>
      <c r="T898" s="9">
        <f>IF($A898=VLOOKUP(YEAR($A898),'Festive dates'!$A$2:$J$5,3,FALSE),1,0)</f>
        <v>0</v>
      </c>
      <c r="U898" s="9">
        <f>IF($A898=VLOOKUP(YEAR($A898),'Festive dates'!$A$2:$J$5,4,FALSE),1,0)</f>
        <v>0</v>
      </c>
      <c r="V898" s="9">
        <f>IF(AND($A898&gt;=VLOOKUP(YEAR($A898),'Festive dates'!$A$2:$J$5,9,FALSE),$A898&lt;=VLOOKUP(YEAR($A898),'Festive dates'!$A$2:$J$5,10,FALSE)),1,0)</f>
        <v>1</v>
      </c>
      <c r="W898" s="9">
        <f>IF($A898=VLOOKUP(YEAR($A898),'Festive dates'!$A$2:$J$5,7,FALSE),1,0)</f>
        <v>0</v>
      </c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>
      <c r="A899" s="8">
        <v>45914</v>
      </c>
      <c r="B899" s="9">
        <v>0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f>MAX(-20,MIN(10,$A899-VLOOKUP(YEAR($A899),'Festive dates'!$A$2:$J$5,8,FALSE)))</f>
        <v>-20</v>
      </c>
      <c r="R899" s="9">
        <f>IF(AND($A899&gt;VLOOKUP(YEAR($A899),'Festive dates'!$A$2:$J$5,2,FALSE),$A899&lt;VLOOKUP(YEAR($A899),'Festive dates'!$A$2:$J$5,3,FALSE)),1,0)</f>
        <v>0</v>
      </c>
      <c r="S899" s="9">
        <f>IF($A899=VLOOKUP(YEAR($A899),'Festive dates'!$A$2:$J$5,2,FALSE),1,0)</f>
        <v>0</v>
      </c>
      <c r="T899" s="9">
        <f>IF($A899=VLOOKUP(YEAR($A899),'Festive dates'!$A$2:$J$5,3,FALSE),1,0)</f>
        <v>0</v>
      </c>
      <c r="U899" s="9">
        <f>IF($A899=VLOOKUP(YEAR($A899),'Festive dates'!$A$2:$J$5,4,FALSE),1,0)</f>
        <v>0</v>
      </c>
      <c r="V899" s="9">
        <f>IF(AND($A899&gt;=VLOOKUP(YEAR($A899),'Festive dates'!$A$2:$J$5,9,FALSE),$A899&lt;=VLOOKUP(YEAR($A899),'Festive dates'!$A$2:$J$5,10,FALSE)),1,0)</f>
        <v>1</v>
      </c>
      <c r="W899" s="9">
        <f>IF($A899=VLOOKUP(YEAR($A899),'Festive dates'!$A$2:$J$5,7,FALSE),1,0)</f>
        <v>0</v>
      </c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>
      <c r="A900" s="8">
        <v>45915</v>
      </c>
      <c r="B900" s="9">
        <v>0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f>MAX(-20,MIN(10,$A900-VLOOKUP(YEAR($A900),'Festive dates'!$A$2:$J$5,8,FALSE)))</f>
        <v>-20</v>
      </c>
      <c r="R900" s="9">
        <f>IF(AND($A900&gt;VLOOKUP(YEAR($A900),'Festive dates'!$A$2:$J$5,2,FALSE),$A900&lt;VLOOKUP(YEAR($A900),'Festive dates'!$A$2:$J$5,3,FALSE)),1,0)</f>
        <v>0</v>
      </c>
      <c r="S900" s="9">
        <f>IF($A900=VLOOKUP(YEAR($A900),'Festive dates'!$A$2:$J$5,2,FALSE),1,0)</f>
        <v>0</v>
      </c>
      <c r="T900" s="9">
        <f>IF($A900=VLOOKUP(YEAR($A900),'Festive dates'!$A$2:$J$5,3,FALSE),1,0)</f>
        <v>0</v>
      </c>
      <c r="U900" s="9">
        <f>IF($A900=VLOOKUP(YEAR($A900),'Festive dates'!$A$2:$J$5,4,FALSE),1,0)</f>
        <v>0</v>
      </c>
      <c r="V900" s="9">
        <f>IF(AND($A900&gt;=VLOOKUP(YEAR($A900),'Festive dates'!$A$2:$J$5,9,FALSE),$A900&lt;=VLOOKUP(YEAR($A900),'Festive dates'!$A$2:$J$5,10,FALSE)),1,0)</f>
        <v>1</v>
      </c>
      <c r="W900" s="9">
        <f>IF($A900=VLOOKUP(YEAR($A900),'Festive dates'!$A$2:$J$5,7,FALSE),1,0)</f>
        <v>0</v>
      </c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>
      <c r="A901" s="8">
        <v>45916</v>
      </c>
      <c r="B901" s="9">
        <v>0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f>MAX(-20,MIN(10,$A901-VLOOKUP(YEAR($A901),'Festive dates'!$A$2:$J$5,8,FALSE)))</f>
        <v>-20</v>
      </c>
      <c r="R901" s="9">
        <f>IF(AND($A901&gt;VLOOKUP(YEAR($A901),'Festive dates'!$A$2:$J$5,2,FALSE),$A901&lt;VLOOKUP(YEAR($A901),'Festive dates'!$A$2:$J$5,3,FALSE)),1,0)</f>
        <v>0</v>
      </c>
      <c r="S901" s="9">
        <f>IF($A901=VLOOKUP(YEAR($A901),'Festive dates'!$A$2:$J$5,2,FALSE),1,0)</f>
        <v>0</v>
      </c>
      <c r="T901" s="9">
        <f>IF($A901=VLOOKUP(YEAR($A901),'Festive dates'!$A$2:$J$5,3,FALSE),1,0)</f>
        <v>0</v>
      </c>
      <c r="U901" s="9">
        <f>IF($A901=VLOOKUP(YEAR($A901),'Festive dates'!$A$2:$J$5,4,FALSE),1,0)</f>
        <v>0</v>
      </c>
      <c r="V901" s="9">
        <f>IF(AND($A901&gt;=VLOOKUP(YEAR($A901),'Festive dates'!$A$2:$J$5,9,FALSE),$A901&lt;=VLOOKUP(YEAR($A901),'Festive dates'!$A$2:$J$5,10,FALSE)),1,0)</f>
        <v>1</v>
      </c>
      <c r="W901" s="9">
        <f>IF($A901=VLOOKUP(YEAR($A901),'Festive dates'!$A$2:$J$5,7,FALSE),1,0)</f>
        <v>0</v>
      </c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>
      <c r="A902" s="8">
        <v>45917</v>
      </c>
      <c r="B902" s="9">
        <v>0</v>
      </c>
      <c r="C902" s="9">
        <v>0</v>
      </c>
      <c r="D902" s="9">
        <v>0</v>
      </c>
      <c r="E902" s="9">
        <v>1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f>MAX(-20,MIN(10,$A902-VLOOKUP(YEAR($A902),'Festive dates'!$A$2:$J$5,8,FALSE)))</f>
        <v>-20</v>
      </c>
      <c r="R902" s="9">
        <f>IF(AND($A902&gt;VLOOKUP(YEAR($A902),'Festive dates'!$A$2:$J$5,2,FALSE),$A902&lt;VLOOKUP(YEAR($A902),'Festive dates'!$A$2:$J$5,3,FALSE)),1,0)</f>
        <v>0</v>
      </c>
      <c r="S902" s="9">
        <f>IF($A902=VLOOKUP(YEAR($A902),'Festive dates'!$A$2:$J$5,2,FALSE),1,0)</f>
        <v>0</v>
      </c>
      <c r="T902" s="9">
        <f>IF($A902=VLOOKUP(YEAR($A902),'Festive dates'!$A$2:$J$5,3,FALSE),1,0)</f>
        <v>0</v>
      </c>
      <c r="U902" s="9">
        <f>IF($A902=VLOOKUP(YEAR($A902),'Festive dates'!$A$2:$J$5,4,FALSE),1,0)</f>
        <v>0</v>
      </c>
      <c r="V902" s="9">
        <f>IF(AND($A902&gt;=VLOOKUP(YEAR($A902),'Festive dates'!$A$2:$J$5,9,FALSE),$A902&lt;=VLOOKUP(YEAR($A902),'Festive dates'!$A$2:$J$5,10,FALSE)),1,0)</f>
        <v>1</v>
      </c>
      <c r="W902" s="9">
        <f>IF($A902=VLOOKUP(YEAR($A902),'Festive dates'!$A$2:$J$5,7,FALSE),1,0)</f>
        <v>0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>
      <c r="A903" s="8">
        <v>45918</v>
      </c>
      <c r="B903" s="9">
        <v>0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f>MAX(-20,MIN(10,$A903-VLOOKUP(YEAR($A903),'Festive dates'!$A$2:$J$5,8,FALSE)))</f>
        <v>-20</v>
      </c>
      <c r="R903" s="9">
        <f>IF(AND($A903&gt;VLOOKUP(YEAR($A903),'Festive dates'!$A$2:$J$5,2,FALSE),$A903&lt;VLOOKUP(YEAR($A903),'Festive dates'!$A$2:$J$5,3,FALSE)),1,0)</f>
        <v>0</v>
      </c>
      <c r="S903" s="9">
        <f>IF($A903=VLOOKUP(YEAR($A903),'Festive dates'!$A$2:$J$5,2,FALSE),1,0)</f>
        <v>0</v>
      </c>
      <c r="T903" s="9">
        <f>IF($A903=VLOOKUP(YEAR($A903),'Festive dates'!$A$2:$J$5,3,FALSE),1,0)</f>
        <v>0</v>
      </c>
      <c r="U903" s="9">
        <f>IF($A903=VLOOKUP(YEAR($A903),'Festive dates'!$A$2:$J$5,4,FALSE),1,0)</f>
        <v>0</v>
      </c>
      <c r="V903" s="9">
        <f>IF(AND($A903&gt;=VLOOKUP(YEAR($A903),'Festive dates'!$A$2:$J$5,9,FALSE),$A903&lt;=VLOOKUP(YEAR($A903),'Festive dates'!$A$2:$J$5,10,FALSE)),1,0)</f>
        <v>1</v>
      </c>
      <c r="W903" s="9">
        <f>IF($A903=VLOOKUP(YEAR($A903),'Festive dates'!$A$2:$J$5,7,FALSE),1,0)</f>
        <v>0</v>
      </c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>
      <c r="A904" s="8">
        <v>45919</v>
      </c>
      <c r="B904" s="9">
        <v>0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f>MAX(-20,MIN(10,$A904-VLOOKUP(YEAR($A904),'Festive dates'!$A$2:$J$5,8,FALSE)))</f>
        <v>-20</v>
      </c>
      <c r="R904" s="9">
        <f>IF(AND($A904&gt;VLOOKUP(YEAR($A904),'Festive dates'!$A$2:$J$5,2,FALSE),$A904&lt;VLOOKUP(YEAR($A904),'Festive dates'!$A$2:$J$5,3,FALSE)),1,0)</f>
        <v>0</v>
      </c>
      <c r="S904" s="9">
        <f>IF($A904=VLOOKUP(YEAR($A904),'Festive dates'!$A$2:$J$5,2,FALSE),1,0)</f>
        <v>0</v>
      </c>
      <c r="T904" s="9">
        <f>IF($A904=VLOOKUP(YEAR($A904),'Festive dates'!$A$2:$J$5,3,FALSE),1,0)</f>
        <v>0</v>
      </c>
      <c r="U904" s="9">
        <f>IF($A904=VLOOKUP(YEAR($A904),'Festive dates'!$A$2:$J$5,4,FALSE),1,0)</f>
        <v>0</v>
      </c>
      <c r="V904" s="9">
        <f>IF(AND($A904&gt;=VLOOKUP(YEAR($A904),'Festive dates'!$A$2:$J$5,9,FALSE),$A904&lt;=VLOOKUP(YEAR($A904),'Festive dates'!$A$2:$J$5,10,FALSE)),1,0)</f>
        <v>1</v>
      </c>
      <c r="W904" s="9">
        <f>IF($A904=VLOOKUP(YEAR($A904),'Festive dates'!$A$2:$J$5,7,FALSE),1,0)</f>
        <v>0</v>
      </c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>
      <c r="A905" s="8">
        <v>45920</v>
      </c>
      <c r="B905" s="9">
        <v>0</v>
      </c>
      <c r="C905" s="9">
        <v>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f>MAX(-20,MIN(10,$A905-VLOOKUP(YEAR($A905),'Festive dates'!$A$2:$J$5,8,FALSE)))</f>
        <v>-20</v>
      </c>
      <c r="R905" s="9">
        <f>IF(AND($A905&gt;VLOOKUP(YEAR($A905),'Festive dates'!$A$2:$J$5,2,FALSE),$A905&lt;VLOOKUP(YEAR($A905),'Festive dates'!$A$2:$J$5,3,FALSE)),1,0)</f>
        <v>0</v>
      </c>
      <c r="S905" s="9">
        <f>IF($A905=VLOOKUP(YEAR($A905),'Festive dates'!$A$2:$J$5,2,FALSE),1,0)</f>
        <v>0</v>
      </c>
      <c r="T905" s="9">
        <f>IF($A905=VLOOKUP(YEAR($A905),'Festive dates'!$A$2:$J$5,3,FALSE),1,0)</f>
        <v>0</v>
      </c>
      <c r="U905" s="9">
        <f>IF($A905=VLOOKUP(YEAR($A905),'Festive dates'!$A$2:$J$5,4,FALSE),1,0)</f>
        <v>0</v>
      </c>
      <c r="V905" s="9">
        <f>IF(AND($A905&gt;=VLOOKUP(YEAR($A905),'Festive dates'!$A$2:$J$5,9,FALSE),$A905&lt;=VLOOKUP(YEAR($A905),'Festive dates'!$A$2:$J$5,10,FALSE)),1,0)</f>
        <v>1</v>
      </c>
      <c r="W905" s="9">
        <f>IF($A905=VLOOKUP(YEAR($A905),'Festive dates'!$A$2:$J$5,7,FALSE),1,0)</f>
        <v>0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>
      <c r="A906" s="8">
        <v>45921</v>
      </c>
      <c r="B906" s="9">
        <v>0</v>
      </c>
      <c r="C906" s="9">
        <v>0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f>MAX(-20,MIN(10,$A906-VLOOKUP(YEAR($A906),'Festive dates'!$A$2:$J$5,8,FALSE)))</f>
        <v>-20</v>
      </c>
      <c r="R906" s="9">
        <f>IF(AND($A906&gt;VLOOKUP(YEAR($A906),'Festive dates'!$A$2:$J$5,2,FALSE),$A906&lt;VLOOKUP(YEAR($A906),'Festive dates'!$A$2:$J$5,3,FALSE)),1,0)</f>
        <v>0</v>
      </c>
      <c r="S906" s="9">
        <f>IF($A906=VLOOKUP(YEAR($A906),'Festive dates'!$A$2:$J$5,2,FALSE),1,0)</f>
        <v>0</v>
      </c>
      <c r="T906" s="9">
        <f>IF($A906=VLOOKUP(YEAR($A906),'Festive dates'!$A$2:$J$5,3,FALSE),1,0)</f>
        <v>0</v>
      </c>
      <c r="U906" s="9">
        <f>IF($A906=VLOOKUP(YEAR($A906),'Festive dates'!$A$2:$J$5,4,FALSE),1,0)</f>
        <v>0</v>
      </c>
      <c r="V906" s="9">
        <f>IF(AND($A906&gt;=VLOOKUP(YEAR($A906),'Festive dates'!$A$2:$J$5,9,FALSE),$A906&lt;=VLOOKUP(YEAR($A906),'Festive dates'!$A$2:$J$5,10,FALSE)),1,0)</f>
        <v>1</v>
      </c>
      <c r="W906" s="9">
        <f>IF($A906=VLOOKUP(YEAR($A906),'Festive dates'!$A$2:$J$5,7,FALSE),1,0)</f>
        <v>0</v>
      </c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>
      <c r="A907" s="8">
        <v>45922</v>
      </c>
      <c r="B907" s="9">
        <v>0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f>MAX(-20,MIN(10,$A907-VLOOKUP(YEAR($A907),'Festive dates'!$A$2:$J$5,8,FALSE)))</f>
        <v>-20</v>
      </c>
      <c r="R907" s="9">
        <f>IF(AND($A907&gt;VLOOKUP(YEAR($A907),'Festive dates'!$A$2:$J$5,2,FALSE),$A907&lt;VLOOKUP(YEAR($A907),'Festive dates'!$A$2:$J$5,3,FALSE)),1,0)</f>
        <v>0</v>
      </c>
      <c r="S907" s="9">
        <f>IF($A907=VLOOKUP(YEAR($A907),'Festive dates'!$A$2:$J$5,2,FALSE),1,0)</f>
        <v>1</v>
      </c>
      <c r="T907" s="9">
        <f>IF($A907=VLOOKUP(YEAR($A907),'Festive dates'!$A$2:$J$5,3,FALSE),1,0)</f>
        <v>0</v>
      </c>
      <c r="U907" s="9">
        <f>IF($A907=VLOOKUP(YEAR($A907),'Festive dates'!$A$2:$J$5,4,FALSE),1,0)</f>
        <v>0</v>
      </c>
      <c r="V907" s="9">
        <f>IF(AND($A907&gt;=VLOOKUP(YEAR($A907),'Festive dates'!$A$2:$J$5,9,FALSE),$A907&lt;=VLOOKUP(YEAR($A907),'Festive dates'!$A$2:$J$5,10,FALSE)),1,0)</f>
        <v>0</v>
      </c>
      <c r="W907" s="9">
        <f>IF($A907=VLOOKUP(YEAR($A907),'Festive dates'!$A$2:$J$5,7,FALSE),1,0)</f>
        <v>0</v>
      </c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>
      <c r="A908" s="8">
        <v>45923</v>
      </c>
      <c r="B908" s="9">
        <v>0</v>
      </c>
      <c r="C908" s="9">
        <v>0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f>MAX(-20,MIN(10,$A908-VLOOKUP(YEAR($A908),'Festive dates'!$A$2:$J$5,8,FALSE)))</f>
        <v>-20</v>
      </c>
      <c r="R908" s="9">
        <f>IF(AND($A908&gt;VLOOKUP(YEAR($A908),'Festive dates'!$A$2:$J$5,2,FALSE),$A908&lt;VLOOKUP(YEAR($A908),'Festive dates'!$A$2:$J$5,3,FALSE)),1,0)</f>
        <v>1</v>
      </c>
      <c r="S908" s="9">
        <f>IF($A908=VLOOKUP(YEAR($A908),'Festive dates'!$A$2:$J$5,2,FALSE),1,0)</f>
        <v>0</v>
      </c>
      <c r="T908" s="9">
        <f>IF($A908=VLOOKUP(YEAR($A908),'Festive dates'!$A$2:$J$5,3,FALSE),1,0)</f>
        <v>0</v>
      </c>
      <c r="U908" s="9">
        <f>IF($A908=VLOOKUP(YEAR($A908),'Festive dates'!$A$2:$J$5,4,FALSE),1,0)</f>
        <v>0</v>
      </c>
      <c r="V908" s="9">
        <f>IF(AND($A908&gt;=VLOOKUP(YEAR($A908),'Festive dates'!$A$2:$J$5,9,FALSE),$A908&lt;=VLOOKUP(YEAR($A908),'Festive dates'!$A$2:$J$5,10,FALSE)),1,0)</f>
        <v>0</v>
      </c>
      <c r="W908" s="9">
        <f>IF($A908=VLOOKUP(YEAR($A908),'Festive dates'!$A$2:$J$5,7,FALSE),1,0)</f>
        <v>0</v>
      </c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>
      <c r="A909" s="8">
        <v>45924</v>
      </c>
      <c r="B909" s="9">
        <v>0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f>MAX(-20,MIN(10,$A909-VLOOKUP(YEAR($A909),'Festive dates'!$A$2:$J$5,8,FALSE)))</f>
        <v>-20</v>
      </c>
      <c r="R909" s="9">
        <f>IF(AND($A909&gt;VLOOKUP(YEAR($A909),'Festive dates'!$A$2:$J$5,2,FALSE),$A909&lt;VLOOKUP(YEAR($A909),'Festive dates'!$A$2:$J$5,3,FALSE)),1,0)</f>
        <v>1</v>
      </c>
      <c r="S909" s="9">
        <f>IF($A909=VLOOKUP(YEAR($A909),'Festive dates'!$A$2:$J$5,2,FALSE),1,0)</f>
        <v>0</v>
      </c>
      <c r="T909" s="9">
        <f>IF($A909=VLOOKUP(YEAR($A909),'Festive dates'!$A$2:$J$5,3,FALSE),1,0)</f>
        <v>0</v>
      </c>
      <c r="U909" s="9">
        <f>IF($A909=VLOOKUP(YEAR($A909),'Festive dates'!$A$2:$J$5,4,FALSE),1,0)</f>
        <v>0</v>
      </c>
      <c r="V909" s="9">
        <f>IF(AND($A909&gt;=VLOOKUP(YEAR($A909),'Festive dates'!$A$2:$J$5,9,FALSE),$A909&lt;=VLOOKUP(YEAR($A909),'Festive dates'!$A$2:$J$5,10,FALSE)),1,0)</f>
        <v>0</v>
      </c>
      <c r="W909" s="9">
        <f>IF($A909=VLOOKUP(YEAR($A909),'Festive dates'!$A$2:$J$5,7,FALSE),1,0)</f>
        <v>0</v>
      </c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>
      <c r="A910" s="8">
        <v>45925</v>
      </c>
      <c r="B910" s="9">
        <v>0</v>
      </c>
      <c r="C910" s="9">
        <v>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f>MAX(-20,MIN(10,$A910-VLOOKUP(YEAR($A910),'Festive dates'!$A$2:$J$5,8,FALSE)))</f>
        <v>-20</v>
      </c>
      <c r="R910" s="9">
        <f>IF(AND($A910&gt;VLOOKUP(YEAR($A910),'Festive dates'!$A$2:$J$5,2,FALSE),$A910&lt;VLOOKUP(YEAR($A910),'Festive dates'!$A$2:$J$5,3,FALSE)),1,0)</f>
        <v>1</v>
      </c>
      <c r="S910" s="9">
        <f>IF($A910=VLOOKUP(YEAR($A910),'Festive dates'!$A$2:$J$5,2,FALSE),1,0)</f>
        <v>0</v>
      </c>
      <c r="T910" s="9">
        <f>IF($A910=VLOOKUP(YEAR($A910),'Festive dates'!$A$2:$J$5,3,FALSE),1,0)</f>
        <v>0</v>
      </c>
      <c r="U910" s="9">
        <f>IF($A910=VLOOKUP(YEAR($A910),'Festive dates'!$A$2:$J$5,4,FALSE),1,0)</f>
        <v>0</v>
      </c>
      <c r="V910" s="9">
        <f>IF(AND($A910&gt;=VLOOKUP(YEAR($A910),'Festive dates'!$A$2:$J$5,9,FALSE),$A910&lt;=VLOOKUP(YEAR($A910),'Festive dates'!$A$2:$J$5,10,FALSE)),1,0)</f>
        <v>0</v>
      </c>
      <c r="W910" s="9">
        <f>IF($A910=VLOOKUP(YEAR($A910),'Festive dates'!$A$2:$J$5,7,FALSE),1,0)</f>
        <v>0</v>
      </c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>
      <c r="A911" s="8">
        <v>45926</v>
      </c>
      <c r="B911" s="9">
        <v>0</v>
      </c>
      <c r="C911" s="9">
        <v>0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f>MAX(-20,MIN(10,$A911-VLOOKUP(YEAR($A911),'Festive dates'!$A$2:$J$5,8,FALSE)))</f>
        <v>-20</v>
      </c>
      <c r="R911" s="9">
        <f>IF(AND($A911&gt;VLOOKUP(YEAR($A911),'Festive dates'!$A$2:$J$5,2,FALSE),$A911&lt;VLOOKUP(YEAR($A911),'Festive dates'!$A$2:$J$5,3,FALSE)),1,0)</f>
        <v>1</v>
      </c>
      <c r="S911" s="9">
        <f>IF($A911=VLOOKUP(YEAR($A911),'Festive dates'!$A$2:$J$5,2,FALSE),1,0)</f>
        <v>0</v>
      </c>
      <c r="T911" s="9">
        <f>IF($A911=VLOOKUP(YEAR($A911),'Festive dates'!$A$2:$J$5,3,FALSE),1,0)</f>
        <v>0</v>
      </c>
      <c r="U911" s="9">
        <f>IF($A911=VLOOKUP(YEAR($A911),'Festive dates'!$A$2:$J$5,4,FALSE),1,0)</f>
        <v>0</v>
      </c>
      <c r="V911" s="9">
        <f>IF(AND($A911&gt;=VLOOKUP(YEAR($A911),'Festive dates'!$A$2:$J$5,9,FALSE),$A911&lt;=VLOOKUP(YEAR($A911),'Festive dates'!$A$2:$J$5,10,FALSE)),1,0)</f>
        <v>0</v>
      </c>
      <c r="W911" s="9">
        <f>IF($A911=VLOOKUP(YEAR($A911),'Festive dates'!$A$2:$J$5,7,FALSE),1,0)</f>
        <v>0</v>
      </c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>
      <c r="A912" s="8">
        <v>45927</v>
      </c>
      <c r="B912" s="9">
        <v>0</v>
      </c>
      <c r="C912" s="9">
        <v>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f>MAX(-20,MIN(10,$A912-VLOOKUP(YEAR($A912),'Festive dates'!$A$2:$J$5,8,FALSE)))</f>
        <v>-20</v>
      </c>
      <c r="R912" s="9">
        <f>IF(AND($A912&gt;VLOOKUP(YEAR($A912),'Festive dates'!$A$2:$J$5,2,FALSE),$A912&lt;VLOOKUP(YEAR($A912),'Festive dates'!$A$2:$J$5,3,FALSE)),1,0)</f>
        <v>1</v>
      </c>
      <c r="S912" s="9">
        <f>IF($A912=VLOOKUP(YEAR($A912),'Festive dates'!$A$2:$J$5,2,FALSE),1,0)</f>
        <v>0</v>
      </c>
      <c r="T912" s="9">
        <f>IF($A912=VLOOKUP(YEAR($A912),'Festive dates'!$A$2:$J$5,3,FALSE),1,0)</f>
        <v>0</v>
      </c>
      <c r="U912" s="9">
        <f>IF($A912=VLOOKUP(YEAR($A912),'Festive dates'!$A$2:$J$5,4,FALSE),1,0)</f>
        <v>0</v>
      </c>
      <c r="V912" s="9">
        <f>IF(AND($A912&gt;=VLOOKUP(YEAR($A912),'Festive dates'!$A$2:$J$5,9,FALSE),$A912&lt;=VLOOKUP(YEAR($A912),'Festive dates'!$A$2:$J$5,10,FALSE)),1,0)</f>
        <v>0</v>
      </c>
      <c r="W912" s="9">
        <f>IF($A912=VLOOKUP(YEAR($A912),'Festive dates'!$A$2:$J$5,7,FALSE),1,0)</f>
        <v>0</v>
      </c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>
      <c r="A913" s="8">
        <v>45928</v>
      </c>
      <c r="B913" s="9">
        <v>0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f>MAX(-20,MIN(10,$A913-VLOOKUP(YEAR($A913),'Festive dates'!$A$2:$J$5,8,FALSE)))</f>
        <v>-20</v>
      </c>
      <c r="R913" s="9">
        <f>IF(AND($A913&gt;VLOOKUP(YEAR($A913),'Festive dates'!$A$2:$J$5,2,FALSE),$A913&lt;VLOOKUP(YEAR($A913),'Festive dates'!$A$2:$J$5,3,FALSE)),1,0)</f>
        <v>1</v>
      </c>
      <c r="S913" s="9">
        <f>IF($A913=VLOOKUP(YEAR($A913),'Festive dates'!$A$2:$J$5,2,FALSE),1,0)</f>
        <v>0</v>
      </c>
      <c r="T913" s="9">
        <f>IF($A913=VLOOKUP(YEAR($A913),'Festive dates'!$A$2:$J$5,3,FALSE),1,0)</f>
        <v>0</v>
      </c>
      <c r="U913" s="9">
        <f>IF($A913=VLOOKUP(YEAR($A913),'Festive dates'!$A$2:$J$5,4,FALSE),1,0)</f>
        <v>0</v>
      </c>
      <c r="V913" s="9">
        <f>IF(AND($A913&gt;=VLOOKUP(YEAR($A913),'Festive dates'!$A$2:$J$5,9,FALSE),$A913&lt;=VLOOKUP(YEAR($A913),'Festive dates'!$A$2:$J$5,10,FALSE)),1,0)</f>
        <v>0</v>
      </c>
      <c r="W913" s="9">
        <f>IF($A913=VLOOKUP(YEAR($A913),'Festive dates'!$A$2:$J$5,7,FALSE),1,0)</f>
        <v>0</v>
      </c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>
      <c r="A914" s="8">
        <v>45929</v>
      </c>
      <c r="B914" s="9">
        <v>0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f>MAX(-20,MIN(10,$A914-VLOOKUP(YEAR($A914),'Festive dates'!$A$2:$J$5,8,FALSE)))</f>
        <v>-20</v>
      </c>
      <c r="R914" s="9">
        <f>IF(AND($A914&gt;VLOOKUP(YEAR($A914),'Festive dates'!$A$2:$J$5,2,FALSE),$A914&lt;VLOOKUP(YEAR($A914),'Festive dates'!$A$2:$J$5,3,FALSE)),1,0)</f>
        <v>1</v>
      </c>
      <c r="S914" s="9">
        <f>IF($A914=VLOOKUP(YEAR($A914),'Festive dates'!$A$2:$J$5,2,FALSE),1,0)</f>
        <v>0</v>
      </c>
      <c r="T914" s="9">
        <f>IF($A914=VLOOKUP(YEAR($A914),'Festive dates'!$A$2:$J$5,3,FALSE),1,0)</f>
        <v>0</v>
      </c>
      <c r="U914" s="9">
        <f>IF($A914=VLOOKUP(YEAR($A914),'Festive dates'!$A$2:$J$5,4,FALSE),1,0)</f>
        <v>0</v>
      </c>
      <c r="V914" s="9">
        <f>IF(AND($A914&gt;=VLOOKUP(YEAR($A914),'Festive dates'!$A$2:$J$5,9,FALSE),$A914&lt;=VLOOKUP(YEAR($A914),'Festive dates'!$A$2:$J$5,10,FALSE)),1,0)</f>
        <v>0</v>
      </c>
      <c r="W914" s="9">
        <f>IF($A914=VLOOKUP(YEAR($A914),'Festive dates'!$A$2:$J$5,7,FALSE),1,0)</f>
        <v>0</v>
      </c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>
      <c r="A915" s="8">
        <v>45930</v>
      </c>
      <c r="B915" s="9">
        <v>0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f>MAX(-20,MIN(10,$A915-VLOOKUP(YEAR($A915),'Festive dates'!$A$2:$J$5,8,FALSE)))</f>
        <v>-20</v>
      </c>
      <c r="R915" s="9">
        <f>IF(AND($A915&gt;VLOOKUP(YEAR($A915),'Festive dates'!$A$2:$J$5,2,FALSE),$A915&lt;VLOOKUP(YEAR($A915),'Festive dates'!$A$2:$J$5,3,FALSE)),1,0)</f>
        <v>1</v>
      </c>
      <c r="S915" s="9">
        <f>IF($A915=VLOOKUP(YEAR($A915),'Festive dates'!$A$2:$J$5,2,FALSE),1,0)</f>
        <v>0</v>
      </c>
      <c r="T915" s="9">
        <f>IF($A915=VLOOKUP(YEAR($A915),'Festive dates'!$A$2:$J$5,3,FALSE),1,0)</f>
        <v>0</v>
      </c>
      <c r="U915" s="9">
        <f>IF($A915=VLOOKUP(YEAR($A915),'Festive dates'!$A$2:$J$5,4,FALSE),1,0)</f>
        <v>0</v>
      </c>
      <c r="V915" s="9">
        <f>IF(AND($A915&gt;=VLOOKUP(YEAR($A915),'Festive dates'!$A$2:$J$5,9,FALSE),$A915&lt;=VLOOKUP(YEAR($A915),'Festive dates'!$A$2:$J$5,10,FALSE)),1,0)</f>
        <v>0</v>
      </c>
      <c r="W915" s="9">
        <f>IF($A915=VLOOKUP(YEAR($A915),'Festive dates'!$A$2:$J$5,7,FALSE),1,0)</f>
        <v>0</v>
      </c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>
      <c r="A916" s="8">
        <v>45931</v>
      </c>
      <c r="B916" s="9">
        <v>0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f>MAX(-20,MIN(10,$A916-VLOOKUP(YEAR($A916),'Festive dates'!$A$2:$J$5,8,FALSE)))</f>
        <v>-19</v>
      </c>
      <c r="R916" s="9">
        <f>IF(AND($A916&gt;VLOOKUP(YEAR($A916),'Festive dates'!$A$2:$J$5,2,FALSE),$A916&lt;VLOOKUP(YEAR($A916),'Festive dates'!$A$2:$J$5,3,FALSE)),1,0)</f>
        <v>0</v>
      </c>
      <c r="S916" s="9">
        <f>IF($A916=VLOOKUP(YEAR($A916),'Festive dates'!$A$2:$J$5,2,FALSE),1,0)</f>
        <v>0</v>
      </c>
      <c r="T916" s="9">
        <f>IF($A916=VLOOKUP(YEAR($A916),'Festive dates'!$A$2:$J$5,3,FALSE),1,0)</f>
        <v>1</v>
      </c>
      <c r="U916" s="9">
        <f>IF($A916=VLOOKUP(YEAR($A916),'Festive dates'!$A$2:$J$5,4,FALSE),1,0)</f>
        <v>0</v>
      </c>
      <c r="V916" s="9">
        <f>IF(AND($A916&gt;=VLOOKUP(YEAR($A916),'Festive dates'!$A$2:$J$5,9,FALSE),$A916&lt;=VLOOKUP(YEAR($A916),'Festive dates'!$A$2:$J$5,10,FALSE)),1,0)</f>
        <v>0</v>
      </c>
      <c r="W916" s="9">
        <f>IF($A916=VLOOKUP(YEAR($A916),'Festive dates'!$A$2:$J$5,7,FALSE),1,0)</f>
        <v>0</v>
      </c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>
      <c r="A917" s="8">
        <v>45932</v>
      </c>
      <c r="B917" s="9">
        <v>0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f>MAX(-20,MIN(10,$A917-VLOOKUP(YEAR($A917),'Festive dates'!$A$2:$J$5,8,FALSE)))</f>
        <v>-18</v>
      </c>
      <c r="R917" s="9">
        <f>IF(AND($A917&gt;VLOOKUP(YEAR($A917),'Festive dates'!$A$2:$J$5,2,FALSE),$A917&lt;VLOOKUP(YEAR($A917),'Festive dates'!$A$2:$J$5,3,FALSE)),1,0)</f>
        <v>0</v>
      </c>
      <c r="S917" s="9">
        <f>IF($A917=VLOOKUP(YEAR($A917),'Festive dates'!$A$2:$J$5,2,FALSE),1,0)</f>
        <v>0</v>
      </c>
      <c r="T917" s="9">
        <f>IF($A917=VLOOKUP(YEAR($A917),'Festive dates'!$A$2:$J$5,3,FALSE),1,0)</f>
        <v>0</v>
      </c>
      <c r="U917" s="9">
        <f>IF($A917=VLOOKUP(YEAR($A917),'Festive dates'!$A$2:$J$5,4,FALSE),1,0)</f>
        <v>1</v>
      </c>
      <c r="V917" s="9">
        <f>IF(AND($A917&gt;=VLOOKUP(YEAR($A917),'Festive dates'!$A$2:$J$5,9,FALSE),$A917&lt;=VLOOKUP(YEAR($A917),'Festive dates'!$A$2:$J$5,10,FALSE)),1,0)</f>
        <v>0</v>
      </c>
      <c r="W917" s="9">
        <f>IF($A917=VLOOKUP(YEAR($A917),'Festive dates'!$A$2:$J$5,7,FALSE),1,0)</f>
        <v>0</v>
      </c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>
      <c r="A918" s="8">
        <v>45933</v>
      </c>
      <c r="B918" s="9">
        <v>0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f>MAX(-20,MIN(10,$A918-VLOOKUP(YEAR($A918),'Festive dates'!$A$2:$J$5,8,FALSE)))</f>
        <v>-17</v>
      </c>
      <c r="R918" s="9">
        <f>IF(AND($A918&gt;VLOOKUP(YEAR($A918),'Festive dates'!$A$2:$J$5,2,FALSE),$A918&lt;VLOOKUP(YEAR($A918),'Festive dates'!$A$2:$J$5,3,FALSE)),1,0)</f>
        <v>0</v>
      </c>
      <c r="S918" s="9">
        <f>IF($A918=VLOOKUP(YEAR($A918),'Festive dates'!$A$2:$J$5,2,FALSE),1,0)</f>
        <v>0</v>
      </c>
      <c r="T918" s="9">
        <f>IF($A918=VLOOKUP(YEAR($A918),'Festive dates'!$A$2:$J$5,3,FALSE),1,0)</f>
        <v>0</v>
      </c>
      <c r="U918" s="9">
        <f>IF($A918=VLOOKUP(YEAR($A918),'Festive dates'!$A$2:$J$5,4,FALSE),1,0)</f>
        <v>0</v>
      </c>
      <c r="V918" s="9">
        <f>IF(AND($A918&gt;=VLOOKUP(YEAR($A918),'Festive dates'!$A$2:$J$5,9,FALSE),$A918&lt;=VLOOKUP(YEAR($A918),'Festive dates'!$A$2:$J$5,10,FALSE)),1,0)</f>
        <v>0</v>
      </c>
      <c r="W918" s="9">
        <f>IF($A918=VLOOKUP(YEAR($A918),'Festive dates'!$A$2:$J$5,7,FALSE),1,0)</f>
        <v>0</v>
      </c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>
      <c r="A919" s="8">
        <v>45934</v>
      </c>
      <c r="B919" s="9">
        <v>0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f>MAX(-20,MIN(10,$A919-VLOOKUP(YEAR($A919),'Festive dates'!$A$2:$J$5,8,FALSE)))</f>
        <v>-16</v>
      </c>
      <c r="R919" s="9">
        <f>IF(AND($A919&gt;VLOOKUP(YEAR($A919),'Festive dates'!$A$2:$J$5,2,FALSE),$A919&lt;VLOOKUP(YEAR($A919),'Festive dates'!$A$2:$J$5,3,FALSE)),1,0)</f>
        <v>0</v>
      </c>
      <c r="S919" s="9">
        <f>IF($A919=VLOOKUP(YEAR($A919),'Festive dates'!$A$2:$J$5,2,FALSE),1,0)</f>
        <v>0</v>
      </c>
      <c r="T919" s="9">
        <f>IF($A919=VLOOKUP(YEAR($A919),'Festive dates'!$A$2:$J$5,3,FALSE),1,0)</f>
        <v>0</v>
      </c>
      <c r="U919" s="9">
        <f>IF($A919=VLOOKUP(YEAR($A919),'Festive dates'!$A$2:$J$5,4,FALSE),1,0)</f>
        <v>0</v>
      </c>
      <c r="V919" s="9">
        <f>IF(AND($A919&gt;=VLOOKUP(YEAR($A919),'Festive dates'!$A$2:$J$5,9,FALSE),$A919&lt;=VLOOKUP(YEAR($A919),'Festive dates'!$A$2:$J$5,10,FALSE)),1,0)</f>
        <v>0</v>
      </c>
      <c r="W919" s="9">
        <f>IF($A919=VLOOKUP(YEAR($A919),'Festive dates'!$A$2:$J$5,7,FALSE),1,0)</f>
        <v>0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>
      <c r="A920" s="8">
        <v>45935</v>
      </c>
      <c r="B920" s="9">
        <v>0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f>MAX(-20,MIN(10,$A920-VLOOKUP(YEAR($A920),'Festive dates'!$A$2:$J$5,8,FALSE)))</f>
        <v>-15</v>
      </c>
      <c r="R920" s="9">
        <f>IF(AND($A920&gt;VLOOKUP(YEAR($A920),'Festive dates'!$A$2:$J$5,2,FALSE),$A920&lt;VLOOKUP(YEAR($A920),'Festive dates'!$A$2:$J$5,3,FALSE)),1,0)</f>
        <v>0</v>
      </c>
      <c r="S920" s="9">
        <f>IF($A920=VLOOKUP(YEAR($A920),'Festive dates'!$A$2:$J$5,2,FALSE),1,0)</f>
        <v>0</v>
      </c>
      <c r="T920" s="9">
        <f>IF($A920=VLOOKUP(YEAR($A920),'Festive dates'!$A$2:$J$5,3,FALSE),1,0)</f>
        <v>0</v>
      </c>
      <c r="U920" s="9">
        <f>IF($A920=VLOOKUP(YEAR($A920),'Festive dates'!$A$2:$J$5,4,FALSE),1,0)</f>
        <v>0</v>
      </c>
      <c r="V920" s="9">
        <f>IF(AND($A920&gt;=VLOOKUP(YEAR($A920),'Festive dates'!$A$2:$J$5,9,FALSE),$A920&lt;=VLOOKUP(YEAR($A920),'Festive dates'!$A$2:$J$5,10,FALSE)),1,0)</f>
        <v>0</v>
      </c>
      <c r="W920" s="9">
        <f>IF($A920=VLOOKUP(YEAR($A920),'Festive dates'!$A$2:$J$5,7,FALSE),1,0)</f>
        <v>0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>
      <c r="A921" s="8">
        <v>45936</v>
      </c>
      <c r="B921" s="9">
        <v>0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f>MAX(-20,MIN(10,$A921-VLOOKUP(YEAR($A921),'Festive dates'!$A$2:$J$5,8,FALSE)))</f>
        <v>-14</v>
      </c>
      <c r="R921" s="9">
        <f>IF(AND($A921&gt;VLOOKUP(YEAR($A921),'Festive dates'!$A$2:$J$5,2,FALSE),$A921&lt;VLOOKUP(YEAR($A921),'Festive dates'!$A$2:$J$5,3,FALSE)),1,0)</f>
        <v>0</v>
      </c>
      <c r="S921" s="9">
        <f>IF($A921=VLOOKUP(YEAR($A921),'Festive dates'!$A$2:$J$5,2,FALSE),1,0)</f>
        <v>0</v>
      </c>
      <c r="T921" s="9">
        <f>IF($A921=VLOOKUP(YEAR($A921),'Festive dates'!$A$2:$J$5,3,FALSE),1,0)</f>
        <v>0</v>
      </c>
      <c r="U921" s="9">
        <f>IF($A921=VLOOKUP(YEAR($A921),'Festive dates'!$A$2:$J$5,4,FALSE),1,0)</f>
        <v>0</v>
      </c>
      <c r="V921" s="9">
        <f>IF(AND($A921&gt;=VLOOKUP(YEAR($A921),'Festive dates'!$A$2:$J$5,9,FALSE),$A921&lt;=VLOOKUP(YEAR($A921),'Festive dates'!$A$2:$J$5,10,FALSE)),1,0)</f>
        <v>0</v>
      </c>
      <c r="W921" s="9">
        <f>IF($A921=VLOOKUP(YEAR($A921),'Festive dates'!$A$2:$J$5,7,FALSE),1,0)</f>
        <v>0</v>
      </c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>
      <c r="A922" s="8">
        <v>45937</v>
      </c>
      <c r="B922" s="9">
        <v>0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f>MAX(-20,MIN(10,$A922-VLOOKUP(YEAR($A922),'Festive dates'!$A$2:$J$5,8,FALSE)))</f>
        <v>-13</v>
      </c>
      <c r="R922" s="9">
        <f>IF(AND($A922&gt;VLOOKUP(YEAR($A922),'Festive dates'!$A$2:$J$5,2,FALSE),$A922&lt;VLOOKUP(YEAR($A922),'Festive dates'!$A$2:$J$5,3,FALSE)),1,0)</f>
        <v>0</v>
      </c>
      <c r="S922" s="9">
        <f>IF($A922=VLOOKUP(YEAR($A922),'Festive dates'!$A$2:$J$5,2,FALSE),1,0)</f>
        <v>0</v>
      </c>
      <c r="T922" s="9">
        <f>IF($A922=VLOOKUP(YEAR($A922),'Festive dates'!$A$2:$J$5,3,FALSE),1,0)</f>
        <v>0</v>
      </c>
      <c r="U922" s="9">
        <f>IF($A922=VLOOKUP(YEAR($A922),'Festive dates'!$A$2:$J$5,4,FALSE),1,0)</f>
        <v>0</v>
      </c>
      <c r="V922" s="9">
        <f>IF(AND($A922&gt;=VLOOKUP(YEAR($A922),'Festive dates'!$A$2:$J$5,9,FALSE),$A922&lt;=VLOOKUP(YEAR($A922),'Festive dates'!$A$2:$J$5,10,FALSE)),1,0)</f>
        <v>0</v>
      </c>
      <c r="W922" s="9">
        <f>IF($A922=VLOOKUP(YEAR($A922),'Festive dates'!$A$2:$J$5,7,FALSE),1,0)</f>
        <v>0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>
      <c r="A923" s="8">
        <v>45938</v>
      </c>
      <c r="B923" s="9">
        <v>0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f>MAX(-20,MIN(10,$A923-VLOOKUP(YEAR($A923),'Festive dates'!$A$2:$J$5,8,FALSE)))</f>
        <v>-12</v>
      </c>
      <c r="R923" s="9">
        <f>IF(AND($A923&gt;VLOOKUP(YEAR($A923),'Festive dates'!$A$2:$J$5,2,FALSE),$A923&lt;VLOOKUP(YEAR($A923),'Festive dates'!$A$2:$J$5,3,FALSE)),1,0)</f>
        <v>0</v>
      </c>
      <c r="S923" s="9">
        <f>IF($A923=VLOOKUP(YEAR($A923),'Festive dates'!$A$2:$J$5,2,FALSE),1,0)</f>
        <v>0</v>
      </c>
      <c r="T923" s="9">
        <f>IF($A923=VLOOKUP(YEAR($A923),'Festive dates'!$A$2:$J$5,3,FALSE),1,0)</f>
        <v>0</v>
      </c>
      <c r="U923" s="9">
        <f>IF($A923=VLOOKUP(YEAR($A923),'Festive dates'!$A$2:$J$5,4,FALSE),1,0)</f>
        <v>0</v>
      </c>
      <c r="V923" s="9">
        <f>IF(AND($A923&gt;=VLOOKUP(YEAR($A923),'Festive dates'!$A$2:$J$5,9,FALSE),$A923&lt;=VLOOKUP(YEAR($A923),'Festive dates'!$A$2:$J$5,10,FALSE)),1,0)</f>
        <v>0</v>
      </c>
      <c r="W923" s="9">
        <f>IF($A923=VLOOKUP(YEAR($A923),'Festive dates'!$A$2:$J$5,7,FALSE),1,0)</f>
        <v>0</v>
      </c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>
      <c r="A924" s="8">
        <v>45939</v>
      </c>
      <c r="B924" s="9">
        <v>0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f>MAX(-20,MIN(10,$A924-VLOOKUP(YEAR($A924),'Festive dates'!$A$2:$J$5,8,FALSE)))</f>
        <v>-11</v>
      </c>
      <c r="R924" s="9">
        <f>IF(AND($A924&gt;VLOOKUP(YEAR($A924),'Festive dates'!$A$2:$J$5,2,FALSE),$A924&lt;VLOOKUP(YEAR($A924),'Festive dates'!$A$2:$J$5,3,FALSE)),1,0)</f>
        <v>0</v>
      </c>
      <c r="S924" s="9">
        <f>IF($A924=VLOOKUP(YEAR($A924),'Festive dates'!$A$2:$J$5,2,FALSE),1,0)</f>
        <v>0</v>
      </c>
      <c r="T924" s="9">
        <f>IF($A924=VLOOKUP(YEAR($A924),'Festive dates'!$A$2:$J$5,3,FALSE),1,0)</f>
        <v>0</v>
      </c>
      <c r="U924" s="9">
        <f>IF($A924=VLOOKUP(YEAR($A924),'Festive dates'!$A$2:$J$5,4,FALSE),1,0)</f>
        <v>0</v>
      </c>
      <c r="V924" s="9">
        <f>IF(AND($A924&gt;=VLOOKUP(YEAR($A924),'Festive dates'!$A$2:$J$5,9,FALSE),$A924&lt;=VLOOKUP(YEAR($A924),'Festive dates'!$A$2:$J$5,10,FALSE)),1,0)</f>
        <v>0</v>
      </c>
      <c r="W924" s="9">
        <f>IF($A924=VLOOKUP(YEAR($A924),'Festive dates'!$A$2:$J$5,7,FALSE),1,0)</f>
        <v>0</v>
      </c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>
      <c r="A925" s="8">
        <v>45940</v>
      </c>
      <c r="B925" s="9">
        <v>0</v>
      </c>
      <c r="C925" s="9">
        <v>0</v>
      </c>
      <c r="D925" s="9">
        <v>0</v>
      </c>
      <c r="E925" s="9">
        <v>0</v>
      </c>
      <c r="F925" s="9">
        <v>1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f>MAX(-20,MIN(10,$A925-VLOOKUP(YEAR($A925),'Festive dates'!$A$2:$J$5,8,FALSE)))</f>
        <v>-10</v>
      </c>
      <c r="R925" s="9">
        <f>IF(AND($A925&gt;VLOOKUP(YEAR($A925),'Festive dates'!$A$2:$J$5,2,FALSE),$A925&lt;VLOOKUP(YEAR($A925),'Festive dates'!$A$2:$J$5,3,FALSE)),1,0)</f>
        <v>0</v>
      </c>
      <c r="S925" s="9">
        <f>IF($A925=VLOOKUP(YEAR($A925),'Festive dates'!$A$2:$J$5,2,FALSE),1,0)</f>
        <v>0</v>
      </c>
      <c r="T925" s="9">
        <f>IF($A925=VLOOKUP(YEAR($A925),'Festive dates'!$A$2:$J$5,3,FALSE),1,0)</f>
        <v>0</v>
      </c>
      <c r="U925" s="9">
        <f>IF($A925=VLOOKUP(YEAR($A925),'Festive dates'!$A$2:$J$5,4,FALSE),1,0)</f>
        <v>0</v>
      </c>
      <c r="V925" s="9">
        <f>IF(AND($A925&gt;=VLOOKUP(YEAR($A925),'Festive dates'!$A$2:$J$5,9,FALSE),$A925&lt;=VLOOKUP(YEAR($A925),'Festive dates'!$A$2:$J$5,10,FALSE)),1,0)</f>
        <v>0</v>
      </c>
      <c r="W925" s="9">
        <f>IF($A925=VLOOKUP(YEAR($A925),'Festive dates'!$A$2:$J$5,7,FALSE),1,0)</f>
        <v>0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>
      <c r="A926" s="8">
        <v>45941</v>
      </c>
      <c r="B926" s="9">
        <v>0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f>MAX(-20,MIN(10,$A926-VLOOKUP(YEAR($A926),'Festive dates'!$A$2:$J$5,8,FALSE)))</f>
        <v>-9</v>
      </c>
      <c r="R926" s="9">
        <f>IF(AND($A926&gt;VLOOKUP(YEAR($A926),'Festive dates'!$A$2:$J$5,2,FALSE),$A926&lt;VLOOKUP(YEAR($A926),'Festive dates'!$A$2:$J$5,3,FALSE)),1,0)</f>
        <v>0</v>
      </c>
      <c r="S926" s="9">
        <f>IF($A926=VLOOKUP(YEAR($A926),'Festive dates'!$A$2:$J$5,2,FALSE),1,0)</f>
        <v>0</v>
      </c>
      <c r="T926" s="9">
        <f>IF($A926=VLOOKUP(YEAR($A926),'Festive dates'!$A$2:$J$5,3,FALSE),1,0)</f>
        <v>0</v>
      </c>
      <c r="U926" s="9">
        <f>IF($A926=VLOOKUP(YEAR($A926),'Festive dates'!$A$2:$J$5,4,FALSE),1,0)</f>
        <v>0</v>
      </c>
      <c r="V926" s="9">
        <f>IF(AND($A926&gt;=VLOOKUP(YEAR($A926),'Festive dates'!$A$2:$J$5,9,FALSE),$A926&lt;=VLOOKUP(YEAR($A926),'Festive dates'!$A$2:$J$5,10,FALSE)),1,0)</f>
        <v>0</v>
      </c>
      <c r="W926" s="9">
        <f>IF($A926=VLOOKUP(YEAR($A926),'Festive dates'!$A$2:$J$5,7,FALSE),1,0)</f>
        <v>0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>
      <c r="A927" s="8">
        <v>45942</v>
      </c>
      <c r="B927" s="9">
        <v>0</v>
      </c>
      <c r="C927" s="9">
        <v>0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f>MAX(-20,MIN(10,$A927-VLOOKUP(YEAR($A927),'Festive dates'!$A$2:$J$5,8,FALSE)))</f>
        <v>-8</v>
      </c>
      <c r="R927" s="9">
        <f>IF(AND($A927&gt;VLOOKUP(YEAR($A927),'Festive dates'!$A$2:$J$5,2,FALSE),$A927&lt;VLOOKUP(YEAR($A927),'Festive dates'!$A$2:$J$5,3,FALSE)),1,0)</f>
        <v>0</v>
      </c>
      <c r="S927" s="9">
        <f>IF($A927=VLOOKUP(YEAR($A927),'Festive dates'!$A$2:$J$5,2,FALSE),1,0)</f>
        <v>0</v>
      </c>
      <c r="T927" s="9">
        <f>IF($A927=VLOOKUP(YEAR($A927),'Festive dates'!$A$2:$J$5,3,FALSE),1,0)</f>
        <v>0</v>
      </c>
      <c r="U927" s="9">
        <f>IF($A927=VLOOKUP(YEAR($A927),'Festive dates'!$A$2:$J$5,4,FALSE),1,0)</f>
        <v>0</v>
      </c>
      <c r="V927" s="9">
        <f>IF(AND($A927&gt;=VLOOKUP(YEAR($A927),'Festive dates'!$A$2:$J$5,9,FALSE),$A927&lt;=VLOOKUP(YEAR($A927),'Festive dates'!$A$2:$J$5,10,FALSE)),1,0)</f>
        <v>0</v>
      </c>
      <c r="W927" s="9">
        <f>IF($A927=VLOOKUP(YEAR($A927),'Festive dates'!$A$2:$J$5,7,FALSE),1,0)</f>
        <v>0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>
      <c r="A928" s="8">
        <v>45943</v>
      </c>
      <c r="B928" s="9">
        <v>0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f>MAX(-20,MIN(10,$A928-VLOOKUP(YEAR($A928),'Festive dates'!$A$2:$J$5,8,FALSE)))</f>
        <v>-7</v>
      </c>
      <c r="R928" s="9">
        <f>IF(AND($A928&gt;VLOOKUP(YEAR($A928),'Festive dates'!$A$2:$J$5,2,FALSE),$A928&lt;VLOOKUP(YEAR($A928),'Festive dates'!$A$2:$J$5,3,FALSE)),1,0)</f>
        <v>0</v>
      </c>
      <c r="S928" s="9">
        <f>IF($A928=VLOOKUP(YEAR($A928),'Festive dates'!$A$2:$J$5,2,FALSE),1,0)</f>
        <v>0</v>
      </c>
      <c r="T928" s="9">
        <f>IF($A928=VLOOKUP(YEAR($A928),'Festive dates'!$A$2:$J$5,3,FALSE),1,0)</f>
        <v>0</v>
      </c>
      <c r="U928" s="9">
        <f>IF($A928=VLOOKUP(YEAR($A928),'Festive dates'!$A$2:$J$5,4,FALSE),1,0)</f>
        <v>0</v>
      </c>
      <c r="V928" s="9">
        <f>IF(AND($A928&gt;=VLOOKUP(YEAR($A928),'Festive dates'!$A$2:$J$5,9,FALSE),$A928&lt;=VLOOKUP(YEAR($A928),'Festive dates'!$A$2:$J$5,10,FALSE)),1,0)</f>
        <v>0</v>
      </c>
      <c r="W928" s="9">
        <f>IF($A928=VLOOKUP(YEAR($A928),'Festive dates'!$A$2:$J$5,7,FALSE),1,0)</f>
        <v>0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>
      <c r="A929" s="8">
        <v>45944</v>
      </c>
      <c r="B929" s="9">
        <v>0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f>MAX(-20,MIN(10,$A929-VLOOKUP(YEAR($A929),'Festive dates'!$A$2:$J$5,8,FALSE)))</f>
        <v>-6</v>
      </c>
      <c r="R929" s="9">
        <f>IF(AND($A929&gt;VLOOKUP(YEAR($A929),'Festive dates'!$A$2:$J$5,2,FALSE),$A929&lt;VLOOKUP(YEAR($A929),'Festive dates'!$A$2:$J$5,3,FALSE)),1,0)</f>
        <v>0</v>
      </c>
      <c r="S929" s="9">
        <f>IF($A929=VLOOKUP(YEAR($A929),'Festive dates'!$A$2:$J$5,2,FALSE),1,0)</f>
        <v>0</v>
      </c>
      <c r="T929" s="9">
        <f>IF($A929=VLOOKUP(YEAR($A929),'Festive dates'!$A$2:$J$5,3,FALSE),1,0)</f>
        <v>0</v>
      </c>
      <c r="U929" s="9">
        <f>IF($A929=VLOOKUP(YEAR($A929),'Festive dates'!$A$2:$J$5,4,FALSE),1,0)</f>
        <v>0</v>
      </c>
      <c r="V929" s="9">
        <f>IF(AND($A929&gt;=VLOOKUP(YEAR($A929),'Festive dates'!$A$2:$J$5,9,FALSE),$A929&lt;=VLOOKUP(YEAR($A929),'Festive dates'!$A$2:$J$5,10,FALSE)),1,0)</f>
        <v>0</v>
      </c>
      <c r="W929" s="9">
        <f>IF($A929=VLOOKUP(YEAR($A929),'Festive dates'!$A$2:$J$5,7,FALSE),1,0)</f>
        <v>0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>
      <c r="A930" s="8">
        <v>45945</v>
      </c>
      <c r="B930" s="9">
        <v>0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f>MAX(-20,MIN(10,$A930-VLOOKUP(YEAR($A930),'Festive dates'!$A$2:$J$5,8,FALSE)))</f>
        <v>-5</v>
      </c>
      <c r="R930" s="9">
        <f>IF(AND($A930&gt;VLOOKUP(YEAR($A930),'Festive dates'!$A$2:$J$5,2,FALSE),$A930&lt;VLOOKUP(YEAR($A930),'Festive dates'!$A$2:$J$5,3,FALSE)),1,0)</f>
        <v>0</v>
      </c>
      <c r="S930" s="9">
        <f>IF($A930=VLOOKUP(YEAR($A930),'Festive dates'!$A$2:$J$5,2,FALSE),1,0)</f>
        <v>0</v>
      </c>
      <c r="T930" s="9">
        <f>IF($A930=VLOOKUP(YEAR($A930),'Festive dates'!$A$2:$J$5,3,FALSE),1,0)</f>
        <v>0</v>
      </c>
      <c r="U930" s="9">
        <f>IF($A930=VLOOKUP(YEAR($A930),'Festive dates'!$A$2:$J$5,4,FALSE),1,0)</f>
        <v>0</v>
      </c>
      <c r="V930" s="9">
        <f>IF(AND($A930&gt;=VLOOKUP(YEAR($A930),'Festive dates'!$A$2:$J$5,9,FALSE),$A930&lt;=VLOOKUP(YEAR($A930),'Festive dates'!$A$2:$J$5,10,FALSE)),1,0)</f>
        <v>0</v>
      </c>
      <c r="W930" s="9">
        <f>IF($A930=VLOOKUP(YEAR($A930),'Festive dates'!$A$2:$J$5,7,FALSE),1,0)</f>
        <v>0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>
      <c r="A931" s="8">
        <v>45946</v>
      </c>
      <c r="B931" s="9">
        <v>0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f>MAX(-20,MIN(10,$A931-VLOOKUP(YEAR($A931),'Festive dates'!$A$2:$J$5,8,FALSE)))</f>
        <v>-4</v>
      </c>
      <c r="R931" s="9">
        <f>IF(AND($A931&gt;VLOOKUP(YEAR($A931),'Festive dates'!$A$2:$J$5,2,FALSE),$A931&lt;VLOOKUP(YEAR($A931),'Festive dates'!$A$2:$J$5,3,FALSE)),1,0)</f>
        <v>0</v>
      </c>
      <c r="S931" s="9">
        <f>IF($A931=VLOOKUP(YEAR($A931),'Festive dates'!$A$2:$J$5,2,FALSE),1,0)</f>
        <v>0</v>
      </c>
      <c r="T931" s="9">
        <f>IF($A931=VLOOKUP(YEAR($A931),'Festive dates'!$A$2:$J$5,3,FALSE),1,0)</f>
        <v>0</v>
      </c>
      <c r="U931" s="9">
        <f>IF($A931=VLOOKUP(YEAR($A931),'Festive dates'!$A$2:$J$5,4,FALSE),1,0)</f>
        <v>0</v>
      </c>
      <c r="V931" s="9">
        <f>IF(AND($A931&gt;=VLOOKUP(YEAR($A931),'Festive dates'!$A$2:$J$5,9,FALSE),$A931&lt;=VLOOKUP(YEAR($A931),'Festive dates'!$A$2:$J$5,10,FALSE)),1,0)</f>
        <v>0</v>
      </c>
      <c r="W931" s="9">
        <f>IF($A931=VLOOKUP(YEAR($A931),'Festive dates'!$A$2:$J$5,7,FALSE),1,0)</f>
        <v>0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>
      <c r="A932" s="8">
        <v>45947</v>
      </c>
      <c r="B932" s="9">
        <v>0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f>MAX(-20,MIN(10,$A932-VLOOKUP(YEAR($A932),'Festive dates'!$A$2:$J$5,8,FALSE)))</f>
        <v>-3</v>
      </c>
      <c r="R932" s="9">
        <f>IF(AND($A932&gt;VLOOKUP(YEAR($A932),'Festive dates'!$A$2:$J$5,2,FALSE),$A932&lt;VLOOKUP(YEAR($A932),'Festive dates'!$A$2:$J$5,3,FALSE)),1,0)</f>
        <v>0</v>
      </c>
      <c r="S932" s="9">
        <f>IF($A932=VLOOKUP(YEAR($A932),'Festive dates'!$A$2:$J$5,2,FALSE),1,0)</f>
        <v>0</v>
      </c>
      <c r="T932" s="9">
        <f>IF($A932=VLOOKUP(YEAR($A932),'Festive dates'!$A$2:$J$5,3,FALSE),1,0)</f>
        <v>0</v>
      </c>
      <c r="U932" s="9">
        <f>IF($A932=VLOOKUP(YEAR($A932),'Festive dates'!$A$2:$J$5,4,FALSE),1,0)</f>
        <v>0</v>
      </c>
      <c r="V932" s="9">
        <f>IF(AND($A932&gt;=VLOOKUP(YEAR($A932),'Festive dates'!$A$2:$J$5,9,FALSE),$A932&lt;=VLOOKUP(YEAR($A932),'Festive dates'!$A$2:$J$5,10,FALSE)),1,0)</f>
        <v>0</v>
      </c>
      <c r="W932" s="9">
        <f>IF($A932=VLOOKUP(YEAR($A932),'Festive dates'!$A$2:$J$5,7,FALSE),1,0)</f>
        <v>0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>
      <c r="A933" s="8">
        <v>45948</v>
      </c>
      <c r="B933" s="9">
        <v>0</v>
      </c>
      <c r="C933" s="9">
        <v>0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f>MAX(-20,MIN(10,$A933-VLOOKUP(YEAR($A933),'Festive dates'!$A$2:$J$5,8,FALSE)))</f>
        <v>-2</v>
      </c>
      <c r="R933" s="9">
        <f>IF(AND($A933&gt;VLOOKUP(YEAR($A933),'Festive dates'!$A$2:$J$5,2,FALSE),$A933&lt;VLOOKUP(YEAR($A933),'Festive dates'!$A$2:$J$5,3,FALSE)),1,0)</f>
        <v>0</v>
      </c>
      <c r="S933" s="9">
        <f>IF($A933=VLOOKUP(YEAR($A933),'Festive dates'!$A$2:$J$5,2,FALSE),1,0)</f>
        <v>0</v>
      </c>
      <c r="T933" s="9">
        <f>IF($A933=VLOOKUP(YEAR($A933),'Festive dates'!$A$2:$J$5,3,FALSE),1,0)</f>
        <v>0</v>
      </c>
      <c r="U933" s="9">
        <f>IF($A933=VLOOKUP(YEAR($A933),'Festive dates'!$A$2:$J$5,4,FALSE),1,0)</f>
        <v>0</v>
      </c>
      <c r="V933" s="9">
        <f>IF(AND($A933&gt;=VLOOKUP(YEAR($A933),'Festive dates'!$A$2:$J$5,9,FALSE),$A933&lt;=VLOOKUP(YEAR($A933),'Festive dates'!$A$2:$J$5,10,FALSE)),1,0)</f>
        <v>0</v>
      </c>
      <c r="W933" s="9">
        <f>IF($A933=VLOOKUP(YEAR($A933),'Festive dates'!$A$2:$J$5,7,FALSE),1,0)</f>
        <v>1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>
      <c r="A934" s="8">
        <v>45949</v>
      </c>
      <c r="B934" s="9">
        <v>0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f>MAX(-20,MIN(10,$A934-VLOOKUP(YEAR($A934),'Festive dates'!$A$2:$J$5,8,FALSE)))</f>
        <v>-1</v>
      </c>
      <c r="R934" s="9">
        <f>IF(AND($A934&gt;VLOOKUP(YEAR($A934),'Festive dates'!$A$2:$J$5,2,FALSE),$A934&lt;VLOOKUP(YEAR($A934),'Festive dates'!$A$2:$J$5,3,FALSE)),1,0)</f>
        <v>0</v>
      </c>
      <c r="S934" s="9">
        <f>IF($A934=VLOOKUP(YEAR($A934),'Festive dates'!$A$2:$J$5,2,FALSE),1,0)</f>
        <v>0</v>
      </c>
      <c r="T934" s="9">
        <f>IF($A934=VLOOKUP(YEAR($A934),'Festive dates'!$A$2:$J$5,3,FALSE),1,0)</f>
        <v>0</v>
      </c>
      <c r="U934" s="9">
        <f>IF($A934=VLOOKUP(YEAR($A934),'Festive dates'!$A$2:$J$5,4,FALSE),1,0)</f>
        <v>0</v>
      </c>
      <c r="V934" s="9">
        <f>IF(AND($A934&gt;=VLOOKUP(YEAR($A934),'Festive dates'!$A$2:$J$5,9,FALSE),$A934&lt;=VLOOKUP(YEAR($A934),'Festive dates'!$A$2:$J$5,10,FALSE)),1,0)</f>
        <v>0</v>
      </c>
      <c r="W934" s="9">
        <f>IF($A934=VLOOKUP(YEAR($A934),'Festive dates'!$A$2:$J$5,7,FALSE),1,0)</f>
        <v>0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>
      <c r="A935" s="8">
        <v>45950</v>
      </c>
      <c r="B935" s="9">
        <v>0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f>MAX(-20,MIN(10,$A935-VLOOKUP(YEAR($A935),'Festive dates'!$A$2:$J$5,8,FALSE)))</f>
        <v>0</v>
      </c>
      <c r="R935" s="9">
        <f>IF(AND($A935&gt;VLOOKUP(YEAR($A935),'Festive dates'!$A$2:$J$5,2,FALSE),$A935&lt;VLOOKUP(YEAR($A935),'Festive dates'!$A$2:$J$5,3,FALSE)),1,0)</f>
        <v>0</v>
      </c>
      <c r="S935" s="9">
        <f>IF($A935=VLOOKUP(YEAR($A935),'Festive dates'!$A$2:$J$5,2,FALSE),1,0)</f>
        <v>0</v>
      </c>
      <c r="T935" s="9">
        <f>IF($A935=VLOOKUP(YEAR($A935),'Festive dates'!$A$2:$J$5,3,FALSE),1,0)</f>
        <v>0</v>
      </c>
      <c r="U935" s="9">
        <f>IF($A935=VLOOKUP(YEAR($A935),'Festive dates'!$A$2:$J$5,4,FALSE),1,0)</f>
        <v>0</v>
      </c>
      <c r="V935" s="9">
        <f>IF(AND($A935&gt;=VLOOKUP(YEAR($A935),'Festive dates'!$A$2:$J$5,9,FALSE),$A935&lt;=VLOOKUP(YEAR($A935),'Festive dates'!$A$2:$J$5,10,FALSE)),1,0)</f>
        <v>0</v>
      </c>
      <c r="W935" s="9">
        <f>IF($A935=VLOOKUP(YEAR($A935),'Festive dates'!$A$2:$J$5,7,FALSE),1,0)</f>
        <v>0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>
      <c r="A936" s="8">
        <v>45951</v>
      </c>
      <c r="B936" s="9">
        <v>0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f>MAX(-20,MIN(10,$A936-VLOOKUP(YEAR($A936),'Festive dates'!$A$2:$J$5,8,FALSE)))</f>
        <v>1</v>
      </c>
      <c r="R936" s="9">
        <f>IF(AND($A936&gt;VLOOKUP(YEAR($A936),'Festive dates'!$A$2:$J$5,2,FALSE),$A936&lt;VLOOKUP(YEAR($A936),'Festive dates'!$A$2:$J$5,3,FALSE)),1,0)</f>
        <v>0</v>
      </c>
      <c r="S936" s="9">
        <f>IF($A936=VLOOKUP(YEAR($A936),'Festive dates'!$A$2:$J$5,2,FALSE),1,0)</f>
        <v>0</v>
      </c>
      <c r="T936" s="9">
        <f>IF($A936=VLOOKUP(YEAR($A936),'Festive dates'!$A$2:$J$5,3,FALSE),1,0)</f>
        <v>0</v>
      </c>
      <c r="U936" s="9">
        <f>IF($A936=VLOOKUP(YEAR($A936),'Festive dates'!$A$2:$J$5,4,FALSE),1,0)</f>
        <v>0</v>
      </c>
      <c r="V936" s="9">
        <f>IF(AND($A936&gt;=VLOOKUP(YEAR($A936),'Festive dates'!$A$2:$J$5,9,FALSE),$A936&lt;=VLOOKUP(YEAR($A936),'Festive dates'!$A$2:$J$5,10,FALSE)),1,0)</f>
        <v>0</v>
      </c>
      <c r="W936" s="9">
        <f>IF($A936=VLOOKUP(YEAR($A936),'Festive dates'!$A$2:$J$5,7,FALSE),1,0)</f>
        <v>0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>
      <c r="A937" s="8">
        <v>45952</v>
      </c>
      <c r="B937" s="9">
        <v>0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f>MAX(-20,MIN(10,$A937-VLOOKUP(YEAR($A937),'Festive dates'!$A$2:$J$5,8,FALSE)))</f>
        <v>2</v>
      </c>
      <c r="R937" s="9">
        <f>IF(AND($A937&gt;VLOOKUP(YEAR($A937),'Festive dates'!$A$2:$J$5,2,FALSE),$A937&lt;VLOOKUP(YEAR($A937),'Festive dates'!$A$2:$J$5,3,FALSE)),1,0)</f>
        <v>0</v>
      </c>
      <c r="S937" s="9">
        <f>IF($A937=VLOOKUP(YEAR($A937),'Festive dates'!$A$2:$J$5,2,FALSE),1,0)</f>
        <v>0</v>
      </c>
      <c r="T937" s="9">
        <f>IF($A937=VLOOKUP(YEAR($A937),'Festive dates'!$A$2:$J$5,3,FALSE),1,0)</f>
        <v>0</v>
      </c>
      <c r="U937" s="9">
        <f>IF($A937=VLOOKUP(YEAR($A937),'Festive dates'!$A$2:$J$5,4,FALSE),1,0)</f>
        <v>0</v>
      </c>
      <c r="V937" s="9">
        <f>IF(AND($A937&gt;=VLOOKUP(YEAR($A937),'Festive dates'!$A$2:$J$5,9,FALSE),$A937&lt;=VLOOKUP(YEAR($A937),'Festive dates'!$A$2:$J$5,10,FALSE)),1,0)</f>
        <v>0</v>
      </c>
      <c r="W937" s="9">
        <f>IF($A937=VLOOKUP(YEAR($A937),'Festive dates'!$A$2:$J$5,7,FALSE),1,0)</f>
        <v>0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>
      <c r="A938" s="8">
        <v>45953</v>
      </c>
      <c r="B938" s="9">
        <v>0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f>MAX(-20,MIN(10,$A938-VLOOKUP(YEAR($A938),'Festive dates'!$A$2:$J$5,8,FALSE)))</f>
        <v>3</v>
      </c>
      <c r="R938" s="9">
        <f>IF(AND($A938&gt;VLOOKUP(YEAR($A938),'Festive dates'!$A$2:$J$5,2,FALSE),$A938&lt;VLOOKUP(YEAR($A938),'Festive dates'!$A$2:$J$5,3,FALSE)),1,0)</f>
        <v>0</v>
      </c>
      <c r="S938" s="9">
        <f>IF($A938=VLOOKUP(YEAR($A938),'Festive dates'!$A$2:$J$5,2,FALSE),1,0)</f>
        <v>0</v>
      </c>
      <c r="T938" s="9">
        <f>IF($A938=VLOOKUP(YEAR($A938),'Festive dates'!$A$2:$J$5,3,FALSE),1,0)</f>
        <v>0</v>
      </c>
      <c r="U938" s="9">
        <f>IF($A938=VLOOKUP(YEAR($A938),'Festive dates'!$A$2:$J$5,4,FALSE),1,0)</f>
        <v>0</v>
      </c>
      <c r="V938" s="9">
        <f>IF(AND($A938&gt;=VLOOKUP(YEAR($A938),'Festive dates'!$A$2:$J$5,9,FALSE),$A938&lt;=VLOOKUP(YEAR($A938),'Festive dates'!$A$2:$J$5,10,FALSE)),1,0)</f>
        <v>0</v>
      </c>
      <c r="W938" s="9">
        <f>IF($A938=VLOOKUP(YEAR($A938),'Festive dates'!$A$2:$J$5,7,FALSE),1,0)</f>
        <v>0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>
      <c r="A939" s="8">
        <v>45954</v>
      </c>
      <c r="B939" s="9">
        <v>0</v>
      </c>
      <c r="C939" s="9">
        <v>0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f>MAX(-20,MIN(10,$A939-VLOOKUP(YEAR($A939),'Festive dates'!$A$2:$J$5,8,FALSE)))</f>
        <v>4</v>
      </c>
      <c r="R939" s="9">
        <f>IF(AND($A939&gt;VLOOKUP(YEAR($A939),'Festive dates'!$A$2:$J$5,2,FALSE),$A939&lt;VLOOKUP(YEAR($A939),'Festive dates'!$A$2:$J$5,3,FALSE)),1,0)</f>
        <v>0</v>
      </c>
      <c r="S939" s="9">
        <f>IF($A939=VLOOKUP(YEAR($A939),'Festive dates'!$A$2:$J$5,2,FALSE),1,0)</f>
        <v>0</v>
      </c>
      <c r="T939" s="9">
        <f>IF($A939=VLOOKUP(YEAR($A939),'Festive dates'!$A$2:$J$5,3,FALSE),1,0)</f>
        <v>0</v>
      </c>
      <c r="U939" s="9">
        <f>IF($A939=VLOOKUP(YEAR($A939),'Festive dates'!$A$2:$J$5,4,FALSE),1,0)</f>
        <v>0</v>
      </c>
      <c r="V939" s="9">
        <f>IF(AND($A939&gt;=VLOOKUP(YEAR($A939),'Festive dates'!$A$2:$J$5,9,FALSE),$A939&lt;=VLOOKUP(YEAR($A939),'Festive dates'!$A$2:$J$5,10,FALSE)),1,0)</f>
        <v>0</v>
      </c>
      <c r="W939" s="9">
        <f>IF($A939=VLOOKUP(YEAR($A939),'Festive dates'!$A$2:$J$5,7,FALSE),1,0)</f>
        <v>0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>
      <c r="A940" s="8">
        <v>45955</v>
      </c>
      <c r="B940" s="9">
        <v>0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f>MAX(-20,MIN(10,$A940-VLOOKUP(YEAR($A940),'Festive dates'!$A$2:$J$5,8,FALSE)))</f>
        <v>5</v>
      </c>
      <c r="R940" s="9">
        <f>IF(AND($A940&gt;VLOOKUP(YEAR($A940),'Festive dates'!$A$2:$J$5,2,FALSE),$A940&lt;VLOOKUP(YEAR($A940),'Festive dates'!$A$2:$J$5,3,FALSE)),1,0)</f>
        <v>0</v>
      </c>
      <c r="S940" s="9">
        <f>IF($A940=VLOOKUP(YEAR($A940),'Festive dates'!$A$2:$J$5,2,FALSE),1,0)</f>
        <v>0</v>
      </c>
      <c r="T940" s="9">
        <f>IF($A940=VLOOKUP(YEAR($A940),'Festive dates'!$A$2:$J$5,3,FALSE),1,0)</f>
        <v>0</v>
      </c>
      <c r="U940" s="9">
        <f>IF($A940=VLOOKUP(YEAR($A940),'Festive dates'!$A$2:$J$5,4,FALSE),1,0)</f>
        <v>0</v>
      </c>
      <c r="V940" s="9">
        <f>IF(AND($A940&gt;=VLOOKUP(YEAR($A940),'Festive dates'!$A$2:$J$5,9,FALSE),$A940&lt;=VLOOKUP(YEAR($A940),'Festive dates'!$A$2:$J$5,10,FALSE)),1,0)</f>
        <v>0</v>
      </c>
      <c r="W940" s="9">
        <f>IF($A940=VLOOKUP(YEAR($A940),'Festive dates'!$A$2:$J$5,7,FALSE),1,0)</f>
        <v>0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>
      <c r="A941" s="8">
        <v>45956</v>
      </c>
      <c r="B941" s="9">
        <v>0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1</v>
      </c>
      <c r="Q941" s="9">
        <f>MAX(-20,MIN(10,$A941-VLOOKUP(YEAR($A941),'Festive dates'!$A$2:$J$5,8,FALSE)))</f>
        <v>6</v>
      </c>
      <c r="R941" s="9">
        <f>IF(AND($A941&gt;VLOOKUP(YEAR($A941),'Festive dates'!$A$2:$J$5,2,FALSE),$A941&lt;VLOOKUP(YEAR($A941),'Festive dates'!$A$2:$J$5,3,FALSE)),1,0)</f>
        <v>0</v>
      </c>
      <c r="S941" s="9">
        <f>IF($A941=VLOOKUP(YEAR($A941),'Festive dates'!$A$2:$J$5,2,FALSE),1,0)</f>
        <v>0</v>
      </c>
      <c r="T941" s="9">
        <f>IF($A941=VLOOKUP(YEAR($A941),'Festive dates'!$A$2:$J$5,3,FALSE),1,0)</f>
        <v>0</v>
      </c>
      <c r="U941" s="9">
        <f>IF($A941=VLOOKUP(YEAR($A941),'Festive dates'!$A$2:$J$5,4,FALSE),1,0)</f>
        <v>0</v>
      </c>
      <c r="V941" s="9">
        <f>IF(AND($A941&gt;=VLOOKUP(YEAR($A941),'Festive dates'!$A$2:$J$5,9,FALSE),$A941&lt;=VLOOKUP(YEAR($A941),'Festive dates'!$A$2:$J$5,10,FALSE)),1,0)</f>
        <v>0</v>
      </c>
      <c r="W941" s="9">
        <f>IF($A941=VLOOKUP(YEAR($A941),'Festive dates'!$A$2:$J$5,7,FALSE),1,0)</f>
        <v>0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>
      <c r="A942" s="8">
        <v>45957</v>
      </c>
      <c r="B942" s="9">
        <v>0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1</v>
      </c>
      <c r="Q942" s="9">
        <f>MAX(-20,MIN(10,$A942-VLOOKUP(YEAR($A942),'Festive dates'!$A$2:$J$5,8,FALSE)))</f>
        <v>7</v>
      </c>
      <c r="R942" s="9">
        <f>IF(AND($A942&gt;VLOOKUP(YEAR($A942),'Festive dates'!$A$2:$J$5,2,FALSE),$A942&lt;VLOOKUP(YEAR($A942),'Festive dates'!$A$2:$J$5,3,FALSE)),1,0)</f>
        <v>0</v>
      </c>
      <c r="S942" s="9">
        <f>IF($A942=VLOOKUP(YEAR($A942),'Festive dates'!$A$2:$J$5,2,FALSE),1,0)</f>
        <v>0</v>
      </c>
      <c r="T942" s="9">
        <f>IF($A942=VLOOKUP(YEAR($A942),'Festive dates'!$A$2:$J$5,3,FALSE),1,0)</f>
        <v>0</v>
      </c>
      <c r="U942" s="9">
        <f>IF($A942=VLOOKUP(YEAR($A942),'Festive dates'!$A$2:$J$5,4,FALSE),1,0)</f>
        <v>0</v>
      </c>
      <c r="V942" s="9">
        <f>IF(AND($A942&gt;=VLOOKUP(YEAR($A942),'Festive dates'!$A$2:$J$5,9,FALSE),$A942&lt;=VLOOKUP(YEAR($A942),'Festive dates'!$A$2:$J$5,10,FALSE)),1,0)</f>
        <v>0</v>
      </c>
      <c r="W942" s="9">
        <f>IF($A942=VLOOKUP(YEAR($A942),'Festive dates'!$A$2:$J$5,7,FALSE),1,0)</f>
        <v>0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>
      <c r="A943" s="8">
        <v>45958</v>
      </c>
      <c r="B943" s="9">
        <v>0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f>MAX(-20,MIN(10,$A943-VLOOKUP(YEAR($A943),'Festive dates'!$A$2:$J$5,8,FALSE)))</f>
        <v>8</v>
      </c>
      <c r="R943" s="9">
        <f>IF(AND($A943&gt;VLOOKUP(YEAR($A943),'Festive dates'!$A$2:$J$5,2,FALSE),$A943&lt;VLOOKUP(YEAR($A943),'Festive dates'!$A$2:$J$5,3,FALSE)),1,0)</f>
        <v>0</v>
      </c>
      <c r="S943" s="9">
        <f>IF($A943=VLOOKUP(YEAR($A943),'Festive dates'!$A$2:$J$5,2,FALSE),1,0)</f>
        <v>0</v>
      </c>
      <c r="T943" s="9">
        <f>IF($A943=VLOOKUP(YEAR($A943),'Festive dates'!$A$2:$J$5,3,FALSE),1,0)</f>
        <v>0</v>
      </c>
      <c r="U943" s="9">
        <f>IF($A943=VLOOKUP(YEAR($A943),'Festive dates'!$A$2:$J$5,4,FALSE),1,0)</f>
        <v>0</v>
      </c>
      <c r="V943" s="9">
        <f>IF(AND($A943&gt;=VLOOKUP(YEAR($A943),'Festive dates'!$A$2:$J$5,9,FALSE),$A943&lt;=VLOOKUP(YEAR($A943),'Festive dates'!$A$2:$J$5,10,FALSE)),1,0)</f>
        <v>0</v>
      </c>
      <c r="W943" s="9">
        <f>IF($A943=VLOOKUP(YEAR($A943),'Festive dates'!$A$2:$J$5,7,FALSE),1,0)</f>
        <v>0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>
      <c r="A944" s="8">
        <v>45959</v>
      </c>
      <c r="B944" s="9">
        <v>0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f>MAX(-20,MIN(10,$A944-VLOOKUP(YEAR($A944),'Festive dates'!$A$2:$J$5,8,FALSE)))</f>
        <v>9</v>
      </c>
      <c r="R944" s="9">
        <f>IF(AND($A944&gt;VLOOKUP(YEAR($A944),'Festive dates'!$A$2:$J$5,2,FALSE),$A944&lt;VLOOKUP(YEAR($A944),'Festive dates'!$A$2:$J$5,3,FALSE)),1,0)</f>
        <v>0</v>
      </c>
      <c r="S944" s="9">
        <f>IF($A944=VLOOKUP(YEAR($A944),'Festive dates'!$A$2:$J$5,2,FALSE),1,0)</f>
        <v>0</v>
      </c>
      <c r="T944" s="9">
        <f>IF($A944=VLOOKUP(YEAR($A944),'Festive dates'!$A$2:$J$5,3,FALSE),1,0)</f>
        <v>0</v>
      </c>
      <c r="U944" s="9">
        <f>IF($A944=VLOOKUP(YEAR($A944),'Festive dates'!$A$2:$J$5,4,FALSE),1,0)</f>
        <v>0</v>
      </c>
      <c r="V944" s="9">
        <f>IF(AND($A944&gt;=VLOOKUP(YEAR($A944),'Festive dates'!$A$2:$J$5,9,FALSE),$A944&lt;=VLOOKUP(YEAR($A944),'Festive dates'!$A$2:$J$5,10,FALSE)),1,0)</f>
        <v>0</v>
      </c>
      <c r="W944" s="9">
        <f>IF($A944=VLOOKUP(YEAR($A944),'Festive dates'!$A$2:$J$5,7,FALSE),1,0)</f>
        <v>0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>
      <c r="A945" s="8">
        <v>45960</v>
      </c>
      <c r="B945" s="9">
        <v>0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f>MAX(-20,MIN(10,$A945-VLOOKUP(YEAR($A945),'Festive dates'!$A$2:$J$5,8,FALSE)))</f>
        <v>10</v>
      </c>
      <c r="R945" s="9">
        <f>IF(AND($A945&gt;VLOOKUP(YEAR($A945),'Festive dates'!$A$2:$J$5,2,FALSE),$A945&lt;VLOOKUP(YEAR($A945),'Festive dates'!$A$2:$J$5,3,FALSE)),1,0)</f>
        <v>0</v>
      </c>
      <c r="S945" s="9">
        <f>IF($A945=VLOOKUP(YEAR($A945),'Festive dates'!$A$2:$J$5,2,FALSE),1,0)</f>
        <v>0</v>
      </c>
      <c r="T945" s="9">
        <f>IF($A945=VLOOKUP(YEAR($A945),'Festive dates'!$A$2:$J$5,3,FALSE),1,0)</f>
        <v>0</v>
      </c>
      <c r="U945" s="9">
        <f>IF($A945=VLOOKUP(YEAR($A945),'Festive dates'!$A$2:$J$5,4,FALSE),1,0)</f>
        <v>0</v>
      </c>
      <c r="V945" s="9">
        <f>IF(AND($A945&gt;=VLOOKUP(YEAR($A945),'Festive dates'!$A$2:$J$5,9,FALSE),$A945&lt;=VLOOKUP(YEAR($A945),'Festive dates'!$A$2:$J$5,10,FALSE)),1,0)</f>
        <v>0</v>
      </c>
      <c r="W945" s="9">
        <f>IF($A945=VLOOKUP(YEAR($A945),'Festive dates'!$A$2:$J$5,7,FALSE),1,0)</f>
        <v>0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>
      <c r="A946" s="8">
        <v>45961</v>
      </c>
      <c r="B946" s="9">
        <v>0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f>MAX(-20,MIN(10,$A946-VLOOKUP(YEAR($A946),'Festive dates'!$A$2:$J$5,8,FALSE)))</f>
        <v>10</v>
      </c>
      <c r="R946" s="9">
        <f>IF(AND($A946&gt;VLOOKUP(YEAR($A946),'Festive dates'!$A$2:$J$5,2,FALSE),$A946&lt;VLOOKUP(YEAR($A946),'Festive dates'!$A$2:$J$5,3,FALSE)),1,0)</f>
        <v>0</v>
      </c>
      <c r="S946" s="9">
        <f>IF($A946=VLOOKUP(YEAR($A946),'Festive dates'!$A$2:$J$5,2,FALSE),1,0)</f>
        <v>0</v>
      </c>
      <c r="T946" s="9">
        <f>IF($A946=VLOOKUP(YEAR($A946),'Festive dates'!$A$2:$J$5,3,FALSE),1,0)</f>
        <v>0</v>
      </c>
      <c r="U946" s="9">
        <f>IF($A946=VLOOKUP(YEAR($A946),'Festive dates'!$A$2:$J$5,4,FALSE),1,0)</f>
        <v>0</v>
      </c>
      <c r="V946" s="9">
        <f>IF(AND($A946&gt;=VLOOKUP(YEAR($A946),'Festive dates'!$A$2:$J$5,9,FALSE),$A946&lt;=VLOOKUP(YEAR($A946),'Festive dates'!$A$2:$J$5,10,FALSE)),1,0)</f>
        <v>0</v>
      </c>
      <c r="W946" s="9">
        <f>IF($A946=VLOOKUP(YEAR($A946),'Festive dates'!$A$2:$J$5,7,FALSE),1,0)</f>
        <v>0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>
      <c r="A947" s="8">
        <v>45962</v>
      </c>
      <c r="B947" s="9">
        <v>0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1</v>
      </c>
      <c r="Q947" s="9">
        <f>MAX(-20,MIN(10,$A947-VLOOKUP(YEAR($A947),'Festive dates'!$A$2:$J$5,8,FALSE)))</f>
        <v>10</v>
      </c>
      <c r="R947" s="9">
        <f>IF(AND($A947&gt;VLOOKUP(YEAR($A947),'Festive dates'!$A$2:$J$5,2,FALSE),$A947&lt;VLOOKUP(YEAR($A947),'Festive dates'!$A$2:$J$5,3,FALSE)),1,0)</f>
        <v>0</v>
      </c>
      <c r="S947" s="9">
        <f>IF($A947=VLOOKUP(YEAR($A947),'Festive dates'!$A$2:$J$5,2,FALSE),1,0)</f>
        <v>0</v>
      </c>
      <c r="T947" s="9">
        <f>IF($A947=VLOOKUP(YEAR($A947),'Festive dates'!$A$2:$J$5,3,FALSE),1,0)</f>
        <v>0</v>
      </c>
      <c r="U947" s="9">
        <f>IF($A947=VLOOKUP(YEAR($A947),'Festive dates'!$A$2:$J$5,4,FALSE),1,0)</f>
        <v>0</v>
      </c>
      <c r="V947" s="9">
        <f>IF(AND($A947&gt;=VLOOKUP(YEAR($A947),'Festive dates'!$A$2:$J$5,9,FALSE),$A947&lt;=VLOOKUP(YEAR($A947),'Festive dates'!$A$2:$J$5,10,FALSE)),1,0)</f>
        <v>0</v>
      </c>
      <c r="W947" s="9">
        <f>IF($A947=VLOOKUP(YEAR($A947),'Festive dates'!$A$2:$J$5,7,FALSE),1,0)</f>
        <v>0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>
      <c r="A948" s="8">
        <v>45963</v>
      </c>
      <c r="B948" s="9">
        <v>0</v>
      </c>
      <c r="C948" s="9">
        <v>0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f>MAX(-20,MIN(10,$A948-VLOOKUP(YEAR($A948),'Festive dates'!$A$2:$J$5,8,FALSE)))</f>
        <v>10</v>
      </c>
      <c r="R948" s="9">
        <f>IF(AND($A948&gt;VLOOKUP(YEAR($A948),'Festive dates'!$A$2:$J$5,2,FALSE),$A948&lt;VLOOKUP(YEAR($A948),'Festive dates'!$A$2:$J$5,3,FALSE)),1,0)</f>
        <v>0</v>
      </c>
      <c r="S948" s="9">
        <f>IF($A948=VLOOKUP(YEAR($A948),'Festive dates'!$A$2:$J$5,2,FALSE),1,0)</f>
        <v>0</v>
      </c>
      <c r="T948" s="9">
        <f>IF($A948=VLOOKUP(YEAR($A948),'Festive dates'!$A$2:$J$5,3,FALSE),1,0)</f>
        <v>0</v>
      </c>
      <c r="U948" s="9">
        <f>IF($A948=VLOOKUP(YEAR($A948),'Festive dates'!$A$2:$J$5,4,FALSE),1,0)</f>
        <v>0</v>
      </c>
      <c r="V948" s="9">
        <f>IF(AND($A948&gt;=VLOOKUP(YEAR($A948),'Festive dates'!$A$2:$J$5,9,FALSE),$A948&lt;=VLOOKUP(YEAR($A948),'Festive dates'!$A$2:$J$5,10,FALSE)),1,0)</f>
        <v>0</v>
      </c>
      <c r="W948" s="9">
        <f>IF($A948=VLOOKUP(YEAR($A948),'Festive dates'!$A$2:$J$5,7,FALSE),1,0)</f>
        <v>0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>
      <c r="A949" s="8">
        <v>45964</v>
      </c>
      <c r="B949" s="9">
        <v>0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f>MAX(-20,MIN(10,$A949-VLOOKUP(YEAR($A949),'Festive dates'!$A$2:$J$5,8,FALSE)))</f>
        <v>10</v>
      </c>
      <c r="R949" s="9">
        <f>IF(AND($A949&gt;VLOOKUP(YEAR($A949),'Festive dates'!$A$2:$J$5,2,FALSE),$A949&lt;VLOOKUP(YEAR($A949),'Festive dates'!$A$2:$J$5,3,FALSE)),1,0)</f>
        <v>0</v>
      </c>
      <c r="S949" s="9">
        <f>IF($A949=VLOOKUP(YEAR($A949),'Festive dates'!$A$2:$J$5,2,FALSE),1,0)</f>
        <v>0</v>
      </c>
      <c r="T949" s="9">
        <f>IF($A949=VLOOKUP(YEAR($A949),'Festive dates'!$A$2:$J$5,3,FALSE),1,0)</f>
        <v>0</v>
      </c>
      <c r="U949" s="9">
        <f>IF($A949=VLOOKUP(YEAR($A949),'Festive dates'!$A$2:$J$5,4,FALSE),1,0)</f>
        <v>0</v>
      </c>
      <c r="V949" s="9">
        <f>IF(AND($A949&gt;=VLOOKUP(YEAR($A949),'Festive dates'!$A$2:$J$5,9,FALSE),$A949&lt;=VLOOKUP(YEAR($A949),'Festive dates'!$A$2:$J$5,10,FALSE)),1,0)</f>
        <v>0</v>
      </c>
      <c r="W949" s="9">
        <f>IF($A949=VLOOKUP(YEAR($A949),'Festive dates'!$A$2:$J$5,7,FALSE),1,0)</f>
        <v>0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>
      <c r="A950" s="8">
        <v>45965</v>
      </c>
      <c r="B950" s="9">
        <v>0</v>
      </c>
      <c r="C950" s="9">
        <v>0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f>MAX(-20,MIN(10,$A950-VLOOKUP(YEAR($A950),'Festive dates'!$A$2:$J$5,8,FALSE)))</f>
        <v>10</v>
      </c>
      <c r="R950" s="9">
        <f>IF(AND($A950&gt;VLOOKUP(YEAR($A950),'Festive dates'!$A$2:$J$5,2,FALSE),$A950&lt;VLOOKUP(YEAR($A950),'Festive dates'!$A$2:$J$5,3,FALSE)),1,0)</f>
        <v>0</v>
      </c>
      <c r="S950" s="9">
        <f>IF($A950=VLOOKUP(YEAR($A950),'Festive dates'!$A$2:$J$5,2,FALSE),1,0)</f>
        <v>0</v>
      </c>
      <c r="T950" s="9">
        <f>IF($A950=VLOOKUP(YEAR($A950),'Festive dates'!$A$2:$J$5,3,FALSE),1,0)</f>
        <v>0</v>
      </c>
      <c r="U950" s="9">
        <f>IF($A950=VLOOKUP(YEAR($A950),'Festive dates'!$A$2:$J$5,4,FALSE),1,0)</f>
        <v>0</v>
      </c>
      <c r="V950" s="9">
        <f>IF(AND($A950&gt;=VLOOKUP(YEAR($A950),'Festive dates'!$A$2:$J$5,9,FALSE),$A950&lt;=VLOOKUP(YEAR($A950),'Festive dates'!$A$2:$J$5,10,FALSE)),1,0)</f>
        <v>0</v>
      </c>
      <c r="W950" s="9">
        <f>IF($A950=VLOOKUP(YEAR($A950),'Festive dates'!$A$2:$J$5,7,FALSE),1,0)</f>
        <v>0</v>
      </c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>
      <c r="A951" s="8">
        <v>45966</v>
      </c>
      <c r="B951" s="9">
        <v>0</v>
      </c>
      <c r="C951" s="9">
        <v>0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1</v>
      </c>
      <c r="Q951" s="9">
        <f>MAX(-20,MIN(10,$A951-VLOOKUP(YEAR($A951),'Festive dates'!$A$2:$J$5,8,FALSE)))</f>
        <v>10</v>
      </c>
      <c r="R951" s="9">
        <f>IF(AND($A951&gt;VLOOKUP(YEAR($A951),'Festive dates'!$A$2:$J$5,2,FALSE),$A951&lt;VLOOKUP(YEAR($A951),'Festive dates'!$A$2:$J$5,3,FALSE)),1,0)</f>
        <v>0</v>
      </c>
      <c r="S951" s="9">
        <f>IF($A951=VLOOKUP(YEAR($A951),'Festive dates'!$A$2:$J$5,2,FALSE),1,0)</f>
        <v>0</v>
      </c>
      <c r="T951" s="9">
        <f>IF($A951=VLOOKUP(YEAR($A951),'Festive dates'!$A$2:$J$5,3,FALSE),1,0)</f>
        <v>0</v>
      </c>
      <c r="U951" s="9">
        <f>IF($A951=VLOOKUP(YEAR($A951),'Festive dates'!$A$2:$J$5,4,FALSE),1,0)</f>
        <v>0</v>
      </c>
      <c r="V951" s="9">
        <f>IF(AND($A951&gt;=VLOOKUP(YEAR($A951),'Festive dates'!$A$2:$J$5,9,FALSE),$A951&lt;=VLOOKUP(YEAR($A951),'Festive dates'!$A$2:$J$5,10,FALSE)),1,0)</f>
        <v>0</v>
      </c>
      <c r="W951" s="9">
        <f>IF($A951=VLOOKUP(YEAR($A951),'Festive dates'!$A$2:$J$5,7,FALSE),1,0)</f>
        <v>0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>
      <c r="A952" s="8">
        <v>45967</v>
      </c>
      <c r="B952" s="9">
        <v>0</v>
      </c>
      <c r="C952" s="9">
        <v>0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1</v>
      </c>
      <c r="Q952" s="9">
        <f>MAX(-20,MIN(10,$A952-VLOOKUP(YEAR($A952),'Festive dates'!$A$2:$J$5,8,FALSE)))</f>
        <v>10</v>
      </c>
      <c r="R952" s="9">
        <f>IF(AND($A952&gt;VLOOKUP(YEAR($A952),'Festive dates'!$A$2:$J$5,2,FALSE),$A952&lt;VLOOKUP(YEAR($A952),'Festive dates'!$A$2:$J$5,3,FALSE)),1,0)</f>
        <v>0</v>
      </c>
      <c r="S952" s="9">
        <f>IF($A952=VLOOKUP(YEAR($A952),'Festive dates'!$A$2:$J$5,2,FALSE),1,0)</f>
        <v>0</v>
      </c>
      <c r="T952" s="9">
        <f>IF($A952=VLOOKUP(YEAR($A952),'Festive dates'!$A$2:$J$5,3,FALSE),1,0)</f>
        <v>0</v>
      </c>
      <c r="U952" s="9">
        <f>IF($A952=VLOOKUP(YEAR($A952),'Festive dates'!$A$2:$J$5,4,FALSE),1,0)</f>
        <v>0</v>
      </c>
      <c r="V952" s="9">
        <f>IF(AND($A952&gt;=VLOOKUP(YEAR($A952),'Festive dates'!$A$2:$J$5,9,FALSE),$A952&lt;=VLOOKUP(YEAR($A952),'Festive dates'!$A$2:$J$5,10,FALSE)),1,0)</f>
        <v>0</v>
      </c>
      <c r="W952" s="9">
        <f>IF($A952=VLOOKUP(YEAR($A952),'Festive dates'!$A$2:$J$5,7,FALSE),1,0)</f>
        <v>0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>
      <c r="A953" s="8">
        <v>45968</v>
      </c>
      <c r="B953" s="9">
        <v>0</v>
      </c>
      <c r="C953" s="9">
        <v>0</v>
      </c>
      <c r="D953" s="9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f>MAX(-20,MIN(10,$A953-VLOOKUP(YEAR($A953),'Festive dates'!$A$2:$J$5,8,FALSE)))</f>
        <v>10</v>
      </c>
      <c r="R953" s="9">
        <f>IF(AND($A953&gt;VLOOKUP(YEAR($A953),'Festive dates'!$A$2:$J$5,2,FALSE),$A953&lt;VLOOKUP(YEAR($A953),'Festive dates'!$A$2:$J$5,3,FALSE)),1,0)</f>
        <v>0</v>
      </c>
      <c r="S953" s="9">
        <f>IF($A953=VLOOKUP(YEAR($A953),'Festive dates'!$A$2:$J$5,2,FALSE),1,0)</f>
        <v>0</v>
      </c>
      <c r="T953" s="9">
        <f>IF($A953=VLOOKUP(YEAR($A953),'Festive dates'!$A$2:$J$5,3,FALSE),1,0)</f>
        <v>0</v>
      </c>
      <c r="U953" s="9">
        <f>IF($A953=VLOOKUP(YEAR($A953),'Festive dates'!$A$2:$J$5,4,FALSE),1,0)</f>
        <v>0</v>
      </c>
      <c r="V953" s="9">
        <f>IF(AND($A953&gt;=VLOOKUP(YEAR($A953),'Festive dates'!$A$2:$J$5,9,FALSE),$A953&lt;=VLOOKUP(YEAR($A953),'Festive dates'!$A$2:$J$5,10,FALSE)),1,0)</f>
        <v>0</v>
      </c>
      <c r="W953" s="9">
        <f>IF($A953=VLOOKUP(YEAR($A953),'Festive dates'!$A$2:$J$5,7,FALSE),1,0)</f>
        <v>0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>
      <c r="A954" s="8">
        <v>45969</v>
      </c>
      <c r="B954" s="9">
        <v>0</v>
      </c>
      <c r="C954" s="9">
        <v>0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f>MAX(-20,MIN(10,$A954-VLOOKUP(YEAR($A954),'Festive dates'!$A$2:$J$5,8,FALSE)))</f>
        <v>10</v>
      </c>
      <c r="R954" s="9">
        <f>IF(AND($A954&gt;VLOOKUP(YEAR($A954),'Festive dates'!$A$2:$J$5,2,FALSE),$A954&lt;VLOOKUP(YEAR($A954),'Festive dates'!$A$2:$J$5,3,FALSE)),1,0)</f>
        <v>0</v>
      </c>
      <c r="S954" s="9">
        <f>IF($A954=VLOOKUP(YEAR($A954),'Festive dates'!$A$2:$J$5,2,FALSE),1,0)</f>
        <v>0</v>
      </c>
      <c r="T954" s="9">
        <f>IF($A954=VLOOKUP(YEAR($A954),'Festive dates'!$A$2:$J$5,3,FALSE),1,0)</f>
        <v>0</v>
      </c>
      <c r="U954" s="9">
        <f>IF($A954=VLOOKUP(YEAR($A954),'Festive dates'!$A$2:$J$5,4,FALSE),1,0)</f>
        <v>0</v>
      </c>
      <c r="V954" s="9">
        <f>IF(AND($A954&gt;=VLOOKUP(YEAR($A954),'Festive dates'!$A$2:$J$5,9,FALSE),$A954&lt;=VLOOKUP(YEAR($A954),'Festive dates'!$A$2:$J$5,10,FALSE)),1,0)</f>
        <v>0</v>
      </c>
      <c r="W954" s="9">
        <f>IF($A954=VLOOKUP(YEAR($A954),'Festive dates'!$A$2:$J$5,7,FALSE),1,0)</f>
        <v>0</v>
      </c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>
      <c r="A955" s="8">
        <v>45970</v>
      </c>
      <c r="B955" s="9">
        <v>0</v>
      </c>
      <c r="C955" s="9">
        <v>0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1</v>
      </c>
      <c r="Q955" s="9">
        <f>MAX(-20,MIN(10,$A955-VLOOKUP(YEAR($A955),'Festive dates'!$A$2:$J$5,8,FALSE)))</f>
        <v>10</v>
      </c>
      <c r="R955" s="9">
        <f>IF(AND($A955&gt;VLOOKUP(YEAR($A955),'Festive dates'!$A$2:$J$5,2,FALSE),$A955&lt;VLOOKUP(YEAR($A955),'Festive dates'!$A$2:$J$5,3,FALSE)),1,0)</f>
        <v>0</v>
      </c>
      <c r="S955" s="9">
        <f>IF($A955=VLOOKUP(YEAR($A955),'Festive dates'!$A$2:$J$5,2,FALSE),1,0)</f>
        <v>0</v>
      </c>
      <c r="T955" s="9">
        <f>IF($A955=VLOOKUP(YEAR($A955),'Festive dates'!$A$2:$J$5,3,FALSE),1,0)</f>
        <v>0</v>
      </c>
      <c r="U955" s="9">
        <f>IF($A955=VLOOKUP(YEAR($A955),'Festive dates'!$A$2:$J$5,4,FALSE),1,0)</f>
        <v>0</v>
      </c>
      <c r="V955" s="9">
        <f>IF(AND($A955&gt;=VLOOKUP(YEAR($A955),'Festive dates'!$A$2:$J$5,9,FALSE),$A955&lt;=VLOOKUP(YEAR($A955),'Festive dates'!$A$2:$J$5,10,FALSE)),1,0)</f>
        <v>0</v>
      </c>
      <c r="W955" s="9">
        <f>IF($A955=VLOOKUP(YEAR($A955),'Festive dates'!$A$2:$J$5,7,FALSE),1,0)</f>
        <v>0</v>
      </c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>
      <c r="A956" s="8">
        <v>45971</v>
      </c>
      <c r="B956" s="9">
        <v>0</v>
      </c>
      <c r="C956" s="9">
        <v>0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1</v>
      </c>
      <c r="Q956" s="9">
        <f>MAX(-20,MIN(10,$A956-VLOOKUP(YEAR($A956),'Festive dates'!$A$2:$J$5,8,FALSE)))</f>
        <v>10</v>
      </c>
      <c r="R956" s="9">
        <f>IF(AND($A956&gt;VLOOKUP(YEAR($A956),'Festive dates'!$A$2:$J$5,2,FALSE),$A956&lt;VLOOKUP(YEAR($A956),'Festive dates'!$A$2:$J$5,3,FALSE)),1,0)</f>
        <v>0</v>
      </c>
      <c r="S956" s="9">
        <f>IF($A956=VLOOKUP(YEAR($A956),'Festive dates'!$A$2:$J$5,2,FALSE),1,0)</f>
        <v>0</v>
      </c>
      <c r="T956" s="9">
        <f>IF($A956=VLOOKUP(YEAR($A956),'Festive dates'!$A$2:$J$5,3,FALSE),1,0)</f>
        <v>0</v>
      </c>
      <c r="U956" s="9">
        <f>IF($A956=VLOOKUP(YEAR($A956),'Festive dates'!$A$2:$J$5,4,FALSE),1,0)</f>
        <v>0</v>
      </c>
      <c r="V956" s="9">
        <f>IF(AND($A956&gt;=VLOOKUP(YEAR($A956),'Festive dates'!$A$2:$J$5,9,FALSE),$A956&lt;=VLOOKUP(YEAR($A956),'Festive dates'!$A$2:$J$5,10,FALSE)),1,0)</f>
        <v>0</v>
      </c>
      <c r="W956" s="9">
        <f>IF($A956=VLOOKUP(YEAR($A956),'Festive dates'!$A$2:$J$5,7,FALSE),1,0)</f>
        <v>0</v>
      </c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>
      <c r="A957" s="8">
        <v>45972</v>
      </c>
      <c r="B957" s="9">
        <v>0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1</v>
      </c>
      <c r="Q957" s="9">
        <f>MAX(-20,MIN(10,$A957-VLOOKUP(YEAR($A957),'Festive dates'!$A$2:$J$5,8,FALSE)))</f>
        <v>10</v>
      </c>
      <c r="R957" s="9">
        <f>IF(AND($A957&gt;VLOOKUP(YEAR($A957),'Festive dates'!$A$2:$J$5,2,FALSE),$A957&lt;VLOOKUP(YEAR($A957),'Festive dates'!$A$2:$J$5,3,FALSE)),1,0)</f>
        <v>0</v>
      </c>
      <c r="S957" s="9">
        <f>IF($A957=VLOOKUP(YEAR($A957),'Festive dates'!$A$2:$J$5,2,FALSE),1,0)</f>
        <v>0</v>
      </c>
      <c r="T957" s="9">
        <f>IF($A957=VLOOKUP(YEAR($A957),'Festive dates'!$A$2:$J$5,3,FALSE),1,0)</f>
        <v>0</v>
      </c>
      <c r="U957" s="9">
        <f>IF($A957=VLOOKUP(YEAR($A957),'Festive dates'!$A$2:$J$5,4,FALSE),1,0)</f>
        <v>0</v>
      </c>
      <c r="V957" s="9">
        <f>IF(AND($A957&gt;=VLOOKUP(YEAR($A957),'Festive dates'!$A$2:$J$5,9,FALSE),$A957&lt;=VLOOKUP(YEAR($A957),'Festive dates'!$A$2:$J$5,10,FALSE)),1,0)</f>
        <v>0</v>
      </c>
      <c r="W957" s="9">
        <f>IF($A957=VLOOKUP(YEAR($A957),'Festive dates'!$A$2:$J$5,7,FALSE),1,0)</f>
        <v>0</v>
      </c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>
      <c r="A958" s="8">
        <v>45973</v>
      </c>
      <c r="B958" s="9">
        <v>0</v>
      </c>
      <c r="C958" s="9">
        <v>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f>MAX(-20,MIN(10,$A958-VLOOKUP(YEAR($A958),'Festive dates'!$A$2:$J$5,8,FALSE)))</f>
        <v>10</v>
      </c>
      <c r="R958" s="9">
        <f>IF(AND($A958&gt;VLOOKUP(YEAR($A958),'Festive dates'!$A$2:$J$5,2,FALSE),$A958&lt;VLOOKUP(YEAR($A958),'Festive dates'!$A$2:$J$5,3,FALSE)),1,0)</f>
        <v>0</v>
      </c>
      <c r="S958" s="9">
        <f>IF($A958=VLOOKUP(YEAR($A958),'Festive dates'!$A$2:$J$5,2,FALSE),1,0)</f>
        <v>0</v>
      </c>
      <c r="T958" s="9">
        <f>IF($A958=VLOOKUP(YEAR($A958),'Festive dates'!$A$2:$J$5,3,FALSE),1,0)</f>
        <v>0</v>
      </c>
      <c r="U958" s="9">
        <f>IF($A958=VLOOKUP(YEAR($A958),'Festive dates'!$A$2:$J$5,4,FALSE),1,0)</f>
        <v>0</v>
      </c>
      <c r="V958" s="9">
        <f>IF(AND($A958&gt;=VLOOKUP(YEAR($A958),'Festive dates'!$A$2:$J$5,9,FALSE),$A958&lt;=VLOOKUP(YEAR($A958),'Festive dates'!$A$2:$J$5,10,FALSE)),1,0)</f>
        <v>0</v>
      </c>
      <c r="W958" s="9">
        <f>IF($A958=VLOOKUP(YEAR($A958),'Festive dates'!$A$2:$J$5,7,FALSE),1,0)</f>
        <v>0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>
      <c r="A959" s="8">
        <v>45974</v>
      </c>
      <c r="B959" s="9">
        <v>0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f>MAX(-20,MIN(10,$A959-VLOOKUP(YEAR($A959),'Festive dates'!$A$2:$J$5,8,FALSE)))</f>
        <v>10</v>
      </c>
      <c r="R959" s="9">
        <f>IF(AND($A959&gt;VLOOKUP(YEAR($A959),'Festive dates'!$A$2:$J$5,2,FALSE),$A959&lt;VLOOKUP(YEAR($A959),'Festive dates'!$A$2:$J$5,3,FALSE)),1,0)</f>
        <v>0</v>
      </c>
      <c r="S959" s="9">
        <f>IF($A959=VLOOKUP(YEAR($A959),'Festive dates'!$A$2:$J$5,2,FALSE),1,0)</f>
        <v>0</v>
      </c>
      <c r="T959" s="9">
        <f>IF($A959=VLOOKUP(YEAR($A959),'Festive dates'!$A$2:$J$5,3,FALSE),1,0)</f>
        <v>0</v>
      </c>
      <c r="U959" s="9">
        <f>IF($A959=VLOOKUP(YEAR($A959),'Festive dates'!$A$2:$J$5,4,FALSE),1,0)</f>
        <v>0</v>
      </c>
      <c r="V959" s="9">
        <f>IF(AND($A959&gt;=VLOOKUP(YEAR($A959),'Festive dates'!$A$2:$J$5,9,FALSE),$A959&lt;=VLOOKUP(YEAR($A959),'Festive dates'!$A$2:$J$5,10,FALSE)),1,0)</f>
        <v>0</v>
      </c>
      <c r="W959" s="9">
        <f>IF($A959=VLOOKUP(YEAR($A959),'Festive dates'!$A$2:$J$5,7,FALSE),1,0)</f>
        <v>0</v>
      </c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>
      <c r="A960" s="8">
        <v>45975</v>
      </c>
      <c r="B960" s="9">
        <v>0</v>
      </c>
      <c r="C960" s="9">
        <v>0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1</v>
      </c>
      <c r="Q960" s="9">
        <f>MAX(-20,MIN(10,$A960-VLOOKUP(YEAR($A960),'Festive dates'!$A$2:$J$5,8,FALSE)))</f>
        <v>10</v>
      </c>
      <c r="R960" s="9">
        <f>IF(AND($A960&gt;VLOOKUP(YEAR($A960),'Festive dates'!$A$2:$J$5,2,FALSE),$A960&lt;VLOOKUP(YEAR($A960),'Festive dates'!$A$2:$J$5,3,FALSE)),1,0)</f>
        <v>0</v>
      </c>
      <c r="S960" s="9">
        <f>IF($A960=VLOOKUP(YEAR($A960),'Festive dates'!$A$2:$J$5,2,FALSE),1,0)</f>
        <v>0</v>
      </c>
      <c r="T960" s="9">
        <f>IF($A960=VLOOKUP(YEAR($A960),'Festive dates'!$A$2:$J$5,3,FALSE),1,0)</f>
        <v>0</v>
      </c>
      <c r="U960" s="9">
        <f>IF($A960=VLOOKUP(YEAR($A960),'Festive dates'!$A$2:$J$5,4,FALSE),1,0)</f>
        <v>0</v>
      </c>
      <c r="V960" s="9">
        <f>IF(AND($A960&gt;=VLOOKUP(YEAR($A960),'Festive dates'!$A$2:$J$5,9,FALSE),$A960&lt;=VLOOKUP(YEAR($A960),'Festive dates'!$A$2:$J$5,10,FALSE)),1,0)</f>
        <v>0</v>
      </c>
      <c r="W960" s="9">
        <f>IF($A960=VLOOKUP(YEAR($A960),'Festive dates'!$A$2:$J$5,7,FALSE),1,0)</f>
        <v>0</v>
      </c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>
      <c r="A961" s="8">
        <v>45976</v>
      </c>
      <c r="B961" s="9">
        <v>0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1</v>
      </c>
      <c r="Q961" s="9">
        <f>MAX(-20,MIN(10,$A961-VLOOKUP(YEAR($A961),'Festive dates'!$A$2:$J$5,8,FALSE)))</f>
        <v>10</v>
      </c>
      <c r="R961" s="9">
        <f>IF(AND($A961&gt;VLOOKUP(YEAR($A961),'Festive dates'!$A$2:$J$5,2,FALSE),$A961&lt;VLOOKUP(YEAR($A961),'Festive dates'!$A$2:$J$5,3,FALSE)),1,0)</f>
        <v>0</v>
      </c>
      <c r="S961" s="9">
        <f>IF($A961=VLOOKUP(YEAR($A961),'Festive dates'!$A$2:$J$5,2,FALSE),1,0)</f>
        <v>0</v>
      </c>
      <c r="T961" s="9">
        <f>IF($A961=VLOOKUP(YEAR($A961),'Festive dates'!$A$2:$J$5,3,FALSE),1,0)</f>
        <v>0</v>
      </c>
      <c r="U961" s="9">
        <f>IF($A961=VLOOKUP(YEAR($A961),'Festive dates'!$A$2:$J$5,4,FALSE),1,0)</f>
        <v>0</v>
      </c>
      <c r="V961" s="9">
        <f>IF(AND($A961&gt;=VLOOKUP(YEAR($A961),'Festive dates'!$A$2:$J$5,9,FALSE),$A961&lt;=VLOOKUP(YEAR($A961),'Festive dates'!$A$2:$J$5,10,FALSE)),1,0)</f>
        <v>0</v>
      </c>
      <c r="W961" s="9">
        <f>IF($A961=VLOOKUP(YEAR($A961),'Festive dates'!$A$2:$J$5,7,FALSE),1,0)</f>
        <v>0</v>
      </c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>
      <c r="A962" s="8">
        <v>45977</v>
      </c>
      <c r="B962" s="9">
        <v>0</v>
      </c>
      <c r="C962" s="9">
        <v>0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1</v>
      </c>
      <c r="Q962" s="9">
        <f>MAX(-20,MIN(10,$A962-VLOOKUP(YEAR($A962),'Festive dates'!$A$2:$J$5,8,FALSE)))</f>
        <v>10</v>
      </c>
      <c r="R962" s="9">
        <f>IF(AND($A962&gt;VLOOKUP(YEAR($A962),'Festive dates'!$A$2:$J$5,2,FALSE),$A962&lt;VLOOKUP(YEAR($A962),'Festive dates'!$A$2:$J$5,3,FALSE)),1,0)</f>
        <v>0</v>
      </c>
      <c r="S962" s="9">
        <f>IF($A962=VLOOKUP(YEAR($A962),'Festive dates'!$A$2:$J$5,2,FALSE),1,0)</f>
        <v>0</v>
      </c>
      <c r="T962" s="9">
        <f>IF($A962=VLOOKUP(YEAR($A962),'Festive dates'!$A$2:$J$5,3,FALSE),1,0)</f>
        <v>0</v>
      </c>
      <c r="U962" s="9">
        <f>IF($A962=VLOOKUP(YEAR($A962),'Festive dates'!$A$2:$J$5,4,FALSE),1,0)</f>
        <v>0</v>
      </c>
      <c r="V962" s="9">
        <f>IF(AND($A962&gt;=VLOOKUP(YEAR($A962),'Festive dates'!$A$2:$J$5,9,FALSE),$A962&lt;=VLOOKUP(YEAR($A962),'Festive dates'!$A$2:$J$5,10,FALSE)),1,0)</f>
        <v>0</v>
      </c>
      <c r="W962" s="9">
        <f>IF($A962=VLOOKUP(YEAR($A962),'Festive dates'!$A$2:$J$5,7,FALSE),1,0)</f>
        <v>0</v>
      </c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>
      <c r="A963" s="8">
        <v>45978</v>
      </c>
      <c r="B963" s="9">
        <v>0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f>MAX(-20,MIN(10,$A963-VLOOKUP(YEAR($A963),'Festive dates'!$A$2:$J$5,8,FALSE)))</f>
        <v>10</v>
      </c>
      <c r="R963" s="9">
        <f>IF(AND($A963&gt;VLOOKUP(YEAR($A963),'Festive dates'!$A$2:$J$5,2,FALSE),$A963&lt;VLOOKUP(YEAR($A963),'Festive dates'!$A$2:$J$5,3,FALSE)),1,0)</f>
        <v>0</v>
      </c>
      <c r="S963" s="9">
        <f>IF($A963=VLOOKUP(YEAR($A963),'Festive dates'!$A$2:$J$5,2,FALSE),1,0)</f>
        <v>0</v>
      </c>
      <c r="T963" s="9">
        <f>IF($A963=VLOOKUP(YEAR($A963),'Festive dates'!$A$2:$J$5,3,FALSE),1,0)</f>
        <v>0</v>
      </c>
      <c r="U963" s="9">
        <f>IF($A963=VLOOKUP(YEAR($A963),'Festive dates'!$A$2:$J$5,4,FALSE),1,0)</f>
        <v>0</v>
      </c>
      <c r="V963" s="9">
        <f>IF(AND($A963&gt;=VLOOKUP(YEAR($A963),'Festive dates'!$A$2:$J$5,9,FALSE),$A963&lt;=VLOOKUP(YEAR($A963),'Festive dates'!$A$2:$J$5,10,FALSE)),1,0)</f>
        <v>0</v>
      </c>
      <c r="W963" s="9">
        <f>IF($A963=VLOOKUP(YEAR($A963),'Festive dates'!$A$2:$J$5,7,FALSE),1,0)</f>
        <v>0</v>
      </c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>
      <c r="A964" s="8">
        <v>45979</v>
      </c>
      <c r="B964" s="9">
        <v>0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1</v>
      </c>
      <c r="Q964" s="9">
        <f>MAX(-20,MIN(10,$A964-VLOOKUP(YEAR($A964),'Festive dates'!$A$2:$J$5,8,FALSE)))</f>
        <v>10</v>
      </c>
      <c r="R964" s="9">
        <f>IF(AND($A964&gt;VLOOKUP(YEAR($A964),'Festive dates'!$A$2:$J$5,2,FALSE),$A964&lt;VLOOKUP(YEAR($A964),'Festive dates'!$A$2:$J$5,3,FALSE)),1,0)</f>
        <v>0</v>
      </c>
      <c r="S964" s="9">
        <f>IF($A964=VLOOKUP(YEAR($A964),'Festive dates'!$A$2:$J$5,2,FALSE),1,0)</f>
        <v>0</v>
      </c>
      <c r="T964" s="9">
        <f>IF($A964=VLOOKUP(YEAR($A964),'Festive dates'!$A$2:$J$5,3,FALSE),1,0)</f>
        <v>0</v>
      </c>
      <c r="U964" s="9">
        <f>IF($A964=VLOOKUP(YEAR($A964),'Festive dates'!$A$2:$J$5,4,FALSE),1,0)</f>
        <v>0</v>
      </c>
      <c r="V964" s="9">
        <f>IF(AND($A964&gt;=VLOOKUP(YEAR($A964),'Festive dates'!$A$2:$J$5,9,FALSE),$A964&lt;=VLOOKUP(YEAR($A964),'Festive dates'!$A$2:$J$5,10,FALSE)),1,0)</f>
        <v>0</v>
      </c>
      <c r="W964" s="9">
        <f>IF($A964=VLOOKUP(YEAR($A964),'Festive dates'!$A$2:$J$5,7,FALSE),1,0)</f>
        <v>0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>
      <c r="A965" s="8">
        <v>45980</v>
      </c>
      <c r="B965" s="9">
        <v>0</v>
      </c>
      <c r="C965" s="9">
        <v>0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f>MAX(-20,MIN(10,$A965-VLOOKUP(YEAR($A965),'Festive dates'!$A$2:$J$5,8,FALSE)))</f>
        <v>10</v>
      </c>
      <c r="R965" s="9">
        <f>IF(AND($A965&gt;VLOOKUP(YEAR($A965),'Festive dates'!$A$2:$J$5,2,FALSE),$A965&lt;VLOOKUP(YEAR($A965),'Festive dates'!$A$2:$J$5,3,FALSE)),1,0)</f>
        <v>0</v>
      </c>
      <c r="S965" s="9">
        <f>IF($A965=VLOOKUP(YEAR($A965),'Festive dates'!$A$2:$J$5,2,FALSE),1,0)</f>
        <v>0</v>
      </c>
      <c r="T965" s="9">
        <f>IF($A965=VLOOKUP(YEAR($A965),'Festive dates'!$A$2:$J$5,3,FALSE),1,0)</f>
        <v>0</v>
      </c>
      <c r="U965" s="9">
        <f>IF($A965=VLOOKUP(YEAR($A965),'Festive dates'!$A$2:$J$5,4,FALSE),1,0)</f>
        <v>0</v>
      </c>
      <c r="V965" s="9">
        <f>IF(AND($A965&gt;=VLOOKUP(YEAR($A965),'Festive dates'!$A$2:$J$5,9,FALSE),$A965&lt;=VLOOKUP(YEAR($A965),'Festive dates'!$A$2:$J$5,10,FALSE)),1,0)</f>
        <v>0</v>
      </c>
      <c r="W965" s="9">
        <f>IF($A965=VLOOKUP(YEAR($A965),'Festive dates'!$A$2:$J$5,7,FALSE),1,0)</f>
        <v>0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>
      <c r="A966" s="8">
        <v>45981</v>
      </c>
      <c r="B966" s="9">
        <v>0</v>
      </c>
      <c r="C966" s="9">
        <v>0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f>MAX(-20,MIN(10,$A966-VLOOKUP(YEAR($A966),'Festive dates'!$A$2:$J$5,8,FALSE)))</f>
        <v>10</v>
      </c>
      <c r="R966" s="9">
        <f>IF(AND($A966&gt;VLOOKUP(YEAR($A966),'Festive dates'!$A$2:$J$5,2,FALSE),$A966&lt;VLOOKUP(YEAR($A966),'Festive dates'!$A$2:$J$5,3,FALSE)),1,0)</f>
        <v>0</v>
      </c>
      <c r="S966" s="9">
        <f>IF($A966=VLOOKUP(YEAR($A966),'Festive dates'!$A$2:$J$5,2,FALSE),1,0)</f>
        <v>0</v>
      </c>
      <c r="T966" s="9">
        <f>IF($A966=VLOOKUP(YEAR($A966),'Festive dates'!$A$2:$J$5,3,FALSE),1,0)</f>
        <v>0</v>
      </c>
      <c r="U966" s="9">
        <f>IF($A966=VLOOKUP(YEAR($A966),'Festive dates'!$A$2:$J$5,4,FALSE),1,0)</f>
        <v>0</v>
      </c>
      <c r="V966" s="9">
        <f>IF(AND($A966&gt;=VLOOKUP(YEAR($A966),'Festive dates'!$A$2:$J$5,9,FALSE),$A966&lt;=VLOOKUP(YEAR($A966),'Festive dates'!$A$2:$J$5,10,FALSE)),1,0)</f>
        <v>0</v>
      </c>
      <c r="W966" s="9">
        <f>IF($A966=VLOOKUP(YEAR($A966),'Festive dates'!$A$2:$J$5,7,FALSE),1,0)</f>
        <v>0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>
      <c r="A967" s="8">
        <v>45982</v>
      </c>
      <c r="B967" s="9">
        <v>0</v>
      </c>
      <c r="C967" s="9">
        <v>0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f>MAX(-20,MIN(10,$A967-VLOOKUP(YEAR($A967),'Festive dates'!$A$2:$J$5,8,FALSE)))</f>
        <v>10</v>
      </c>
      <c r="R967" s="9">
        <f>IF(AND($A967&gt;VLOOKUP(YEAR($A967),'Festive dates'!$A$2:$J$5,2,FALSE),$A967&lt;VLOOKUP(YEAR($A967),'Festive dates'!$A$2:$J$5,3,FALSE)),1,0)</f>
        <v>0</v>
      </c>
      <c r="S967" s="9">
        <f>IF($A967=VLOOKUP(YEAR($A967),'Festive dates'!$A$2:$J$5,2,FALSE),1,0)</f>
        <v>0</v>
      </c>
      <c r="T967" s="9">
        <f>IF($A967=VLOOKUP(YEAR($A967),'Festive dates'!$A$2:$J$5,3,FALSE),1,0)</f>
        <v>0</v>
      </c>
      <c r="U967" s="9">
        <f>IF($A967=VLOOKUP(YEAR($A967),'Festive dates'!$A$2:$J$5,4,FALSE),1,0)</f>
        <v>0</v>
      </c>
      <c r="V967" s="9">
        <f>IF(AND($A967&gt;=VLOOKUP(YEAR($A967),'Festive dates'!$A$2:$J$5,9,FALSE),$A967&lt;=VLOOKUP(YEAR($A967),'Festive dates'!$A$2:$J$5,10,FALSE)),1,0)</f>
        <v>0</v>
      </c>
      <c r="W967" s="9">
        <f>IF($A967=VLOOKUP(YEAR($A967),'Festive dates'!$A$2:$J$5,7,FALSE),1,0)</f>
        <v>0</v>
      </c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>
      <c r="A968" s="8">
        <v>45983</v>
      </c>
      <c r="B968" s="9">
        <v>0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f>MAX(-20,MIN(10,$A968-VLOOKUP(YEAR($A968),'Festive dates'!$A$2:$J$5,8,FALSE)))</f>
        <v>10</v>
      </c>
      <c r="R968" s="9">
        <f>IF(AND($A968&gt;VLOOKUP(YEAR($A968),'Festive dates'!$A$2:$J$5,2,FALSE),$A968&lt;VLOOKUP(YEAR($A968),'Festive dates'!$A$2:$J$5,3,FALSE)),1,0)</f>
        <v>0</v>
      </c>
      <c r="S968" s="9">
        <f>IF($A968=VLOOKUP(YEAR($A968),'Festive dates'!$A$2:$J$5,2,FALSE),1,0)</f>
        <v>0</v>
      </c>
      <c r="T968" s="9">
        <f>IF($A968=VLOOKUP(YEAR($A968),'Festive dates'!$A$2:$J$5,3,FALSE),1,0)</f>
        <v>0</v>
      </c>
      <c r="U968" s="9">
        <f>IF($A968=VLOOKUP(YEAR($A968),'Festive dates'!$A$2:$J$5,4,FALSE),1,0)</f>
        <v>0</v>
      </c>
      <c r="V968" s="9">
        <f>IF(AND($A968&gt;=VLOOKUP(YEAR($A968),'Festive dates'!$A$2:$J$5,9,FALSE),$A968&lt;=VLOOKUP(YEAR($A968),'Festive dates'!$A$2:$J$5,10,FALSE)),1,0)</f>
        <v>0</v>
      </c>
      <c r="W968" s="9">
        <f>IF($A968=VLOOKUP(YEAR($A968),'Festive dates'!$A$2:$J$5,7,FALSE),1,0)</f>
        <v>0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>
      <c r="A969" s="8">
        <v>45984</v>
      </c>
      <c r="B969" s="9">
        <v>0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1</v>
      </c>
      <c r="Q969" s="9">
        <f>MAX(-20,MIN(10,$A969-VLOOKUP(YEAR($A969),'Festive dates'!$A$2:$J$5,8,FALSE)))</f>
        <v>10</v>
      </c>
      <c r="R969" s="9">
        <f>IF(AND($A969&gt;VLOOKUP(YEAR($A969),'Festive dates'!$A$2:$J$5,2,FALSE),$A969&lt;VLOOKUP(YEAR($A969),'Festive dates'!$A$2:$J$5,3,FALSE)),1,0)</f>
        <v>0</v>
      </c>
      <c r="S969" s="9">
        <f>IF($A969=VLOOKUP(YEAR($A969),'Festive dates'!$A$2:$J$5,2,FALSE),1,0)</f>
        <v>0</v>
      </c>
      <c r="T969" s="9">
        <f>IF($A969=VLOOKUP(YEAR($A969),'Festive dates'!$A$2:$J$5,3,FALSE),1,0)</f>
        <v>0</v>
      </c>
      <c r="U969" s="9">
        <f>IF($A969=VLOOKUP(YEAR($A969),'Festive dates'!$A$2:$J$5,4,FALSE),1,0)</f>
        <v>0</v>
      </c>
      <c r="V969" s="9">
        <f>IF(AND($A969&gt;=VLOOKUP(YEAR($A969),'Festive dates'!$A$2:$J$5,9,FALSE),$A969&lt;=VLOOKUP(YEAR($A969),'Festive dates'!$A$2:$J$5,10,FALSE)),1,0)</f>
        <v>0</v>
      </c>
      <c r="W969" s="9">
        <f>IF($A969=VLOOKUP(YEAR($A969),'Festive dates'!$A$2:$J$5,7,FALSE),1,0)</f>
        <v>0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>
      <c r="A970" s="8">
        <v>45985</v>
      </c>
      <c r="B970" s="9">
        <v>0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f>MAX(-20,MIN(10,$A970-VLOOKUP(YEAR($A970),'Festive dates'!$A$2:$J$5,8,FALSE)))</f>
        <v>10</v>
      </c>
      <c r="R970" s="9">
        <f>IF(AND($A970&gt;VLOOKUP(YEAR($A970),'Festive dates'!$A$2:$J$5,2,FALSE),$A970&lt;VLOOKUP(YEAR($A970),'Festive dates'!$A$2:$J$5,3,FALSE)),1,0)</f>
        <v>0</v>
      </c>
      <c r="S970" s="9">
        <f>IF($A970=VLOOKUP(YEAR($A970),'Festive dates'!$A$2:$J$5,2,FALSE),1,0)</f>
        <v>0</v>
      </c>
      <c r="T970" s="9">
        <f>IF($A970=VLOOKUP(YEAR($A970),'Festive dates'!$A$2:$J$5,3,FALSE),1,0)</f>
        <v>0</v>
      </c>
      <c r="U970" s="9">
        <f>IF($A970=VLOOKUP(YEAR($A970),'Festive dates'!$A$2:$J$5,4,FALSE),1,0)</f>
        <v>0</v>
      </c>
      <c r="V970" s="9">
        <f>IF(AND($A970&gt;=VLOOKUP(YEAR($A970),'Festive dates'!$A$2:$J$5,9,FALSE),$A970&lt;=VLOOKUP(YEAR($A970),'Festive dates'!$A$2:$J$5,10,FALSE)),1,0)</f>
        <v>0</v>
      </c>
      <c r="W970" s="9">
        <f>IF($A970=VLOOKUP(YEAR($A970),'Festive dates'!$A$2:$J$5,7,FALSE),1,0)</f>
        <v>0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>
      <c r="A971" s="8">
        <v>45986</v>
      </c>
      <c r="B971" s="9">
        <v>0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f>MAX(-20,MIN(10,$A971-VLOOKUP(YEAR($A971),'Festive dates'!$A$2:$J$5,8,FALSE)))</f>
        <v>10</v>
      </c>
      <c r="R971" s="9">
        <f>IF(AND($A971&gt;VLOOKUP(YEAR($A971),'Festive dates'!$A$2:$J$5,2,FALSE),$A971&lt;VLOOKUP(YEAR($A971),'Festive dates'!$A$2:$J$5,3,FALSE)),1,0)</f>
        <v>0</v>
      </c>
      <c r="S971" s="9">
        <f>IF($A971=VLOOKUP(YEAR($A971),'Festive dates'!$A$2:$J$5,2,FALSE),1,0)</f>
        <v>0</v>
      </c>
      <c r="T971" s="9">
        <f>IF($A971=VLOOKUP(YEAR($A971),'Festive dates'!$A$2:$J$5,3,FALSE),1,0)</f>
        <v>0</v>
      </c>
      <c r="U971" s="9">
        <f>IF($A971=VLOOKUP(YEAR($A971),'Festive dates'!$A$2:$J$5,4,FALSE),1,0)</f>
        <v>0</v>
      </c>
      <c r="V971" s="9">
        <f>IF(AND($A971&gt;=VLOOKUP(YEAR($A971),'Festive dates'!$A$2:$J$5,9,FALSE),$A971&lt;=VLOOKUP(YEAR($A971),'Festive dates'!$A$2:$J$5,10,FALSE)),1,0)</f>
        <v>0</v>
      </c>
      <c r="W971" s="9">
        <f>IF($A971=VLOOKUP(YEAR($A971),'Festive dates'!$A$2:$J$5,7,FALSE),1,0)</f>
        <v>0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>
      <c r="A972" s="8">
        <v>45987</v>
      </c>
      <c r="B972" s="9">
        <v>0</v>
      </c>
      <c r="C972" s="9">
        <v>0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f>MAX(-20,MIN(10,$A972-VLOOKUP(YEAR($A972),'Festive dates'!$A$2:$J$5,8,FALSE)))</f>
        <v>10</v>
      </c>
      <c r="R972" s="9">
        <f>IF(AND($A972&gt;VLOOKUP(YEAR($A972),'Festive dates'!$A$2:$J$5,2,FALSE),$A972&lt;VLOOKUP(YEAR($A972),'Festive dates'!$A$2:$J$5,3,FALSE)),1,0)</f>
        <v>0</v>
      </c>
      <c r="S972" s="9">
        <f>IF($A972=VLOOKUP(YEAR($A972),'Festive dates'!$A$2:$J$5,2,FALSE),1,0)</f>
        <v>0</v>
      </c>
      <c r="T972" s="9">
        <f>IF($A972=VLOOKUP(YEAR($A972),'Festive dates'!$A$2:$J$5,3,FALSE),1,0)</f>
        <v>0</v>
      </c>
      <c r="U972" s="9">
        <f>IF($A972=VLOOKUP(YEAR($A972),'Festive dates'!$A$2:$J$5,4,FALSE),1,0)</f>
        <v>0</v>
      </c>
      <c r="V972" s="9">
        <f>IF(AND($A972&gt;=VLOOKUP(YEAR($A972),'Festive dates'!$A$2:$J$5,9,FALSE),$A972&lt;=VLOOKUP(YEAR($A972),'Festive dates'!$A$2:$J$5,10,FALSE)),1,0)</f>
        <v>0</v>
      </c>
      <c r="W972" s="9">
        <f>IF($A972=VLOOKUP(YEAR($A972),'Festive dates'!$A$2:$J$5,7,FALSE),1,0)</f>
        <v>0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>
      <c r="A973" s="8">
        <v>45988</v>
      </c>
      <c r="B973" s="9">
        <v>0</v>
      </c>
      <c r="C973" s="9">
        <v>0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1</v>
      </c>
      <c r="Q973" s="9">
        <f>MAX(-20,MIN(10,$A973-VLOOKUP(YEAR($A973),'Festive dates'!$A$2:$J$5,8,FALSE)))</f>
        <v>10</v>
      </c>
      <c r="R973" s="9">
        <f>IF(AND($A973&gt;VLOOKUP(YEAR($A973),'Festive dates'!$A$2:$J$5,2,FALSE),$A973&lt;VLOOKUP(YEAR($A973),'Festive dates'!$A$2:$J$5,3,FALSE)),1,0)</f>
        <v>0</v>
      </c>
      <c r="S973" s="9">
        <f>IF($A973=VLOOKUP(YEAR($A973),'Festive dates'!$A$2:$J$5,2,FALSE),1,0)</f>
        <v>0</v>
      </c>
      <c r="T973" s="9">
        <f>IF($A973=VLOOKUP(YEAR($A973),'Festive dates'!$A$2:$J$5,3,FALSE),1,0)</f>
        <v>0</v>
      </c>
      <c r="U973" s="9">
        <f>IF($A973=VLOOKUP(YEAR($A973),'Festive dates'!$A$2:$J$5,4,FALSE),1,0)</f>
        <v>0</v>
      </c>
      <c r="V973" s="9">
        <f>IF(AND($A973&gt;=VLOOKUP(YEAR($A973),'Festive dates'!$A$2:$J$5,9,FALSE),$A973&lt;=VLOOKUP(YEAR($A973),'Festive dates'!$A$2:$J$5,10,FALSE)),1,0)</f>
        <v>0</v>
      </c>
      <c r="W973" s="9">
        <f>IF($A973=VLOOKUP(YEAR($A973),'Festive dates'!$A$2:$J$5,7,FALSE),1,0)</f>
        <v>0</v>
      </c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>
      <c r="A974" s="8">
        <v>45989</v>
      </c>
      <c r="B974" s="9">
        <v>0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1</v>
      </c>
      <c r="Q974" s="9">
        <f>MAX(-20,MIN(10,$A974-VLOOKUP(YEAR($A974),'Festive dates'!$A$2:$J$5,8,FALSE)))</f>
        <v>10</v>
      </c>
      <c r="R974" s="9">
        <f>IF(AND($A974&gt;VLOOKUP(YEAR($A974),'Festive dates'!$A$2:$J$5,2,FALSE),$A974&lt;VLOOKUP(YEAR($A974),'Festive dates'!$A$2:$J$5,3,FALSE)),1,0)</f>
        <v>0</v>
      </c>
      <c r="S974" s="9">
        <f>IF($A974=VLOOKUP(YEAR($A974),'Festive dates'!$A$2:$J$5,2,FALSE),1,0)</f>
        <v>0</v>
      </c>
      <c r="T974" s="9">
        <f>IF($A974=VLOOKUP(YEAR($A974),'Festive dates'!$A$2:$J$5,3,FALSE),1,0)</f>
        <v>0</v>
      </c>
      <c r="U974" s="9">
        <f>IF($A974=VLOOKUP(YEAR($A974),'Festive dates'!$A$2:$J$5,4,FALSE),1,0)</f>
        <v>0</v>
      </c>
      <c r="V974" s="9">
        <f>IF(AND($A974&gt;=VLOOKUP(YEAR($A974),'Festive dates'!$A$2:$J$5,9,FALSE),$A974&lt;=VLOOKUP(YEAR($A974),'Festive dates'!$A$2:$J$5,10,FALSE)),1,0)</f>
        <v>0</v>
      </c>
      <c r="W974" s="9">
        <f>IF($A974=VLOOKUP(YEAR($A974),'Festive dates'!$A$2:$J$5,7,FALSE),1,0)</f>
        <v>0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>
      <c r="A975" s="8">
        <v>45990</v>
      </c>
      <c r="B975" s="9">
        <v>0</v>
      </c>
      <c r="C975" s="9">
        <v>0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1</v>
      </c>
      <c r="Q975" s="9">
        <f>MAX(-20,MIN(10,$A975-VLOOKUP(YEAR($A975),'Festive dates'!$A$2:$J$5,8,FALSE)))</f>
        <v>10</v>
      </c>
      <c r="R975" s="9">
        <f>IF(AND($A975&gt;VLOOKUP(YEAR($A975),'Festive dates'!$A$2:$J$5,2,FALSE),$A975&lt;VLOOKUP(YEAR($A975),'Festive dates'!$A$2:$J$5,3,FALSE)),1,0)</f>
        <v>0</v>
      </c>
      <c r="S975" s="9">
        <f>IF($A975=VLOOKUP(YEAR($A975),'Festive dates'!$A$2:$J$5,2,FALSE),1,0)</f>
        <v>0</v>
      </c>
      <c r="T975" s="9">
        <f>IF($A975=VLOOKUP(YEAR($A975),'Festive dates'!$A$2:$J$5,3,FALSE),1,0)</f>
        <v>0</v>
      </c>
      <c r="U975" s="9">
        <f>IF($A975=VLOOKUP(YEAR($A975),'Festive dates'!$A$2:$J$5,4,FALSE),1,0)</f>
        <v>0</v>
      </c>
      <c r="V975" s="9">
        <f>IF(AND($A975&gt;=VLOOKUP(YEAR($A975),'Festive dates'!$A$2:$J$5,9,FALSE),$A975&lt;=VLOOKUP(YEAR($A975),'Festive dates'!$A$2:$J$5,10,FALSE)),1,0)</f>
        <v>0</v>
      </c>
      <c r="W975" s="9">
        <f>IF($A975=VLOOKUP(YEAR($A975),'Festive dates'!$A$2:$J$5,7,FALSE),1,0)</f>
        <v>0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>
      <c r="A976" s="8">
        <v>45991</v>
      </c>
      <c r="B976" s="9">
        <v>0</v>
      </c>
      <c r="C976" s="9">
        <v>0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f>MAX(-20,MIN(10,$A976-VLOOKUP(YEAR($A976),'Festive dates'!$A$2:$J$5,8,FALSE)))</f>
        <v>10</v>
      </c>
      <c r="R976" s="9">
        <f>IF(AND($A976&gt;VLOOKUP(YEAR($A976),'Festive dates'!$A$2:$J$5,2,FALSE),$A976&lt;VLOOKUP(YEAR($A976),'Festive dates'!$A$2:$J$5,3,FALSE)),1,0)</f>
        <v>0</v>
      </c>
      <c r="S976" s="9">
        <f>IF($A976=VLOOKUP(YEAR($A976),'Festive dates'!$A$2:$J$5,2,FALSE),1,0)</f>
        <v>0</v>
      </c>
      <c r="T976" s="9">
        <f>IF($A976=VLOOKUP(YEAR($A976),'Festive dates'!$A$2:$J$5,3,FALSE),1,0)</f>
        <v>0</v>
      </c>
      <c r="U976" s="9">
        <f>IF($A976=VLOOKUP(YEAR($A976),'Festive dates'!$A$2:$J$5,4,FALSE),1,0)</f>
        <v>0</v>
      </c>
      <c r="V976" s="9">
        <f>IF(AND($A976&gt;=VLOOKUP(YEAR($A976),'Festive dates'!$A$2:$J$5,9,FALSE),$A976&lt;=VLOOKUP(YEAR($A976),'Festive dates'!$A$2:$J$5,10,FALSE)),1,0)</f>
        <v>0</v>
      </c>
      <c r="W976" s="9">
        <f>IF($A976=VLOOKUP(YEAR($A976),'Festive dates'!$A$2:$J$5,7,FALSE),1,0)</f>
        <v>0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>
      <c r="A977" s="8">
        <v>45992</v>
      </c>
      <c r="B977" s="9">
        <v>0</v>
      </c>
      <c r="C977" s="9">
        <v>0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f>MAX(-20,MIN(10,$A977-VLOOKUP(YEAR($A977),'Festive dates'!$A$2:$J$5,8,FALSE)))</f>
        <v>10</v>
      </c>
      <c r="R977" s="9">
        <f>IF(AND($A977&gt;VLOOKUP(YEAR($A977),'Festive dates'!$A$2:$J$5,2,FALSE),$A977&lt;VLOOKUP(YEAR($A977),'Festive dates'!$A$2:$J$5,3,FALSE)),1,0)</f>
        <v>0</v>
      </c>
      <c r="S977" s="9">
        <f>IF($A977=VLOOKUP(YEAR($A977),'Festive dates'!$A$2:$J$5,2,FALSE),1,0)</f>
        <v>0</v>
      </c>
      <c r="T977" s="9">
        <f>IF($A977=VLOOKUP(YEAR($A977),'Festive dates'!$A$2:$J$5,3,FALSE),1,0)</f>
        <v>0</v>
      </c>
      <c r="U977" s="9">
        <f>IF($A977=VLOOKUP(YEAR($A977),'Festive dates'!$A$2:$J$5,4,FALSE),1,0)</f>
        <v>0</v>
      </c>
      <c r="V977" s="9">
        <f>IF(AND($A977&gt;=VLOOKUP(YEAR($A977),'Festive dates'!$A$2:$J$5,9,FALSE),$A977&lt;=VLOOKUP(YEAR($A977),'Festive dates'!$A$2:$J$5,10,FALSE)),1,0)</f>
        <v>0</v>
      </c>
      <c r="W977" s="9">
        <f>IF($A977=VLOOKUP(YEAR($A977),'Festive dates'!$A$2:$J$5,7,FALSE),1,0)</f>
        <v>0</v>
      </c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>
      <c r="A978" s="8">
        <v>45993</v>
      </c>
      <c r="B978" s="9">
        <v>0</v>
      </c>
      <c r="C978" s="9">
        <v>0</v>
      </c>
      <c r="D978" s="9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f>MAX(-20,MIN(10,$A978-VLOOKUP(YEAR($A978),'Festive dates'!$A$2:$J$5,8,FALSE)))</f>
        <v>10</v>
      </c>
      <c r="R978" s="9">
        <f>IF(AND($A978&gt;VLOOKUP(YEAR($A978),'Festive dates'!$A$2:$J$5,2,FALSE),$A978&lt;VLOOKUP(YEAR($A978),'Festive dates'!$A$2:$J$5,3,FALSE)),1,0)</f>
        <v>0</v>
      </c>
      <c r="S978" s="9">
        <f>IF($A978=VLOOKUP(YEAR($A978),'Festive dates'!$A$2:$J$5,2,FALSE),1,0)</f>
        <v>0</v>
      </c>
      <c r="T978" s="9">
        <f>IF($A978=VLOOKUP(YEAR($A978),'Festive dates'!$A$2:$J$5,3,FALSE),1,0)</f>
        <v>0</v>
      </c>
      <c r="U978" s="9">
        <f>IF($A978=VLOOKUP(YEAR($A978),'Festive dates'!$A$2:$J$5,4,FALSE),1,0)</f>
        <v>0</v>
      </c>
      <c r="V978" s="9">
        <f>IF(AND($A978&gt;=VLOOKUP(YEAR($A978),'Festive dates'!$A$2:$J$5,9,FALSE),$A978&lt;=VLOOKUP(YEAR($A978),'Festive dates'!$A$2:$J$5,10,FALSE)),1,0)</f>
        <v>0</v>
      </c>
      <c r="W978" s="9">
        <f>IF($A978=VLOOKUP(YEAR($A978),'Festive dates'!$A$2:$J$5,7,FALSE),1,0)</f>
        <v>0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>
      <c r="A979" s="8">
        <v>45994</v>
      </c>
      <c r="B979" s="9">
        <v>0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f>MAX(-20,MIN(10,$A979-VLOOKUP(YEAR($A979),'Festive dates'!$A$2:$J$5,8,FALSE)))</f>
        <v>10</v>
      </c>
      <c r="R979" s="9">
        <f>IF(AND($A979&gt;VLOOKUP(YEAR($A979),'Festive dates'!$A$2:$J$5,2,FALSE),$A979&lt;VLOOKUP(YEAR($A979),'Festive dates'!$A$2:$J$5,3,FALSE)),1,0)</f>
        <v>0</v>
      </c>
      <c r="S979" s="9">
        <f>IF($A979=VLOOKUP(YEAR($A979),'Festive dates'!$A$2:$J$5,2,FALSE),1,0)</f>
        <v>0</v>
      </c>
      <c r="T979" s="9">
        <f>IF($A979=VLOOKUP(YEAR($A979),'Festive dates'!$A$2:$J$5,3,FALSE),1,0)</f>
        <v>0</v>
      </c>
      <c r="U979" s="9">
        <f>IF($A979=VLOOKUP(YEAR($A979),'Festive dates'!$A$2:$J$5,4,FALSE),1,0)</f>
        <v>0</v>
      </c>
      <c r="V979" s="9">
        <f>IF(AND($A979&gt;=VLOOKUP(YEAR($A979),'Festive dates'!$A$2:$J$5,9,FALSE),$A979&lt;=VLOOKUP(YEAR($A979),'Festive dates'!$A$2:$J$5,10,FALSE)),1,0)</f>
        <v>0</v>
      </c>
      <c r="W979" s="9">
        <f>IF($A979=VLOOKUP(YEAR($A979),'Festive dates'!$A$2:$J$5,7,FALSE),1,0)</f>
        <v>0</v>
      </c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>
      <c r="A980" s="8">
        <v>45995</v>
      </c>
      <c r="B980" s="9">
        <v>0</v>
      </c>
      <c r="C980" s="9">
        <v>0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f>MAX(-20,MIN(10,$A980-VLOOKUP(YEAR($A980),'Festive dates'!$A$2:$J$5,8,FALSE)))</f>
        <v>10</v>
      </c>
      <c r="R980" s="9">
        <f>IF(AND($A980&gt;VLOOKUP(YEAR($A980),'Festive dates'!$A$2:$J$5,2,FALSE),$A980&lt;VLOOKUP(YEAR($A980),'Festive dates'!$A$2:$J$5,3,FALSE)),1,0)</f>
        <v>0</v>
      </c>
      <c r="S980" s="9">
        <f>IF($A980=VLOOKUP(YEAR($A980),'Festive dates'!$A$2:$J$5,2,FALSE),1,0)</f>
        <v>0</v>
      </c>
      <c r="T980" s="9">
        <f>IF($A980=VLOOKUP(YEAR($A980),'Festive dates'!$A$2:$J$5,3,FALSE),1,0)</f>
        <v>0</v>
      </c>
      <c r="U980" s="9">
        <f>IF($A980=VLOOKUP(YEAR($A980),'Festive dates'!$A$2:$J$5,4,FALSE),1,0)</f>
        <v>0</v>
      </c>
      <c r="V980" s="9">
        <f>IF(AND($A980&gt;=VLOOKUP(YEAR($A980),'Festive dates'!$A$2:$J$5,9,FALSE),$A980&lt;=VLOOKUP(YEAR($A980),'Festive dates'!$A$2:$J$5,10,FALSE)),1,0)</f>
        <v>0</v>
      </c>
      <c r="W980" s="9">
        <f>IF($A980=VLOOKUP(YEAR($A980),'Festive dates'!$A$2:$J$5,7,FALSE),1,0)</f>
        <v>0</v>
      </c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>
      <c r="A981" s="8">
        <v>45996</v>
      </c>
      <c r="B981" s="9">
        <v>0</v>
      </c>
      <c r="C981" s="9">
        <v>0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f>MAX(-20,MIN(10,$A981-VLOOKUP(YEAR($A981),'Festive dates'!$A$2:$J$5,8,FALSE)))</f>
        <v>10</v>
      </c>
      <c r="R981" s="9">
        <f>IF(AND($A981&gt;VLOOKUP(YEAR($A981),'Festive dates'!$A$2:$J$5,2,FALSE),$A981&lt;VLOOKUP(YEAR($A981),'Festive dates'!$A$2:$J$5,3,FALSE)),1,0)</f>
        <v>0</v>
      </c>
      <c r="S981" s="9">
        <f>IF($A981=VLOOKUP(YEAR($A981),'Festive dates'!$A$2:$J$5,2,FALSE),1,0)</f>
        <v>0</v>
      </c>
      <c r="T981" s="9">
        <f>IF($A981=VLOOKUP(YEAR($A981),'Festive dates'!$A$2:$J$5,3,FALSE),1,0)</f>
        <v>0</v>
      </c>
      <c r="U981" s="9">
        <f>IF($A981=VLOOKUP(YEAR($A981),'Festive dates'!$A$2:$J$5,4,FALSE),1,0)</f>
        <v>0</v>
      </c>
      <c r="V981" s="9">
        <f>IF(AND($A981&gt;=VLOOKUP(YEAR($A981),'Festive dates'!$A$2:$J$5,9,FALSE),$A981&lt;=VLOOKUP(YEAR($A981),'Festive dates'!$A$2:$J$5,10,FALSE)),1,0)</f>
        <v>0</v>
      </c>
      <c r="W981" s="9">
        <f>IF($A981=VLOOKUP(YEAR($A981),'Festive dates'!$A$2:$J$5,7,FALSE),1,0)</f>
        <v>0</v>
      </c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>
      <c r="A982" s="8">
        <v>45997</v>
      </c>
      <c r="B982" s="9">
        <v>0</v>
      </c>
      <c r="C982" s="9">
        <v>0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f>MAX(-20,MIN(10,$A982-VLOOKUP(YEAR($A982),'Festive dates'!$A$2:$J$5,8,FALSE)))</f>
        <v>10</v>
      </c>
      <c r="R982" s="9">
        <f>IF(AND($A982&gt;VLOOKUP(YEAR($A982),'Festive dates'!$A$2:$J$5,2,FALSE),$A982&lt;VLOOKUP(YEAR($A982),'Festive dates'!$A$2:$J$5,3,FALSE)),1,0)</f>
        <v>0</v>
      </c>
      <c r="S982" s="9">
        <f>IF($A982=VLOOKUP(YEAR($A982),'Festive dates'!$A$2:$J$5,2,FALSE),1,0)</f>
        <v>0</v>
      </c>
      <c r="T982" s="9">
        <f>IF($A982=VLOOKUP(YEAR($A982),'Festive dates'!$A$2:$J$5,3,FALSE),1,0)</f>
        <v>0</v>
      </c>
      <c r="U982" s="9">
        <f>IF($A982=VLOOKUP(YEAR($A982),'Festive dates'!$A$2:$J$5,4,FALSE),1,0)</f>
        <v>0</v>
      </c>
      <c r="V982" s="9">
        <f>IF(AND($A982&gt;=VLOOKUP(YEAR($A982),'Festive dates'!$A$2:$J$5,9,FALSE),$A982&lt;=VLOOKUP(YEAR($A982),'Festive dates'!$A$2:$J$5,10,FALSE)),1,0)</f>
        <v>0</v>
      </c>
      <c r="W982" s="9">
        <f>IF($A982=VLOOKUP(YEAR($A982),'Festive dates'!$A$2:$J$5,7,FALSE),1,0)</f>
        <v>0</v>
      </c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>
      <c r="A983" s="8">
        <v>45998</v>
      </c>
      <c r="B983" s="9">
        <v>0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f>MAX(-20,MIN(10,$A983-VLOOKUP(YEAR($A983),'Festive dates'!$A$2:$J$5,8,FALSE)))</f>
        <v>10</v>
      </c>
      <c r="R983" s="9">
        <f>IF(AND($A983&gt;VLOOKUP(YEAR($A983),'Festive dates'!$A$2:$J$5,2,FALSE),$A983&lt;VLOOKUP(YEAR($A983),'Festive dates'!$A$2:$J$5,3,FALSE)),1,0)</f>
        <v>0</v>
      </c>
      <c r="S983" s="9">
        <f>IF($A983=VLOOKUP(YEAR($A983),'Festive dates'!$A$2:$J$5,2,FALSE),1,0)</f>
        <v>0</v>
      </c>
      <c r="T983" s="9">
        <f>IF($A983=VLOOKUP(YEAR($A983),'Festive dates'!$A$2:$J$5,3,FALSE),1,0)</f>
        <v>0</v>
      </c>
      <c r="U983" s="9">
        <f>IF($A983=VLOOKUP(YEAR($A983),'Festive dates'!$A$2:$J$5,4,FALSE),1,0)</f>
        <v>0</v>
      </c>
      <c r="V983" s="9">
        <f>IF(AND($A983&gt;=VLOOKUP(YEAR($A983),'Festive dates'!$A$2:$J$5,9,FALSE),$A983&lt;=VLOOKUP(YEAR($A983),'Festive dates'!$A$2:$J$5,10,FALSE)),1,0)</f>
        <v>0</v>
      </c>
      <c r="W983" s="9">
        <f>IF($A983=VLOOKUP(YEAR($A983),'Festive dates'!$A$2:$J$5,7,FALSE),1,0)</f>
        <v>0</v>
      </c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>
      <c r="A984" s="8">
        <v>45999</v>
      </c>
      <c r="B984" s="9">
        <v>0</v>
      </c>
      <c r="C984" s="9">
        <v>0</v>
      </c>
      <c r="D984" s="9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f>MAX(-20,MIN(10,$A984-VLOOKUP(YEAR($A984),'Festive dates'!$A$2:$J$5,8,FALSE)))</f>
        <v>10</v>
      </c>
      <c r="R984" s="9">
        <f>IF(AND($A984&gt;VLOOKUP(YEAR($A984),'Festive dates'!$A$2:$J$5,2,FALSE),$A984&lt;VLOOKUP(YEAR($A984),'Festive dates'!$A$2:$J$5,3,FALSE)),1,0)</f>
        <v>0</v>
      </c>
      <c r="S984" s="9">
        <f>IF($A984=VLOOKUP(YEAR($A984),'Festive dates'!$A$2:$J$5,2,FALSE),1,0)</f>
        <v>0</v>
      </c>
      <c r="T984" s="9">
        <f>IF($A984=VLOOKUP(YEAR($A984),'Festive dates'!$A$2:$J$5,3,FALSE),1,0)</f>
        <v>0</v>
      </c>
      <c r="U984" s="9">
        <f>IF($A984=VLOOKUP(YEAR($A984),'Festive dates'!$A$2:$J$5,4,FALSE),1,0)</f>
        <v>0</v>
      </c>
      <c r="V984" s="9">
        <f>IF(AND($A984&gt;=VLOOKUP(YEAR($A984),'Festive dates'!$A$2:$J$5,9,FALSE),$A984&lt;=VLOOKUP(YEAR($A984),'Festive dates'!$A$2:$J$5,10,FALSE)),1,0)</f>
        <v>0</v>
      </c>
      <c r="W984" s="9">
        <f>IF($A984=VLOOKUP(YEAR($A984),'Festive dates'!$A$2:$J$5,7,FALSE),1,0)</f>
        <v>0</v>
      </c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>
      <c r="A985" s="8">
        <v>46000</v>
      </c>
      <c r="B985" s="9">
        <v>0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f>MAX(-20,MIN(10,$A985-VLOOKUP(YEAR($A985),'Festive dates'!$A$2:$J$5,8,FALSE)))</f>
        <v>10</v>
      </c>
      <c r="R985" s="9">
        <f>IF(AND($A985&gt;VLOOKUP(YEAR($A985),'Festive dates'!$A$2:$J$5,2,FALSE),$A985&lt;VLOOKUP(YEAR($A985),'Festive dates'!$A$2:$J$5,3,FALSE)),1,0)</f>
        <v>0</v>
      </c>
      <c r="S985" s="9">
        <f>IF($A985=VLOOKUP(YEAR($A985),'Festive dates'!$A$2:$J$5,2,FALSE),1,0)</f>
        <v>0</v>
      </c>
      <c r="T985" s="9">
        <f>IF($A985=VLOOKUP(YEAR($A985),'Festive dates'!$A$2:$J$5,3,FALSE),1,0)</f>
        <v>0</v>
      </c>
      <c r="U985" s="9">
        <f>IF($A985=VLOOKUP(YEAR($A985),'Festive dates'!$A$2:$J$5,4,FALSE),1,0)</f>
        <v>0</v>
      </c>
      <c r="V985" s="9">
        <f>IF(AND($A985&gt;=VLOOKUP(YEAR($A985),'Festive dates'!$A$2:$J$5,9,FALSE),$A985&lt;=VLOOKUP(YEAR($A985),'Festive dates'!$A$2:$J$5,10,FALSE)),1,0)</f>
        <v>0</v>
      </c>
      <c r="W985" s="9">
        <f>IF($A985=VLOOKUP(YEAR($A985),'Festive dates'!$A$2:$J$5,7,FALSE),1,0)</f>
        <v>0</v>
      </c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>
      <c r="A986" s="8">
        <v>46001</v>
      </c>
      <c r="B986" s="9">
        <v>0</v>
      </c>
      <c r="C986" s="9">
        <v>0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f>MAX(-20,MIN(10,$A986-VLOOKUP(YEAR($A986),'Festive dates'!$A$2:$J$5,8,FALSE)))</f>
        <v>10</v>
      </c>
      <c r="R986" s="9">
        <f>IF(AND($A986&gt;VLOOKUP(YEAR($A986),'Festive dates'!$A$2:$J$5,2,FALSE),$A986&lt;VLOOKUP(YEAR($A986),'Festive dates'!$A$2:$J$5,3,FALSE)),1,0)</f>
        <v>0</v>
      </c>
      <c r="S986" s="9">
        <f>IF($A986=VLOOKUP(YEAR($A986),'Festive dates'!$A$2:$J$5,2,FALSE),1,0)</f>
        <v>0</v>
      </c>
      <c r="T986" s="9">
        <f>IF($A986=VLOOKUP(YEAR($A986),'Festive dates'!$A$2:$J$5,3,FALSE),1,0)</f>
        <v>0</v>
      </c>
      <c r="U986" s="9">
        <f>IF($A986=VLOOKUP(YEAR($A986),'Festive dates'!$A$2:$J$5,4,FALSE),1,0)</f>
        <v>0</v>
      </c>
      <c r="V986" s="9">
        <f>IF(AND($A986&gt;=VLOOKUP(YEAR($A986),'Festive dates'!$A$2:$J$5,9,FALSE),$A986&lt;=VLOOKUP(YEAR($A986),'Festive dates'!$A$2:$J$5,10,FALSE)),1,0)</f>
        <v>0</v>
      </c>
      <c r="W986" s="9">
        <f>IF($A986=VLOOKUP(YEAR($A986),'Festive dates'!$A$2:$J$5,7,FALSE),1,0)</f>
        <v>0</v>
      </c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>
      <c r="A987" s="8">
        <v>46002</v>
      </c>
      <c r="B987" s="9">
        <v>0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f>MAX(-20,MIN(10,$A987-VLOOKUP(YEAR($A987),'Festive dates'!$A$2:$J$5,8,FALSE)))</f>
        <v>10</v>
      </c>
      <c r="R987" s="9">
        <f>IF(AND($A987&gt;VLOOKUP(YEAR($A987),'Festive dates'!$A$2:$J$5,2,FALSE),$A987&lt;VLOOKUP(YEAR($A987),'Festive dates'!$A$2:$J$5,3,FALSE)),1,0)</f>
        <v>0</v>
      </c>
      <c r="S987" s="9">
        <f>IF($A987=VLOOKUP(YEAR($A987),'Festive dates'!$A$2:$J$5,2,FALSE),1,0)</f>
        <v>0</v>
      </c>
      <c r="T987" s="9">
        <f>IF($A987=VLOOKUP(YEAR($A987),'Festive dates'!$A$2:$J$5,3,FALSE),1,0)</f>
        <v>0</v>
      </c>
      <c r="U987" s="9">
        <f>IF($A987=VLOOKUP(YEAR($A987),'Festive dates'!$A$2:$J$5,4,FALSE),1,0)</f>
        <v>0</v>
      </c>
      <c r="V987" s="9">
        <f>IF(AND($A987&gt;=VLOOKUP(YEAR($A987),'Festive dates'!$A$2:$J$5,9,FALSE),$A987&lt;=VLOOKUP(YEAR($A987),'Festive dates'!$A$2:$J$5,10,FALSE)),1,0)</f>
        <v>0</v>
      </c>
      <c r="W987" s="9">
        <f>IF($A987=VLOOKUP(YEAR($A987),'Festive dates'!$A$2:$J$5,7,FALSE),1,0)</f>
        <v>0</v>
      </c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>
      <c r="A988" s="8">
        <v>46003</v>
      </c>
      <c r="B988" s="9">
        <v>0</v>
      </c>
      <c r="C988" s="9">
        <v>0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f>MAX(-20,MIN(10,$A988-VLOOKUP(YEAR($A988),'Festive dates'!$A$2:$J$5,8,FALSE)))</f>
        <v>10</v>
      </c>
      <c r="R988" s="9">
        <f>IF(AND($A988&gt;VLOOKUP(YEAR($A988),'Festive dates'!$A$2:$J$5,2,FALSE),$A988&lt;VLOOKUP(YEAR($A988),'Festive dates'!$A$2:$J$5,3,FALSE)),1,0)</f>
        <v>0</v>
      </c>
      <c r="S988" s="9">
        <f>IF($A988=VLOOKUP(YEAR($A988),'Festive dates'!$A$2:$J$5,2,FALSE),1,0)</f>
        <v>0</v>
      </c>
      <c r="T988" s="9">
        <f>IF($A988=VLOOKUP(YEAR($A988),'Festive dates'!$A$2:$J$5,3,FALSE),1,0)</f>
        <v>0</v>
      </c>
      <c r="U988" s="9">
        <f>IF($A988=VLOOKUP(YEAR($A988),'Festive dates'!$A$2:$J$5,4,FALSE),1,0)</f>
        <v>0</v>
      </c>
      <c r="V988" s="9">
        <f>IF(AND($A988&gt;=VLOOKUP(YEAR($A988),'Festive dates'!$A$2:$J$5,9,FALSE),$A988&lt;=VLOOKUP(YEAR($A988),'Festive dates'!$A$2:$J$5,10,FALSE)),1,0)</f>
        <v>0</v>
      </c>
      <c r="W988" s="9">
        <f>IF($A988=VLOOKUP(YEAR($A988),'Festive dates'!$A$2:$J$5,7,FALSE),1,0)</f>
        <v>0</v>
      </c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>
      <c r="A989" s="8">
        <v>46004</v>
      </c>
      <c r="B989" s="9">
        <v>0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f>MAX(-20,MIN(10,$A989-VLOOKUP(YEAR($A989),'Festive dates'!$A$2:$J$5,8,FALSE)))</f>
        <v>10</v>
      </c>
      <c r="R989" s="9">
        <f>IF(AND($A989&gt;VLOOKUP(YEAR($A989),'Festive dates'!$A$2:$J$5,2,FALSE),$A989&lt;VLOOKUP(YEAR($A989),'Festive dates'!$A$2:$J$5,3,FALSE)),1,0)</f>
        <v>0</v>
      </c>
      <c r="S989" s="9">
        <f>IF($A989=VLOOKUP(YEAR($A989),'Festive dates'!$A$2:$J$5,2,FALSE),1,0)</f>
        <v>0</v>
      </c>
      <c r="T989" s="9">
        <f>IF($A989=VLOOKUP(YEAR($A989),'Festive dates'!$A$2:$J$5,3,FALSE),1,0)</f>
        <v>0</v>
      </c>
      <c r="U989" s="9">
        <f>IF($A989=VLOOKUP(YEAR($A989),'Festive dates'!$A$2:$J$5,4,FALSE),1,0)</f>
        <v>0</v>
      </c>
      <c r="V989" s="9">
        <f>IF(AND($A989&gt;=VLOOKUP(YEAR($A989),'Festive dates'!$A$2:$J$5,9,FALSE),$A989&lt;=VLOOKUP(YEAR($A989),'Festive dates'!$A$2:$J$5,10,FALSE)),1,0)</f>
        <v>0</v>
      </c>
      <c r="W989" s="9">
        <f>IF($A989=VLOOKUP(YEAR($A989),'Festive dates'!$A$2:$J$5,7,FALSE),1,0)</f>
        <v>0</v>
      </c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>
      <c r="A990" s="8">
        <v>46005</v>
      </c>
      <c r="B990" s="9">
        <v>0</v>
      </c>
      <c r="C990" s="9">
        <v>0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f>MAX(-20,MIN(10,$A990-VLOOKUP(YEAR($A990),'Festive dates'!$A$2:$J$5,8,FALSE)))</f>
        <v>10</v>
      </c>
      <c r="R990" s="9">
        <f>IF(AND($A990&gt;VLOOKUP(YEAR($A990),'Festive dates'!$A$2:$J$5,2,FALSE),$A990&lt;VLOOKUP(YEAR($A990),'Festive dates'!$A$2:$J$5,3,FALSE)),1,0)</f>
        <v>0</v>
      </c>
      <c r="S990" s="9">
        <f>IF($A990=VLOOKUP(YEAR($A990),'Festive dates'!$A$2:$J$5,2,FALSE),1,0)</f>
        <v>0</v>
      </c>
      <c r="T990" s="9">
        <f>IF($A990=VLOOKUP(YEAR($A990),'Festive dates'!$A$2:$J$5,3,FALSE),1,0)</f>
        <v>0</v>
      </c>
      <c r="U990" s="9">
        <f>IF($A990=VLOOKUP(YEAR($A990),'Festive dates'!$A$2:$J$5,4,FALSE),1,0)</f>
        <v>0</v>
      </c>
      <c r="V990" s="9">
        <f>IF(AND($A990&gt;=VLOOKUP(YEAR($A990),'Festive dates'!$A$2:$J$5,9,FALSE),$A990&lt;=VLOOKUP(YEAR($A990),'Festive dates'!$A$2:$J$5,10,FALSE)),1,0)</f>
        <v>0</v>
      </c>
      <c r="W990" s="9">
        <f>IF($A990=VLOOKUP(YEAR($A990),'Festive dates'!$A$2:$J$5,7,FALSE),1,0)</f>
        <v>0</v>
      </c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>
      <c r="A991" s="8">
        <v>46006</v>
      </c>
      <c r="B991" s="9">
        <v>0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f>MAX(-20,MIN(10,$A991-VLOOKUP(YEAR($A991),'Festive dates'!$A$2:$J$5,8,FALSE)))</f>
        <v>10</v>
      </c>
      <c r="R991" s="9">
        <f>IF(AND($A991&gt;VLOOKUP(YEAR($A991),'Festive dates'!$A$2:$J$5,2,FALSE),$A991&lt;VLOOKUP(YEAR($A991),'Festive dates'!$A$2:$J$5,3,FALSE)),1,0)</f>
        <v>0</v>
      </c>
      <c r="S991" s="9">
        <f>IF($A991=VLOOKUP(YEAR($A991),'Festive dates'!$A$2:$J$5,2,FALSE),1,0)</f>
        <v>0</v>
      </c>
      <c r="T991" s="9">
        <f>IF($A991=VLOOKUP(YEAR($A991),'Festive dates'!$A$2:$J$5,3,FALSE),1,0)</f>
        <v>0</v>
      </c>
      <c r="U991" s="9">
        <f>IF($A991=VLOOKUP(YEAR($A991),'Festive dates'!$A$2:$J$5,4,FALSE),1,0)</f>
        <v>0</v>
      </c>
      <c r="V991" s="9">
        <f>IF(AND($A991&gt;=VLOOKUP(YEAR($A991),'Festive dates'!$A$2:$J$5,9,FALSE),$A991&lt;=VLOOKUP(YEAR($A991),'Festive dates'!$A$2:$J$5,10,FALSE)),1,0)</f>
        <v>0</v>
      </c>
      <c r="W991" s="9">
        <f>IF($A991=VLOOKUP(YEAR($A991),'Festive dates'!$A$2:$J$5,7,FALSE),1,0)</f>
        <v>0</v>
      </c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>
      <c r="A992" s="8">
        <v>46007</v>
      </c>
      <c r="B992" s="9">
        <v>0</v>
      </c>
      <c r="C992" s="9">
        <v>0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f>MAX(-20,MIN(10,$A992-VLOOKUP(YEAR($A992),'Festive dates'!$A$2:$J$5,8,FALSE)))</f>
        <v>10</v>
      </c>
      <c r="R992" s="9">
        <f>IF(AND($A992&gt;VLOOKUP(YEAR($A992),'Festive dates'!$A$2:$J$5,2,FALSE),$A992&lt;VLOOKUP(YEAR($A992),'Festive dates'!$A$2:$J$5,3,FALSE)),1,0)</f>
        <v>0</v>
      </c>
      <c r="S992" s="9">
        <f>IF($A992=VLOOKUP(YEAR($A992),'Festive dates'!$A$2:$J$5,2,FALSE),1,0)</f>
        <v>0</v>
      </c>
      <c r="T992" s="9">
        <f>IF($A992=VLOOKUP(YEAR($A992),'Festive dates'!$A$2:$J$5,3,FALSE),1,0)</f>
        <v>0</v>
      </c>
      <c r="U992" s="9">
        <f>IF($A992=VLOOKUP(YEAR($A992),'Festive dates'!$A$2:$J$5,4,FALSE),1,0)</f>
        <v>0</v>
      </c>
      <c r="V992" s="9">
        <f>IF(AND($A992&gt;=VLOOKUP(YEAR($A992),'Festive dates'!$A$2:$J$5,9,FALSE),$A992&lt;=VLOOKUP(YEAR($A992),'Festive dates'!$A$2:$J$5,10,FALSE)),1,0)</f>
        <v>0</v>
      </c>
      <c r="W992" s="9">
        <f>IF($A992=VLOOKUP(YEAR($A992),'Festive dates'!$A$2:$J$5,7,FALSE),1,0)</f>
        <v>0</v>
      </c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>
      <c r="A993" s="8">
        <v>46008</v>
      </c>
      <c r="B993" s="9">
        <v>0</v>
      </c>
      <c r="C993" s="9">
        <v>0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f>MAX(-20,MIN(10,$A993-VLOOKUP(YEAR($A993),'Festive dates'!$A$2:$J$5,8,FALSE)))</f>
        <v>10</v>
      </c>
      <c r="R993" s="9">
        <f>IF(AND($A993&gt;VLOOKUP(YEAR($A993),'Festive dates'!$A$2:$J$5,2,FALSE),$A993&lt;VLOOKUP(YEAR($A993),'Festive dates'!$A$2:$J$5,3,FALSE)),1,0)</f>
        <v>0</v>
      </c>
      <c r="S993" s="9">
        <f>IF($A993=VLOOKUP(YEAR($A993),'Festive dates'!$A$2:$J$5,2,FALSE),1,0)</f>
        <v>0</v>
      </c>
      <c r="T993" s="9">
        <f>IF($A993=VLOOKUP(YEAR($A993),'Festive dates'!$A$2:$J$5,3,FALSE),1,0)</f>
        <v>0</v>
      </c>
      <c r="U993" s="9">
        <f>IF($A993=VLOOKUP(YEAR($A993),'Festive dates'!$A$2:$J$5,4,FALSE),1,0)</f>
        <v>0</v>
      </c>
      <c r="V993" s="9">
        <f>IF(AND($A993&gt;=VLOOKUP(YEAR($A993),'Festive dates'!$A$2:$J$5,9,FALSE),$A993&lt;=VLOOKUP(YEAR($A993),'Festive dates'!$A$2:$J$5,10,FALSE)),1,0)</f>
        <v>0</v>
      </c>
      <c r="W993" s="9">
        <f>IF($A993=VLOOKUP(YEAR($A993),'Festive dates'!$A$2:$J$5,7,FALSE),1,0)</f>
        <v>0</v>
      </c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>
      <c r="A994" s="8">
        <v>46009</v>
      </c>
      <c r="B994" s="9">
        <v>0</v>
      </c>
      <c r="C994" s="9">
        <v>0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f>MAX(-20,MIN(10,$A994-VLOOKUP(YEAR($A994),'Festive dates'!$A$2:$J$5,8,FALSE)))</f>
        <v>10</v>
      </c>
      <c r="R994" s="9">
        <f>IF(AND($A994&gt;VLOOKUP(YEAR($A994),'Festive dates'!$A$2:$J$5,2,FALSE),$A994&lt;VLOOKUP(YEAR($A994),'Festive dates'!$A$2:$J$5,3,FALSE)),1,0)</f>
        <v>0</v>
      </c>
      <c r="S994" s="9">
        <f>IF($A994=VLOOKUP(YEAR($A994),'Festive dates'!$A$2:$J$5,2,FALSE),1,0)</f>
        <v>0</v>
      </c>
      <c r="T994" s="9">
        <f>IF($A994=VLOOKUP(YEAR($A994),'Festive dates'!$A$2:$J$5,3,FALSE),1,0)</f>
        <v>0</v>
      </c>
      <c r="U994" s="9">
        <f>IF($A994=VLOOKUP(YEAR($A994),'Festive dates'!$A$2:$J$5,4,FALSE),1,0)</f>
        <v>0</v>
      </c>
      <c r="V994" s="9">
        <f>IF(AND($A994&gt;=VLOOKUP(YEAR($A994),'Festive dates'!$A$2:$J$5,9,FALSE),$A994&lt;=VLOOKUP(YEAR($A994),'Festive dates'!$A$2:$J$5,10,FALSE)),1,0)</f>
        <v>0</v>
      </c>
      <c r="W994" s="9">
        <f>IF($A994=VLOOKUP(YEAR($A994),'Festive dates'!$A$2:$J$5,7,FALSE),1,0)</f>
        <v>0</v>
      </c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>
      <c r="A995" s="8">
        <v>46010</v>
      </c>
      <c r="B995" s="9">
        <v>0</v>
      </c>
      <c r="C995" s="9">
        <v>0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f>MAX(-20,MIN(10,$A995-VLOOKUP(YEAR($A995),'Festive dates'!$A$2:$J$5,8,FALSE)))</f>
        <v>10</v>
      </c>
      <c r="R995" s="9">
        <f>IF(AND($A995&gt;VLOOKUP(YEAR($A995),'Festive dates'!$A$2:$J$5,2,FALSE),$A995&lt;VLOOKUP(YEAR($A995),'Festive dates'!$A$2:$J$5,3,FALSE)),1,0)</f>
        <v>0</v>
      </c>
      <c r="S995" s="9">
        <f>IF($A995=VLOOKUP(YEAR($A995),'Festive dates'!$A$2:$J$5,2,FALSE),1,0)</f>
        <v>0</v>
      </c>
      <c r="T995" s="9">
        <f>IF($A995=VLOOKUP(YEAR($A995),'Festive dates'!$A$2:$J$5,3,FALSE),1,0)</f>
        <v>0</v>
      </c>
      <c r="U995" s="9">
        <f>IF($A995=VLOOKUP(YEAR($A995),'Festive dates'!$A$2:$J$5,4,FALSE),1,0)</f>
        <v>0</v>
      </c>
      <c r="V995" s="9">
        <f>IF(AND($A995&gt;=VLOOKUP(YEAR($A995),'Festive dates'!$A$2:$J$5,9,FALSE),$A995&lt;=VLOOKUP(YEAR($A995),'Festive dates'!$A$2:$J$5,10,FALSE)),1,0)</f>
        <v>0</v>
      </c>
      <c r="W995" s="9">
        <f>IF($A995=VLOOKUP(YEAR($A995),'Festive dates'!$A$2:$J$5,7,FALSE),1,0)</f>
        <v>0</v>
      </c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>
      <c r="A996" s="8">
        <v>46011</v>
      </c>
      <c r="B996" s="9">
        <v>0</v>
      </c>
      <c r="C996" s="9">
        <v>0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f>MAX(-20,MIN(10,$A996-VLOOKUP(YEAR($A996),'Festive dates'!$A$2:$J$5,8,FALSE)))</f>
        <v>10</v>
      </c>
      <c r="R996" s="9">
        <f>IF(AND($A996&gt;VLOOKUP(YEAR($A996),'Festive dates'!$A$2:$J$5,2,FALSE),$A996&lt;VLOOKUP(YEAR($A996),'Festive dates'!$A$2:$J$5,3,FALSE)),1,0)</f>
        <v>0</v>
      </c>
      <c r="S996" s="9">
        <f>IF($A996=VLOOKUP(YEAR($A996),'Festive dates'!$A$2:$J$5,2,FALSE),1,0)</f>
        <v>0</v>
      </c>
      <c r="T996" s="9">
        <f>IF($A996=VLOOKUP(YEAR($A996),'Festive dates'!$A$2:$J$5,3,FALSE),1,0)</f>
        <v>0</v>
      </c>
      <c r="U996" s="9">
        <f>IF($A996=VLOOKUP(YEAR($A996),'Festive dates'!$A$2:$J$5,4,FALSE),1,0)</f>
        <v>0</v>
      </c>
      <c r="V996" s="9">
        <f>IF(AND($A996&gt;=VLOOKUP(YEAR($A996),'Festive dates'!$A$2:$J$5,9,FALSE),$A996&lt;=VLOOKUP(YEAR($A996),'Festive dates'!$A$2:$J$5,10,FALSE)),1,0)</f>
        <v>0</v>
      </c>
      <c r="W996" s="9">
        <f>IF($A996=VLOOKUP(YEAR($A996),'Festive dates'!$A$2:$J$5,7,FALSE),1,0)</f>
        <v>0</v>
      </c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>
      <c r="A997" s="8">
        <v>46012</v>
      </c>
      <c r="B997" s="9">
        <v>0</v>
      </c>
      <c r="C997" s="9">
        <v>0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f>MAX(-20,MIN(10,$A997-VLOOKUP(YEAR($A997),'Festive dates'!$A$2:$J$5,8,FALSE)))</f>
        <v>10</v>
      </c>
      <c r="R997" s="9">
        <f>IF(AND($A997&gt;VLOOKUP(YEAR($A997),'Festive dates'!$A$2:$J$5,2,FALSE),$A997&lt;VLOOKUP(YEAR($A997),'Festive dates'!$A$2:$J$5,3,FALSE)),1,0)</f>
        <v>0</v>
      </c>
      <c r="S997" s="9">
        <f>IF($A997=VLOOKUP(YEAR($A997),'Festive dates'!$A$2:$J$5,2,FALSE),1,0)</f>
        <v>0</v>
      </c>
      <c r="T997" s="9">
        <f>IF($A997=VLOOKUP(YEAR($A997),'Festive dates'!$A$2:$J$5,3,FALSE),1,0)</f>
        <v>0</v>
      </c>
      <c r="U997" s="9">
        <f>IF($A997=VLOOKUP(YEAR($A997),'Festive dates'!$A$2:$J$5,4,FALSE),1,0)</f>
        <v>0</v>
      </c>
      <c r="V997" s="9">
        <f>IF(AND($A997&gt;=VLOOKUP(YEAR($A997),'Festive dates'!$A$2:$J$5,9,FALSE),$A997&lt;=VLOOKUP(YEAR($A997),'Festive dates'!$A$2:$J$5,10,FALSE)),1,0)</f>
        <v>0</v>
      </c>
      <c r="W997" s="9">
        <f>IF($A997=VLOOKUP(YEAR($A997),'Festive dates'!$A$2:$J$5,7,FALSE),1,0)</f>
        <v>0</v>
      </c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>
      <c r="A998" s="8">
        <v>46013</v>
      </c>
      <c r="B998" s="9">
        <v>0</v>
      </c>
      <c r="C998" s="9">
        <v>0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f>MAX(-20,MIN(10,$A998-VLOOKUP(YEAR($A998),'Festive dates'!$A$2:$J$5,8,FALSE)))</f>
        <v>10</v>
      </c>
      <c r="R998" s="9">
        <f>IF(AND($A998&gt;VLOOKUP(YEAR($A998),'Festive dates'!$A$2:$J$5,2,FALSE),$A998&lt;VLOOKUP(YEAR($A998),'Festive dates'!$A$2:$J$5,3,FALSE)),1,0)</f>
        <v>0</v>
      </c>
      <c r="S998" s="9">
        <f>IF($A998=VLOOKUP(YEAR($A998),'Festive dates'!$A$2:$J$5,2,FALSE),1,0)</f>
        <v>0</v>
      </c>
      <c r="T998" s="9">
        <f>IF($A998=VLOOKUP(YEAR($A998),'Festive dates'!$A$2:$J$5,3,FALSE),1,0)</f>
        <v>0</v>
      </c>
      <c r="U998" s="9">
        <f>IF($A998=VLOOKUP(YEAR($A998),'Festive dates'!$A$2:$J$5,4,FALSE),1,0)</f>
        <v>0</v>
      </c>
      <c r="V998" s="9">
        <f>IF(AND($A998&gt;=VLOOKUP(YEAR($A998),'Festive dates'!$A$2:$J$5,9,FALSE),$A998&lt;=VLOOKUP(YEAR($A998),'Festive dates'!$A$2:$J$5,10,FALSE)),1,0)</f>
        <v>0</v>
      </c>
      <c r="W998" s="9">
        <f>IF($A998=VLOOKUP(YEAR($A998),'Festive dates'!$A$2:$J$5,7,FALSE),1,0)</f>
        <v>0</v>
      </c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>
      <c r="A999" s="8">
        <v>46014</v>
      </c>
      <c r="B999" s="9">
        <v>0</v>
      </c>
      <c r="C999" s="9">
        <v>0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f>MAX(-20,MIN(10,$A999-VLOOKUP(YEAR($A999),'Festive dates'!$A$2:$J$5,8,FALSE)))</f>
        <v>10</v>
      </c>
      <c r="R999" s="9">
        <f>IF(AND($A999&gt;VLOOKUP(YEAR($A999),'Festive dates'!$A$2:$J$5,2,FALSE),$A999&lt;VLOOKUP(YEAR($A999),'Festive dates'!$A$2:$J$5,3,FALSE)),1,0)</f>
        <v>0</v>
      </c>
      <c r="S999" s="9">
        <f>IF($A999=VLOOKUP(YEAR($A999),'Festive dates'!$A$2:$J$5,2,FALSE),1,0)</f>
        <v>0</v>
      </c>
      <c r="T999" s="9">
        <f>IF($A999=VLOOKUP(YEAR($A999),'Festive dates'!$A$2:$J$5,3,FALSE),1,0)</f>
        <v>0</v>
      </c>
      <c r="U999" s="9">
        <f>IF($A999=VLOOKUP(YEAR($A999),'Festive dates'!$A$2:$J$5,4,FALSE),1,0)</f>
        <v>0</v>
      </c>
      <c r="V999" s="9">
        <f>IF(AND($A999&gt;=VLOOKUP(YEAR($A999),'Festive dates'!$A$2:$J$5,9,FALSE),$A999&lt;=VLOOKUP(YEAR($A999),'Festive dates'!$A$2:$J$5,10,FALSE)),1,0)</f>
        <v>0</v>
      </c>
      <c r="W999" s="9">
        <f>IF($A999=VLOOKUP(YEAR($A999),'Festive dates'!$A$2:$J$5,7,FALSE),1,0)</f>
        <v>0</v>
      </c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>
      <c r="A1000" s="8">
        <v>46015</v>
      </c>
      <c r="B1000" s="9">
        <v>0</v>
      </c>
      <c r="C1000" s="9">
        <v>0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f>MAX(-20,MIN(10,$A1000-VLOOKUP(YEAR($A1000),'Festive dates'!$A$2:$J$5,8,FALSE)))</f>
        <v>10</v>
      </c>
      <c r="R1000" s="9">
        <f>IF(AND($A1000&gt;VLOOKUP(YEAR($A1000),'Festive dates'!$A$2:$J$5,2,FALSE),$A1000&lt;VLOOKUP(YEAR($A1000),'Festive dates'!$A$2:$J$5,3,FALSE)),1,0)</f>
        <v>0</v>
      </c>
      <c r="S1000" s="9">
        <f>IF($A1000=VLOOKUP(YEAR($A1000),'Festive dates'!$A$2:$J$5,2,FALSE),1,0)</f>
        <v>0</v>
      </c>
      <c r="T1000" s="9">
        <f>IF($A1000=VLOOKUP(YEAR($A1000),'Festive dates'!$A$2:$J$5,3,FALSE),1,0)</f>
        <v>0</v>
      </c>
      <c r="U1000" s="9">
        <f>IF($A1000=VLOOKUP(YEAR($A1000),'Festive dates'!$A$2:$J$5,4,FALSE),1,0)</f>
        <v>0</v>
      </c>
      <c r="V1000" s="9">
        <f>IF(AND($A1000&gt;=VLOOKUP(YEAR($A1000),'Festive dates'!$A$2:$J$5,9,FALSE),$A1000&lt;=VLOOKUP(YEAR($A1000),'Festive dates'!$A$2:$J$5,10,FALSE)),1,0)</f>
        <v>0</v>
      </c>
      <c r="W1000" s="9">
        <f>IF($A1000=VLOOKUP(YEAR($A1000),'Festive dates'!$A$2:$J$5,7,FALSE),1,0)</f>
        <v>0</v>
      </c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  <row r="1001" spans="1:51">
      <c r="A1001" s="8">
        <v>46016</v>
      </c>
      <c r="B1001" s="9">
        <v>0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f>MAX(-20,MIN(10,$A1001-VLOOKUP(YEAR($A1001),'Festive dates'!$A$2:$J$5,8,FALSE)))</f>
        <v>10</v>
      </c>
      <c r="R1001" s="9">
        <f>IF(AND($A1001&gt;VLOOKUP(YEAR($A1001),'Festive dates'!$A$2:$J$5,2,FALSE),$A1001&lt;VLOOKUP(YEAR($A1001),'Festive dates'!$A$2:$J$5,3,FALSE)),1,0)</f>
        <v>0</v>
      </c>
      <c r="S1001" s="9">
        <f>IF($A1001=VLOOKUP(YEAR($A1001),'Festive dates'!$A$2:$J$5,2,FALSE),1,0)</f>
        <v>0</v>
      </c>
      <c r="T1001" s="9">
        <f>IF($A1001=VLOOKUP(YEAR($A1001),'Festive dates'!$A$2:$J$5,3,FALSE),1,0)</f>
        <v>0</v>
      </c>
      <c r="U1001" s="9">
        <f>IF($A1001=VLOOKUP(YEAR($A1001),'Festive dates'!$A$2:$J$5,4,FALSE),1,0)</f>
        <v>0</v>
      </c>
      <c r="V1001" s="9">
        <f>IF(AND($A1001&gt;=VLOOKUP(YEAR($A1001),'Festive dates'!$A$2:$J$5,9,FALSE),$A1001&lt;=VLOOKUP(YEAR($A1001),'Festive dates'!$A$2:$J$5,10,FALSE)),1,0)</f>
        <v>0</v>
      </c>
      <c r="W1001" s="9">
        <f>IF($A1001=VLOOKUP(YEAR($A1001),'Festive dates'!$A$2:$J$5,7,FALSE),1,0)</f>
        <v>0</v>
      </c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</row>
    <row r="1002" spans="1:51">
      <c r="A1002" s="8">
        <v>46017</v>
      </c>
      <c r="B1002" s="9">
        <v>0</v>
      </c>
      <c r="C1002" s="9">
        <v>0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f>MAX(-20,MIN(10,$A1002-VLOOKUP(YEAR($A1002),'Festive dates'!$A$2:$J$5,8,FALSE)))</f>
        <v>10</v>
      </c>
      <c r="R1002" s="9">
        <f>IF(AND($A1002&gt;VLOOKUP(YEAR($A1002),'Festive dates'!$A$2:$J$5,2,FALSE),$A1002&lt;VLOOKUP(YEAR($A1002),'Festive dates'!$A$2:$J$5,3,FALSE)),1,0)</f>
        <v>0</v>
      </c>
      <c r="S1002" s="9">
        <f>IF($A1002=VLOOKUP(YEAR($A1002),'Festive dates'!$A$2:$J$5,2,FALSE),1,0)</f>
        <v>0</v>
      </c>
      <c r="T1002" s="9">
        <f>IF($A1002=VLOOKUP(YEAR($A1002),'Festive dates'!$A$2:$J$5,3,FALSE),1,0)</f>
        <v>0</v>
      </c>
      <c r="U1002" s="9">
        <f>IF($A1002=VLOOKUP(YEAR($A1002),'Festive dates'!$A$2:$J$5,4,FALSE),1,0)</f>
        <v>0</v>
      </c>
      <c r="V1002" s="9">
        <f>IF(AND($A1002&gt;=VLOOKUP(YEAR($A1002),'Festive dates'!$A$2:$J$5,9,FALSE),$A1002&lt;=VLOOKUP(YEAR($A1002),'Festive dates'!$A$2:$J$5,10,FALSE)),1,0)</f>
        <v>0</v>
      </c>
      <c r="W1002" s="9">
        <f>IF($A1002=VLOOKUP(YEAR($A1002),'Festive dates'!$A$2:$J$5,7,FALSE),1,0)</f>
        <v>0</v>
      </c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</row>
    <row r="1003" spans="1:51">
      <c r="A1003" s="8">
        <v>46018</v>
      </c>
      <c r="B1003" s="9">
        <v>0</v>
      </c>
      <c r="C1003" s="9">
        <v>0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f>MAX(-20,MIN(10,$A1003-VLOOKUP(YEAR($A1003),'Festive dates'!$A$2:$J$5,8,FALSE)))</f>
        <v>10</v>
      </c>
      <c r="R1003" s="9">
        <f>IF(AND($A1003&gt;VLOOKUP(YEAR($A1003),'Festive dates'!$A$2:$J$5,2,FALSE),$A1003&lt;VLOOKUP(YEAR($A1003),'Festive dates'!$A$2:$J$5,3,FALSE)),1,0)</f>
        <v>0</v>
      </c>
      <c r="S1003" s="9">
        <f>IF($A1003=VLOOKUP(YEAR($A1003),'Festive dates'!$A$2:$J$5,2,FALSE),1,0)</f>
        <v>0</v>
      </c>
      <c r="T1003" s="9">
        <f>IF($A1003=VLOOKUP(YEAR($A1003),'Festive dates'!$A$2:$J$5,3,FALSE),1,0)</f>
        <v>0</v>
      </c>
      <c r="U1003" s="9">
        <f>IF($A1003=VLOOKUP(YEAR($A1003),'Festive dates'!$A$2:$J$5,4,FALSE),1,0)</f>
        <v>0</v>
      </c>
      <c r="V1003" s="9">
        <f>IF(AND($A1003&gt;=VLOOKUP(YEAR($A1003),'Festive dates'!$A$2:$J$5,9,FALSE),$A1003&lt;=VLOOKUP(YEAR($A1003),'Festive dates'!$A$2:$J$5,10,FALSE)),1,0)</f>
        <v>0</v>
      </c>
      <c r="W1003" s="9">
        <f>IF($A1003=VLOOKUP(YEAR($A1003),'Festive dates'!$A$2:$J$5,7,FALSE),1,0)</f>
        <v>0</v>
      </c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</row>
    <row r="1004" spans="1:51">
      <c r="A1004" s="8">
        <v>46019</v>
      </c>
      <c r="B1004" s="9">
        <v>0</v>
      </c>
      <c r="C1004" s="9">
        <v>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f>MAX(-20,MIN(10,$A1004-VLOOKUP(YEAR($A1004),'Festive dates'!$A$2:$J$5,8,FALSE)))</f>
        <v>10</v>
      </c>
      <c r="R1004" s="9">
        <f>IF(AND($A1004&gt;VLOOKUP(YEAR($A1004),'Festive dates'!$A$2:$J$5,2,FALSE),$A1004&lt;VLOOKUP(YEAR($A1004),'Festive dates'!$A$2:$J$5,3,FALSE)),1,0)</f>
        <v>0</v>
      </c>
      <c r="S1004" s="9">
        <f>IF($A1004=VLOOKUP(YEAR($A1004),'Festive dates'!$A$2:$J$5,2,FALSE),1,0)</f>
        <v>0</v>
      </c>
      <c r="T1004" s="9">
        <f>IF($A1004=VLOOKUP(YEAR($A1004),'Festive dates'!$A$2:$J$5,3,FALSE),1,0)</f>
        <v>0</v>
      </c>
      <c r="U1004" s="9">
        <f>IF($A1004=VLOOKUP(YEAR($A1004),'Festive dates'!$A$2:$J$5,4,FALSE),1,0)</f>
        <v>0</v>
      </c>
      <c r="V1004" s="9">
        <f>IF(AND($A1004&gt;=VLOOKUP(YEAR($A1004),'Festive dates'!$A$2:$J$5,9,FALSE),$A1004&lt;=VLOOKUP(YEAR($A1004),'Festive dates'!$A$2:$J$5,10,FALSE)),1,0)</f>
        <v>0</v>
      </c>
      <c r="W1004" s="9">
        <f>IF($A1004=VLOOKUP(YEAR($A1004),'Festive dates'!$A$2:$J$5,7,FALSE),1,0)</f>
        <v>0</v>
      </c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</row>
    <row r="1005" spans="1:51">
      <c r="A1005" s="8">
        <v>46020</v>
      </c>
      <c r="B1005" s="9">
        <v>0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f>MAX(-20,MIN(10,$A1005-VLOOKUP(YEAR($A1005),'Festive dates'!$A$2:$J$5,8,FALSE)))</f>
        <v>10</v>
      </c>
      <c r="R1005" s="9">
        <f>IF(AND($A1005&gt;VLOOKUP(YEAR($A1005),'Festive dates'!$A$2:$J$5,2,FALSE),$A1005&lt;VLOOKUP(YEAR($A1005),'Festive dates'!$A$2:$J$5,3,FALSE)),1,0)</f>
        <v>0</v>
      </c>
      <c r="S1005" s="9">
        <f>IF($A1005=VLOOKUP(YEAR($A1005),'Festive dates'!$A$2:$J$5,2,FALSE),1,0)</f>
        <v>0</v>
      </c>
      <c r="T1005" s="9">
        <f>IF($A1005=VLOOKUP(YEAR($A1005),'Festive dates'!$A$2:$J$5,3,FALSE),1,0)</f>
        <v>0</v>
      </c>
      <c r="U1005" s="9">
        <f>IF($A1005=VLOOKUP(YEAR($A1005),'Festive dates'!$A$2:$J$5,4,FALSE),1,0)</f>
        <v>0</v>
      </c>
      <c r="V1005" s="9">
        <f>IF(AND($A1005&gt;=VLOOKUP(YEAR($A1005),'Festive dates'!$A$2:$J$5,9,FALSE),$A1005&lt;=VLOOKUP(YEAR($A1005),'Festive dates'!$A$2:$J$5,10,FALSE)),1,0)</f>
        <v>0</v>
      </c>
      <c r="W1005" s="9">
        <f>IF($A1005=VLOOKUP(YEAR($A1005),'Festive dates'!$A$2:$J$5,7,FALSE),1,0)</f>
        <v>0</v>
      </c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</row>
    <row r="1006" spans="1:51">
      <c r="A1006" s="8">
        <v>46021</v>
      </c>
      <c r="B1006" s="9">
        <v>0</v>
      </c>
      <c r="C1006" s="9">
        <v>0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f>MAX(-20,MIN(10,$A1006-VLOOKUP(YEAR($A1006),'Festive dates'!$A$2:$J$5,8,FALSE)))</f>
        <v>10</v>
      </c>
      <c r="R1006" s="9">
        <f>IF(AND($A1006&gt;VLOOKUP(YEAR($A1006),'Festive dates'!$A$2:$J$5,2,FALSE),$A1006&lt;VLOOKUP(YEAR($A1006),'Festive dates'!$A$2:$J$5,3,FALSE)),1,0)</f>
        <v>0</v>
      </c>
      <c r="S1006" s="9">
        <f>IF($A1006=VLOOKUP(YEAR($A1006),'Festive dates'!$A$2:$J$5,2,FALSE),1,0)</f>
        <v>0</v>
      </c>
      <c r="T1006" s="9">
        <f>IF($A1006=VLOOKUP(YEAR($A1006),'Festive dates'!$A$2:$J$5,3,FALSE),1,0)</f>
        <v>0</v>
      </c>
      <c r="U1006" s="9">
        <f>IF($A1006=VLOOKUP(YEAR($A1006),'Festive dates'!$A$2:$J$5,4,FALSE),1,0)</f>
        <v>0</v>
      </c>
      <c r="V1006" s="9">
        <f>IF(AND($A1006&gt;=VLOOKUP(YEAR($A1006),'Festive dates'!$A$2:$J$5,9,FALSE),$A1006&lt;=VLOOKUP(YEAR($A1006),'Festive dates'!$A$2:$J$5,10,FALSE)),1,0)</f>
        <v>0</v>
      </c>
      <c r="W1006" s="9">
        <f>IF($A1006=VLOOKUP(YEAR($A1006),'Festive dates'!$A$2:$J$5,7,FALSE),1,0)</f>
        <v>0</v>
      </c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</row>
    <row r="1007" spans="1:51">
      <c r="A1007" s="8">
        <v>46022</v>
      </c>
      <c r="B1007" s="9">
        <v>0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f>MAX(-20,MIN(10,$A1007-VLOOKUP(YEAR($A1007),'Festive dates'!$A$2:$J$5,8,FALSE)))</f>
        <v>10</v>
      </c>
      <c r="R1007" s="9">
        <f>IF(AND($A1007&gt;VLOOKUP(YEAR($A1007),'Festive dates'!$A$2:$J$5,2,FALSE),$A1007&lt;VLOOKUP(YEAR($A1007),'Festive dates'!$A$2:$J$5,3,FALSE)),1,0)</f>
        <v>0</v>
      </c>
      <c r="S1007" s="9">
        <f>IF($A1007=VLOOKUP(YEAR($A1007),'Festive dates'!$A$2:$J$5,2,FALSE),1,0)</f>
        <v>0</v>
      </c>
      <c r="T1007" s="9">
        <f>IF($A1007=VLOOKUP(YEAR($A1007),'Festive dates'!$A$2:$J$5,3,FALSE),1,0)</f>
        <v>0</v>
      </c>
      <c r="U1007" s="9">
        <f>IF($A1007=VLOOKUP(YEAR($A1007),'Festive dates'!$A$2:$J$5,4,FALSE),1,0)</f>
        <v>0</v>
      </c>
      <c r="V1007" s="9">
        <f>IF(AND($A1007&gt;=VLOOKUP(YEAR($A1007),'Festive dates'!$A$2:$J$5,9,FALSE),$A1007&lt;=VLOOKUP(YEAR($A1007),'Festive dates'!$A$2:$J$5,10,FALSE)),1,0)</f>
        <v>0</v>
      </c>
      <c r="W1007" s="9">
        <f>IF($A1007=VLOOKUP(YEAR($A1007),'Festive dates'!$A$2:$J$5,7,FALSE),1,0)</f>
        <v>0</v>
      </c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</row>
    <row r="1008" spans="1:51">
      <c r="A1008" s="8">
        <v>46023</v>
      </c>
      <c r="B1008" s="9">
        <v>0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f>MAX(-20,MIN(10,$A1008-VLOOKUP(YEAR($A1008),'Festive dates'!$A$2:$J$5,8,FALSE)))</f>
        <v>-20</v>
      </c>
      <c r="R1008" s="9">
        <f>IF(AND($A1008&gt;VLOOKUP(YEAR($A1008),'Festive dates'!$A$2:$J$5,2,FALSE),$A1008&lt;VLOOKUP(YEAR($A1008),'Festive dates'!$A$2:$J$5,3,FALSE)),1,0)</f>
        <v>0</v>
      </c>
      <c r="S1008" s="9">
        <f>IF($A1008=VLOOKUP(YEAR($A1008),'Festive dates'!$A$2:$J$5,2,FALSE),1,0)</f>
        <v>0</v>
      </c>
      <c r="T1008" s="9">
        <f>IF($A1008=VLOOKUP(YEAR($A1008),'Festive dates'!$A$2:$J$5,3,FALSE),1,0)</f>
        <v>0</v>
      </c>
      <c r="U1008" s="9">
        <f>IF($A1008=VLOOKUP(YEAR($A1008),'Festive dates'!$A$2:$J$5,4,FALSE),1,0)</f>
        <v>0</v>
      </c>
      <c r="V1008" s="9">
        <f>IF(AND($A1008&gt;=VLOOKUP(YEAR($A1008),'Festive dates'!$A$2:$J$5,9,FALSE),$A1008&lt;=VLOOKUP(YEAR($A1008),'Festive dates'!$A$2:$J$5,10,FALSE)),1,0)</f>
        <v>0</v>
      </c>
      <c r="W1008" s="9">
        <f>IF($A1008=VLOOKUP(YEAR($A1008),'Festive dates'!$A$2:$J$5,7,FALSE),1,0)</f>
        <v>0</v>
      </c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</row>
    <row r="1009" spans="1:51">
      <c r="A1009" s="8">
        <v>46024</v>
      </c>
      <c r="B1009" s="9">
        <v>0</v>
      </c>
      <c r="C1009" s="9">
        <v>0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f>MAX(-20,MIN(10,$A1009-VLOOKUP(YEAR($A1009),'Festive dates'!$A$2:$J$5,8,FALSE)))</f>
        <v>-20</v>
      </c>
      <c r="R1009" s="9">
        <f>IF(AND($A1009&gt;VLOOKUP(YEAR($A1009),'Festive dates'!$A$2:$J$5,2,FALSE),$A1009&lt;VLOOKUP(YEAR($A1009),'Festive dates'!$A$2:$J$5,3,FALSE)),1,0)</f>
        <v>0</v>
      </c>
      <c r="S1009" s="9">
        <f>IF($A1009=VLOOKUP(YEAR($A1009),'Festive dates'!$A$2:$J$5,2,FALSE),1,0)</f>
        <v>0</v>
      </c>
      <c r="T1009" s="9">
        <f>IF($A1009=VLOOKUP(YEAR($A1009),'Festive dates'!$A$2:$J$5,3,FALSE),1,0)</f>
        <v>0</v>
      </c>
      <c r="U1009" s="9">
        <f>IF($A1009=VLOOKUP(YEAR($A1009),'Festive dates'!$A$2:$J$5,4,FALSE),1,0)</f>
        <v>0</v>
      </c>
      <c r="V1009" s="9">
        <f>IF(AND($A1009&gt;=VLOOKUP(YEAR($A1009),'Festive dates'!$A$2:$J$5,9,FALSE),$A1009&lt;=VLOOKUP(YEAR($A1009),'Festive dates'!$A$2:$J$5,10,FALSE)),1,0)</f>
        <v>0</v>
      </c>
      <c r="W1009" s="9">
        <f>IF($A1009=VLOOKUP(YEAR($A1009),'Festive dates'!$A$2:$J$5,7,FALSE),1,0)</f>
        <v>0</v>
      </c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</row>
    <row r="1010" spans="1:51">
      <c r="A1010" s="8">
        <v>46025</v>
      </c>
      <c r="B1010" s="9">
        <v>0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f>MAX(-20,MIN(10,$A1010-VLOOKUP(YEAR($A1010),'Festive dates'!$A$2:$J$5,8,FALSE)))</f>
        <v>-20</v>
      </c>
      <c r="R1010" s="9">
        <f>IF(AND($A1010&gt;VLOOKUP(YEAR($A1010),'Festive dates'!$A$2:$J$5,2,FALSE),$A1010&lt;VLOOKUP(YEAR($A1010),'Festive dates'!$A$2:$J$5,3,FALSE)),1,0)</f>
        <v>0</v>
      </c>
      <c r="S1010" s="9">
        <f>IF($A1010=VLOOKUP(YEAR($A1010),'Festive dates'!$A$2:$J$5,2,FALSE),1,0)</f>
        <v>0</v>
      </c>
      <c r="T1010" s="9">
        <f>IF($A1010=VLOOKUP(YEAR($A1010),'Festive dates'!$A$2:$J$5,3,FALSE),1,0)</f>
        <v>0</v>
      </c>
      <c r="U1010" s="9">
        <f>IF($A1010=VLOOKUP(YEAR($A1010),'Festive dates'!$A$2:$J$5,4,FALSE),1,0)</f>
        <v>0</v>
      </c>
      <c r="V1010" s="9">
        <f>IF(AND($A1010&gt;=VLOOKUP(YEAR($A1010),'Festive dates'!$A$2:$J$5,9,FALSE),$A1010&lt;=VLOOKUP(YEAR($A1010),'Festive dates'!$A$2:$J$5,10,FALSE)),1,0)</f>
        <v>0</v>
      </c>
      <c r="W1010" s="9">
        <f>IF($A1010=VLOOKUP(YEAR($A1010),'Festive dates'!$A$2:$J$5,7,FALSE),1,0)</f>
        <v>0</v>
      </c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</row>
    <row r="1011" spans="1:51">
      <c r="A1011" s="8">
        <v>46026</v>
      </c>
      <c r="B1011" s="9">
        <v>0</v>
      </c>
      <c r="C1011" s="9">
        <v>0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f>MAX(-20,MIN(10,$A1011-VLOOKUP(YEAR($A1011),'Festive dates'!$A$2:$J$5,8,FALSE)))</f>
        <v>-20</v>
      </c>
      <c r="R1011" s="9">
        <f>IF(AND($A1011&gt;VLOOKUP(YEAR($A1011),'Festive dates'!$A$2:$J$5,2,FALSE),$A1011&lt;VLOOKUP(YEAR($A1011),'Festive dates'!$A$2:$J$5,3,FALSE)),1,0)</f>
        <v>0</v>
      </c>
      <c r="S1011" s="9">
        <f>IF($A1011=VLOOKUP(YEAR($A1011),'Festive dates'!$A$2:$J$5,2,FALSE),1,0)</f>
        <v>0</v>
      </c>
      <c r="T1011" s="9">
        <f>IF($A1011=VLOOKUP(YEAR($A1011),'Festive dates'!$A$2:$J$5,3,FALSE),1,0)</f>
        <v>0</v>
      </c>
      <c r="U1011" s="9">
        <f>IF($A1011=VLOOKUP(YEAR($A1011),'Festive dates'!$A$2:$J$5,4,FALSE),1,0)</f>
        <v>0</v>
      </c>
      <c r="V1011" s="9">
        <f>IF(AND($A1011&gt;=VLOOKUP(YEAR($A1011),'Festive dates'!$A$2:$J$5,9,FALSE),$A1011&lt;=VLOOKUP(YEAR($A1011),'Festive dates'!$A$2:$J$5,10,FALSE)),1,0)</f>
        <v>0</v>
      </c>
      <c r="W1011" s="9">
        <f>IF($A1011=VLOOKUP(YEAR($A1011),'Festive dates'!$A$2:$J$5,7,FALSE),1,0)</f>
        <v>0</v>
      </c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</row>
    <row r="1012" spans="1:51">
      <c r="A1012" s="8">
        <v>46027</v>
      </c>
      <c r="B1012" s="9">
        <v>0</v>
      </c>
      <c r="C1012" s="9">
        <v>0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  <c r="Q1012" s="9">
        <f>MAX(-20,MIN(10,$A1012-VLOOKUP(YEAR($A1012),'Festive dates'!$A$2:$J$5,8,FALSE)))</f>
        <v>-20</v>
      </c>
      <c r="R1012" s="9">
        <f>IF(AND($A1012&gt;VLOOKUP(YEAR($A1012),'Festive dates'!$A$2:$J$5,2,FALSE),$A1012&lt;VLOOKUP(YEAR($A1012),'Festive dates'!$A$2:$J$5,3,FALSE)),1,0)</f>
        <v>0</v>
      </c>
      <c r="S1012" s="9">
        <f>IF($A1012=VLOOKUP(YEAR($A1012),'Festive dates'!$A$2:$J$5,2,FALSE),1,0)</f>
        <v>0</v>
      </c>
      <c r="T1012" s="9">
        <f>IF($A1012=VLOOKUP(YEAR($A1012),'Festive dates'!$A$2:$J$5,3,FALSE),1,0)</f>
        <v>0</v>
      </c>
      <c r="U1012" s="9">
        <f>IF($A1012=VLOOKUP(YEAR($A1012),'Festive dates'!$A$2:$J$5,4,FALSE),1,0)</f>
        <v>0</v>
      </c>
      <c r="V1012" s="9">
        <f>IF(AND($A1012&gt;=VLOOKUP(YEAR($A1012),'Festive dates'!$A$2:$J$5,9,FALSE),$A1012&lt;=VLOOKUP(YEAR($A1012),'Festive dates'!$A$2:$J$5,10,FALSE)),1,0)</f>
        <v>0</v>
      </c>
      <c r="W1012" s="9">
        <f>IF($A1012=VLOOKUP(YEAR($A1012),'Festive dates'!$A$2:$J$5,7,FALSE),1,0)</f>
        <v>0</v>
      </c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</row>
    <row r="1013" spans="1:51">
      <c r="A1013" s="8">
        <v>46028</v>
      </c>
      <c r="B1013" s="9">
        <v>0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f>MAX(-20,MIN(10,$A1013-VLOOKUP(YEAR($A1013),'Festive dates'!$A$2:$J$5,8,FALSE)))</f>
        <v>-20</v>
      </c>
      <c r="R1013" s="9">
        <f>IF(AND($A1013&gt;VLOOKUP(YEAR($A1013),'Festive dates'!$A$2:$J$5,2,FALSE),$A1013&lt;VLOOKUP(YEAR($A1013),'Festive dates'!$A$2:$J$5,3,FALSE)),1,0)</f>
        <v>0</v>
      </c>
      <c r="S1013" s="9">
        <f>IF($A1013=VLOOKUP(YEAR($A1013),'Festive dates'!$A$2:$J$5,2,FALSE),1,0)</f>
        <v>0</v>
      </c>
      <c r="T1013" s="9">
        <f>IF($A1013=VLOOKUP(YEAR($A1013),'Festive dates'!$A$2:$J$5,3,FALSE),1,0)</f>
        <v>0</v>
      </c>
      <c r="U1013" s="9">
        <f>IF($A1013=VLOOKUP(YEAR($A1013),'Festive dates'!$A$2:$J$5,4,FALSE),1,0)</f>
        <v>0</v>
      </c>
      <c r="V1013" s="9">
        <f>IF(AND($A1013&gt;=VLOOKUP(YEAR($A1013),'Festive dates'!$A$2:$J$5,9,FALSE),$A1013&lt;=VLOOKUP(YEAR($A1013),'Festive dates'!$A$2:$J$5,10,FALSE)),1,0)</f>
        <v>0</v>
      </c>
      <c r="W1013" s="9">
        <f>IF($A1013=VLOOKUP(YEAR($A1013),'Festive dates'!$A$2:$J$5,7,FALSE),1,0)</f>
        <v>0</v>
      </c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</row>
    <row r="1014" spans="1:51">
      <c r="A1014" s="8">
        <v>46029</v>
      </c>
      <c r="B1014" s="9">
        <v>0</v>
      </c>
      <c r="C1014" s="9">
        <v>0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f>MAX(-20,MIN(10,$A1014-VLOOKUP(YEAR($A1014),'Festive dates'!$A$2:$J$5,8,FALSE)))</f>
        <v>-20</v>
      </c>
      <c r="R1014" s="9">
        <f>IF(AND($A1014&gt;VLOOKUP(YEAR($A1014),'Festive dates'!$A$2:$J$5,2,FALSE),$A1014&lt;VLOOKUP(YEAR($A1014),'Festive dates'!$A$2:$J$5,3,FALSE)),1,0)</f>
        <v>0</v>
      </c>
      <c r="S1014" s="9">
        <f>IF($A1014=VLOOKUP(YEAR($A1014),'Festive dates'!$A$2:$J$5,2,FALSE),1,0)</f>
        <v>0</v>
      </c>
      <c r="T1014" s="9">
        <f>IF($A1014=VLOOKUP(YEAR($A1014),'Festive dates'!$A$2:$J$5,3,FALSE),1,0)</f>
        <v>0</v>
      </c>
      <c r="U1014" s="9">
        <f>IF($A1014=VLOOKUP(YEAR($A1014),'Festive dates'!$A$2:$J$5,4,FALSE),1,0)</f>
        <v>0</v>
      </c>
      <c r="V1014" s="9">
        <f>IF(AND($A1014&gt;=VLOOKUP(YEAR($A1014),'Festive dates'!$A$2:$J$5,9,FALSE),$A1014&lt;=VLOOKUP(YEAR($A1014),'Festive dates'!$A$2:$J$5,10,FALSE)),1,0)</f>
        <v>0</v>
      </c>
      <c r="W1014" s="9">
        <f>IF($A1014=VLOOKUP(YEAR($A1014),'Festive dates'!$A$2:$J$5,7,FALSE),1,0)</f>
        <v>0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</row>
    <row r="1015" spans="1:51">
      <c r="A1015" s="8">
        <v>46030</v>
      </c>
      <c r="B1015" s="9">
        <v>0</v>
      </c>
      <c r="C1015" s="9">
        <v>0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f>MAX(-20,MIN(10,$A1015-VLOOKUP(YEAR($A1015),'Festive dates'!$A$2:$J$5,8,FALSE)))</f>
        <v>-20</v>
      </c>
      <c r="R1015" s="9">
        <f>IF(AND($A1015&gt;VLOOKUP(YEAR($A1015),'Festive dates'!$A$2:$J$5,2,FALSE),$A1015&lt;VLOOKUP(YEAR($A1015),'Festive dates'!$A$2:$J$5,3,FALSE)),1,0)</f>
        <v>0</v>
      </c>
      <c r="S1015" s="9">
        <f>IF($A1015=VLOOKUP(YEAR($A1015),'Festive dates'!$A$2:$J$5,2,FALSE),1,0)</f>
        <v>0</v>
      </c>
      <c r="T1015" s="9">
        <f>IF($A1015=VLOOKUP(YEAR($A1015),'Festive dates'!$A$2:$J$5,3,FALSE),1,0)</f>
        <v>0</v>
      </c>
      <c r="U1015" s="9">
        <f>IF($A1015=VLOOKUP(YEAR($A1015),'Festive dates'!$A$2:$J$5,4,FALSE),1,0)</f>
        <v>0</v>
      </c>
      <c r="V1015" s="9">
        <f>IF(AND($A1015&gt;=VLOOKUP(YEAR($A1015),'Festive dates'!$A$2:$J$5,9,FALSE),$A1015&lt;=VLOOKUP(YEAR($A1015),'Festive dates'!$A$2:$J$5,10,FALSE)),1,0)</f>
        <v>0</v>
      </c>
      <c r="W1015" s="9">
        <f>IF($A1015=VLOOKUP(YEAR($A1015),'Festive dates'!$A$2:$J$5,7,FALSE),1,0)</f>
        <v>0</v>
      </c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</row>
    <row r="1016" spans="1:51">
      <c r="A1016" s="8">
        <v>46031</v>
      </c>
      <c r="B1016" s="9">
        <v>0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f>MAX(-20,MIN(10,$A1016-VLOOKUP(YEAR($A1016),'Festive dates'!$A$2:$J$5,8,FALSE)))</f>
        <v>-20</v>
      </c>
      <c r="R1016" s="9">
        <f>IF(AND($A1016&gt;VLOOKUP(YEAR($A1016),'Festive dates'!$A$2:$J$5,2,FALSE),$A1016&lt;VLOOKUP(YEAR($A1016),'Festive dates'!$A$2:$J$5,3,FALSE)),1,0)</f>
        <v>0</v>
      </c>
      <c r="S1016" s="9">
        <f>IF($A1016=VLOOKUP(YEAR($A1016),'Festive dates'!$A$2:$J$5,2,FALSE),1,0)</f>
        <v>0</v>
      </c>
      <c r="T1016" s="9">
        <f>IF($A1016=VLOOKUP(YEAR($A1016),'Festive dates'!$A$2:$J$5,3,FALSE),1,0)</f>
        <v>0</v>
      </c>
      <c r="U1016" s="9">
        <f>IF($A1016=VLOOKUP(YEAR($A1016),'Festive dates'!$A$2:$J$5,4,FALSE),1,0)</f>
        <v>0</v>
      </c>
      <c r="V1016" s="9">
        <f>IF(AND($A1016&gt;=VLOOKUP(YEAR($A1016),'Festive dates'!$A$2:$J$5,9,FALSE),$A1016&lt;=VLOOKUP(YEAR($A1016),'Festive dates'!$A$2:$J$5,10,FALSE)),1,0)</f>
        <v>0</v>
      </c>
      <c r="W1016" s="9">
        <f>IF($A1016=VLOOKUP(YEAR($A1016),'Festive dates'!$A$2:$J$5,7,FALSE),1,0)</f>
        <v>0</v>
      </c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</row>
    <row r="1017" spans="1:51">
      <c r="A1017" s="8">
        <v>46032</v>
      </c>
      <c r="B1017" s="9">
        <v>0</v>
      </c>
      <c r="C1017" s="9">
        <v>0</v>
      </c>
      <c r="D1017" s="9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f>MAX(-20,MIN(10,$A1017-VLOOKUP(YEAR($A1017),'Festive dates'!$A$2:$J$5,8,FALSE)))</f>
        <v>-20</v>
      </c>
      <c r="R1017" s="9">
        <f>IF(AND($A1017&gt;VLOOKUP(YEAR($A1017),'Festive dates'!$A$2:$J$5,2,FALSE),$A1017&lt;VLOOKUP(YEAR($A1017),'Festive dates'!$A$2:$J$5,3,FALSE)),1,0)</f>
        <v>0</v>
      </c>
      <c r="S1017" s="9">
        <f>IF($A1017=VLOOKUP(YEAR($A1017),'Festive dates'!$A$2:$J$5,2,FALSE),1,0)</f>
        <v>0</v>
      </c>
      <c r="T1017" s="9">
        <f>IF($A1017=VLOOKUP(YEAR($A1017),'Festive dates'!$A$2:$J$5,3,FALSE),1,0)</f>
        <v>0</v>
      </c>
      <c r="U1017" s="9">
        <f>IF($A1017=VLOOKUP(YEAR($A1017),'Festive dates'!$A$2:$J$5,4,FALSE),1,0)</f>
        <v>0</v>
      </c>
      <c r="V1017" s="9">
        <f>IF(AND($A1017&gt;=VLOOKUP(YEAR($A1017),'Festive dates'!$A$2:$J$5,9,FALSE),$A1017&lt;=VLOOKUP(YEAR($A1017),'Festive dates'!$A$2:$J$5,10,FALSE)),1,0)</f>
        <v>0</v>
      </c>
      <c r="W1017" s="9">
        <f>IF($A1017=VLOOKUP(YEAR($A1017),'Festive dates'!$A$2:$J$5,7,FALSE),1,0)</f>
        <v>0</v>
      </c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</row>
    <row r="1018" spans="1:51">
      <c r="A1018" s="8">
        <v>46033</v>
      </c>
      <c r="B1018" s="9">
        <v>0</v>
      </c>
      <c r="C1018" s="9">
        <v>0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f>MAX(-20,MIN(10,$A1018-VLOOKUP(YEAR($A1018),'Festive dates'!$A$2:$J$5,8,FALSE)))</f>
        <v>-20</v>
      </c>
      <c r="R1018" s="9">
        <f>IF(AND($A1018&gt;VLOOKUP(YEAR($A1018),'Festive dates'!$A$2:$J$5,2,FALSE),$A1018&lt;VLOOKUP(YEAR($A1018),'Festive dates'!$A$2:$J$5,3,FALSE)),1,0)</f>
        <v>0</v>
      </c>
      <c r="S1018" s="9">
        <f>IF($A1018=VLOOKUP(YEAR($A1018),'Festive dates'!$A$2:$J$5,2,FALSE),1,0)</f>
        <v>0</v>
      </c>
      <c r="T1018" s="9">
        <f>IF($A1018=VLOOKUP(YEAR($A1018),'Festive dates'!$A$2:$J$5,3,FALSE),1,0)</f>
        <v>0</v>
      </c>
      <c r="U1018" s="9">
        <f>IF($A1018=VLOOKUP(YEAR($A1018),'Festive dates'!$A$2:$J$5,4,FALSE),1,0)</f>
        <v>0</v>
      </c>
      <c r="V1018" s="9">
        <f>IF(AND($A1018&gt;=VLOOKUP(YEAR($A1018),'Festive dates'!$A$2:$J$5,9,FALSE),$A1018&lt;=VLOOKUP(YEAR($A1018),'Festive dates'!$A$2:$J$5,10,FALSE)),1,0)</f>
        <v>0</v>
      </c>
      <c r="W1018" s="9">
        <f>IF($A1018=VLOOKUP(YEAR($A1018),'Festive dates'!$A$2:$J$5,7,FALSE),1,0)</f>
        <v>0</v>
      </c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</row>
    <row r="1019" spans="1:51">
      <c r="A1019" s="8">
        <v>46034</v>
      </c>
      <c r="B1019" s="9">
        <v>0</v>
      </c>
      <c r="C1019" s="9">
        <v>0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f>MAX(-20,MIN(10,$A1019-VLOOKUP(YEAR($A1019),'Festive dates'!$A$2:$J$5,8,FALSE)))</f>
        <v>-20</v>
      </c>
      <c r="R1019" s="9">
        <f>IF(AND($A1019&gt;VLOOKUP(YEAR($A1019),'Festive dates'!$A$2:$J$5,2,FALSE),$A1019&lt;VLOOKUP(YEAR($A1019),'Festive dates'!$A$2:$J$5,3,FALSE)),1,0)</f>
        <v>0</v>
      </c>
      <c r="S1019" s="9">
        <f>IF($A1019=VLOOKUP(YEAR($A1019),'Festive dates'!$A$2:$J$5,2,FALSE),1,0)</f>
        <v>0</v>
      </c>
      <c r="T1019" s="9">
        <f>IF($A1019=VLOOKUP(YEAR($A1019),'Festive dates'!$A$2:$J$5,3,FALSE),1,0)</f>
        <v>0</v>
      </c>
      <c r="U1019" s="9">
        <f>IF($A1019=VLOOKUP(YEAR($A1019),'Festive dates'!$A$2:$J$5,4,FALSE),1,0)</f>
        <v>0</v>
      </c>
      <c r="V1019" s="9">
        <f>IF(AND($A1019&gt;=VLOOKUP(YEAR($A1019),'Festive dates'!$A$2:$J$5,9,FALSE),$A1019&lt;=VLOOKUP(YEAR($A1019),'Festive dates'!$A$2:$J$5,10,FALSE)),1,0)</f>
        <v>0</v>
      </c>
      <c r="W1019" s="9">
        <f>IF($A1019=VLOOKUP(YEAR($A1019),'Festive dates'!$A$2:$J$5,7,FALSE),1,0)</f>
        <v>0</v>
      </c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</row>
    <row r="1020" spans="1:51">
      <c r="A1020" s="8">
        <v>46035</v>
      </c>
      <c r="B1020" s="9">
        <v>0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f>MAX(-20,MIN(10,$A1020-VLOOKUP(YEAR($A1020),'Festive dates'!$A$2:$J$5,8,FALSE)))</f>
        <v>-20</v>
      </c>
      <c r="R1020" s="9">
        <f>IF(AND($A1020&gt;VLOOKUP(YEAR($A1020),'Festive dates'!$A$2:$J$5,2,FALSE),$A1020&lt;VLOOKUP(YEAR($A1020),'Festive dates'!$A$2:$J$5,3,FALSE)),1,0)</f>
        <v>0</v>
      </c>
      <c r="S1020" s="9">
        <f>IF($A1020=VLOOKUP(YEAR($A1020),'Festive dates'!$A$2:$J$5,2,FALSE),1,0)</f>
        <v>0</v>
      </c>
      <c r="T1020" s="9">
        <f>IF($A1020=VLOOKUP(YEAR($A1020),'Festive dates'!$A$2:$J$5,3,FALSE),1,0)</f>
        <v>0</v>
      </c>
      <c r="U1020" s="9">
        <f>IF($A1020=VLOOKUP(YEAR($A1020),'Festive dates'!$A$2:$J$5,4,FALSE),1,0)</f>
        <v>0</v>
      </c>
      <c r="V1020" s="9">
        <f>IF(AND($A1020&gt;=VLOOKUP(YEAR($A1020),'Festive dates'!$A$2:$J$5,9,FALSE),$A1020&lt;=VLOOKUP(YEAR($A1020),'Festive dates'!$A$2:$J$5,10,FALSE)),1,0)</f>
        <v>0</v>
      </c>
      <c r="W1020" s="9">
        <f>IF($A1020=VLOOKUP(YEAR($A1020),'Festive dates'!$A$2:$J$5,7,FALSE),1,0)</f>
        <v>0</v>
      </c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</row>
    <row r="1021" spans="1:51">
      <c r="A1021" s="8">
        <v>46036</v>
      </c>
      <c r="B1021" s="9">
        <v>0</v>
      </c>
      <c r="C1021" s="9">
        <v>0</v>
      </c>
      <c r="D1021" s="9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f>MAX(-20,MIN(10,$A1021-VLOOKUP(YEAR($A1021),'Festive dates'!$A$2:$J$5,8,FALSE)))</f>
        <v>-20</v>
      </c>
      <c r="R1021" s="9">
        <f>IF(AND($A1021&gt;VLOOKUP(YEAR($A1021),'Festive dates'!$A$2:$J$5,2,FALSE),$A1021&lt;VLOOKUP(YEAR($A1021),'Festive dates'!$A$2:$J$5,3,FALSE)),1,0)</f>
        <v>0</v>
      </c>
      <c r="S1021" s="9">
        <f>IF($A1021=VLOOKUP(YEAR($A1021),'Festive dates'!$A$2:$J$5,2,FALSE),1,0)</f>
        <v>0</v>
      </c>
      <c r="T1021" s="9">
        <f>IF($A1021=VLOOKUP(YEAR($A1021),'Festive dates'!$A$2:$J$5,3,FALSE),1,0)</f>
        <v>0</v>
      </c>
      <c r="U1021" s="9">
        <f>IF($A1021=VLOOKUP(YEAR($A1021),'Festive dates'!$A$2:$J$5,4,FALSE),1,0)</f>
        <v>0</v>
      </c>
      <c r="V1021" s="9">
        <f>IF(AND($A1021&gt;=VLOOKUP(YEAR($A1021),'Festive dates'!$A$2:$J$5,9,FALSE),$A1021&lt;=VLOOKUP(YEAR($A1021),'Festive dates'!$A$2:$J$5,10,FALSE)),1,0)</f>
        <v>0</v>
      </c>
      <c r="W1021" s="9">
        <f>IF($A1021=VLOOKUP(YEAR($A1021),'Festive dates'!$A$2:$J$5,7,FALSE),1,0)</f>
        <v>0</v>
      </c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</row>
    <row r="1022" spans="1:51">
      <c r="A1022" s="8">
        <v>46037</v>
      </c>
      <c r="B1022" s="9">
        <v>0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f>MAX(-20,MIN(10,$A1022-VLOOKUP(YEAR($A1022),'Festive dates'!$A$2:$J$5,8,FALSE)))</f>
        <v>-20</v>
      </c>
      <c r="R1022" s="9">
        <f>IF(AND($A1022&gt;VLOOKUP(YEAR($A1022),'Festive dates'!$A$2:$J$5,2,FALSE),$A1022&lt;VLOOKUP(YEAR($A1022),'Festive dates'!$A$2:$J$5,3,FALSE)),1,0)</f>
        <v>0</v>
      </c>
      <c r="S1022" s="9">
        <f>IF($A1022=VLOOKUP(YEAR($A1022),'Festive dates'!$A$2:$J$5,2,FALSE),1,0)</f>
        <v>0</v>
      </c>
      <c r="T1022" s="9">
        <f>IF($A1022=VLOOKUP(YEAR($A1022),'Festive dates'!$A$2:$J$5,3,FALSE),1,0)</f>
        <v>0</v>
      </c>
      <c r="U1022" s="9">
        <f>IF($A1022=VLOOKUP(YEAR($A1022),'Festive dates'!$A$2:$J$5,4,FALSE),1,0)</f>
        <v>0</v>
      </c>
      <c r="V1022" s="9">
        <f>IF(AND($A1022&gt;=VLOOKUP(YEAR($A1022),'Festive dates'!$A$2:$J$5,9,FALSE),$A1022&lt;=VLOOKUP(YEAR($A1022),'Festive dates'!$A$2:$J$5,10,FALSE)),1,0)</f>
        <v>0</v>
      </c>
      <c r="W1022" s="9">
        <f>IF($A1022=VLOOKUP(YEAR($A1022),'Festive dates'!$A$2:$J$5,7,FALSE),1,0)</f>
        <v>0</v>
      </c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</row>
    <row r="1023" spans="1:51">
      <c r="A1023" s="8">
        <v>46038</v>
      </c>
      <c r="B1023" s="9">
        <v>0</v>
      </c>
      <c r="C1023" s="9">
        <v>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f>MAX(-20,MIN(10,$A1023-VLOOKUP(YEAR($A1023),'Festive dates'!$A$2:$J$5,8,FALSE)))</f>
        <v>-20</v>
      </c>
      <c r="R1023" s="9">
        <f>IF(AND($A1023&gt;VLOOKUP(YEAR($A1023),'Festive dates'!$A$2:$J$5,2,FALSE),$A1023&lt;VLOOKUP(YEAR($A1023),'Festive dates'!$A$2:$J$5,3,FALSE)),1,0)</f>
        <v>0</v>
      </c>
      <c r="S1023" s="9">
        <f>IF($A1023=VLOOKUP(YEAR($A1023),'Festive dates'!$A$2:$J$5,2,FALSE),1,0)</f>
        <v>0</v>
      </c>
      <c r="T1023" s="9">
        <f>IF($A1023=VLOOKUP(YEAR($A1023),'Festive dates'!$A$2:$J$5,3,FALSE),1,0)</f>
        <v>0</v>
      </c>
      <c r="U1023" s="9">
        <f>IF($A1023=VLOOKUP(YEAR($A1023),'Festive dates'!$A$2:$J$5,4,FALSE),1,0)</f>
        <v>0</v>
      </c>
      <c r="V1023" s="9">
        <f>IF(AND($A1023&gt;=VLOOKUP(YEAR($A1023),'Festive dates'!$A$2:$J$5,9,FALSE),$A1023&lt;=VLOOKUP(YEAR($A1023),'Festive dates'!$A$2:$J$5,10,FALSE)),1,0)</f>
        <v>0</v>
      </c>
      <c r="W1023" s="9">
        <f>IF($A1023=VLOOKUP(YEAR($A1023),'Festive dates'!$A$2:$J$5,7,FALSE),1,0)</f>
        <v>0</v>
      </c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</row>
    <row r="1024" spans="1:51">
      <c r="A1024" s="8">
        <v>46039</v>
      </c>
      <c r="B1024" s="9">
        <v>0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f>MAX(-20,MIN(10,$A1024-VLOOKUP(YEAR($A1024),'Festive dates'!$A$2:$J$5,8,FALSE)))</f>
        <v>-20</v>
      </c>
      <c r="R1024" s="9">
        <f>IF(AND($A1024&gt;VLOOKUP(YEAR($A1024),'Festive dates'!$A$2:$J$5,2,FALSE),$A1024&lt;VLOOKUP(YEAR($A1024),'Festive dates'!$A$2:$J$5,3,FALSE)),1,0)</f>
        <v>0</v>
      </c>
      <c r="S1024" s="9">
        <f>IF($A1024=VLOOKUP(YEAR($A1024),'Festive dates'!$A$2:$J$5,2,FALSE),1,0)</f>
        <v>0</v>
      </c>
      <c r="T1024" s="9">
        <f>IF($A1024=VLOOKUP(YEAR($A1024),'Festive dates'!$A$2:$J$5,3,FALSE),1,0)</f>
        <v>0</v>
      </c>
      <c r="U1024" s="9">
        <f>IF($A1024=VLOOKUP(YEAR($A1024),'Festive dates'!$A$2:$J$5,4,FALSE),1,0)</f>
        <v>0</v>
      </c>
      <c r="V1024" s="9">
        <f>IF(AND($A1024&gt;=VLOOKUP(YEAR($A1024),'Festive dates'!$A$2:$J$5,9,FALSE),$A1024&lt;=VLOOKUP(YEAR($A1024),'Festive dates'!$A$2:$J$5,10,FALSE)),1,0)</f>
        <v>0</v>
      </c>
      <c r="W1024" s="9">
        <f>IF($A1024=VLOOKUP(YEAR($A1024),'Festive dates'!$A$2:$J$5,7,FALSE),1,0)</f>
        <v>0</v>
      </c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</row>
    <row r="1025" spans="1:51">
      <c r="A1025" s="8">
        <v>46040</v>
      </c>
      <c r="B1025" s="9">
        <v>0</v>
      </c>
      <c r="C1025" s="9">
        <v>0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f>MAX(-20,MIN(10,$A1025-VLOOKUP(YEAR($A1025),'Festive dates'!$A$2:$J$5,8,FALSE)))</f>
        <v>-20</v>
      </c>
      <c r="R1025" s="9">
        <f>IF(AND($A1025&gt;VLOOKUP(YEAR($A1025),'Festive dates'!$A$2:$J$5,2,FALSE),$A1025&lt;VLOOKUP(YEAR($A1025),'Festive dates'!$A$2:$J$5,3,FALSE)),1,0)</f>
        <v>0</v>
      </c>
      <c r="S1025" s="9">
        <f>IF($A1025=VLOOKUP(YEAR($A1025),'Festive dates'!$A$2:$J$5,2,FALSE),1,0)</f>
        <v>0</v>
      </c>
      <c r="T1025" s="9">
        <f>IF($A1025=VLOOKUP(YEAR($A1025),'Festive dates'!$A$2:$J$5,3,FALSE),1,0)</f>
        <v>0</v>
      </c>
      <c r="U1025" s="9">
        <f>IF($A1025=VLOOKUP(YEAR($A1025),'Festive dates'!$A$2:$J$5,4,FALSE),1,0)</f>
        <v>0</v>
      </c>
      <c r="V1025" s="9">
        <f>IF(AND($A1025&gt;=VLOOKUP(YEAR($A1025),'Festive dates'!$A$2:$J$5,9,FALSE),$A1025&lt;=VLOOKUP(YEAR($A1025),'Festive dates'!$A$2:$J$5,10,FALSE)),1,0)</f>
        <v>0</v>
      </c>
      <c r="W1025" s="9">
        <f>IF($A1025=VLOOKUP(YEAR($A1025),'Festive dates'!$A$2:$J$5,7,FALSE),1,0)</f>
        <v>0</v>
      </c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</row>
    <row r="1026" spans="1:51">
      <c r="A1026" s="8">
        <v>46041</v>
      </c>
      <c r="B1026" s="9">
        <v>0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f>MAX(-20,MIN(10,$A1026-VLOOKUP(YEAR($A1026),'Festive dates'!$A$2:$J$5,8,FALSE)))</f>
        <v>-20</v>
      </c>
      <c r="R1026" s="9">
        <f>IF(AND($A1026&gt;VLOOKUP(YEAR($A1026),'Festive dates'!$A$2:$J$5,2,FALSE),$A1026&lt;VLOOKUP(YEAR($A1026),'Festive dates'!$A$2:$J$5,3,FALSE)),1,0)</f>
        <v>0</v>
      </c>
      <c r="S1026" s="9">
        <f>IF($A1026=VLOOKUP(YEAR($A1026),'Festive dates'!$A$2:$J$5,2,FALSE),1,0)</f>
        <v>0</v>
      </c>
      <c r="T1026" s="9">
        <f>IF($A1026=VLOOKUP(YEAR($A1026),'Festive dates'!$A$2:$J$5,3,FALSE),1,0)</f>
        <v>0</v>
      </c>
      <c r="U1026" s="9">
        <f>IF($A1026=VLOOKUP(YEAR($A1026),'Festive dates'!$A$2:$J$5,4,FALSE),1,0)</f>
        <v>0</v>
      </c>
      <c r="V1026" s="9">
        <f>IF(AND($A1026&gt;=VLOOKUP(YEAR($A1026),'Festive dates'!$A$2:$J$5,9,FALSE),$A1026&lt;=VLOOKUP(YEAR($A1026),'Festive dates'!$A$2:$J$5,10,FALSE)),1,0)</f>
        <v>0</v>
      </c>
      <c r="W1026" s="9">
        <f>IF($A1026=VLOOKUP(YEAR($A1026),'Festive dates'!$A$2:$J$5,7,FALSE),1,0)</f>
        <v>0</v>
      </c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</row>
    <row r="1027" spans="1:51">
      <c r="A1027" s="8">
        <v>46042</v>
      </c>
      <c r="B1027" s="9">
        <v>0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f>MAX(-20,MIN(10,$A1027-VLOOKUP(YEAR($A1027),'Festive dates'!$A$2:$J$5,8,FALSE)))</f>
        <v>-20</v>
      </c>
      <c r="R1027" s="9">
        <f>IF(AND($A1027&gt;VLOOKUP(YEAR($A1027),'Festive dates'!$A$2:$J$5,2,FALSE),$A1027&lt;VLOOKUP(YEAR($A1027),'Festive dates'!$A$2:$J$5,3,FALSE)),1,0)</f>
        <v>0</v>
      </c>
      <c r="S1027" s="9">
        <f>IF($A1027=VLOOKUP(YEAR($A1027),'Festive dates'!$A$2:$J$5,2,FALSE),1,0)</f>
        <v>0</v>
      </c>
      <c r="T1027" s="9">
        <f>IF($A1027=VLOOKUP(YEAR($A1027),'Festive dates'!$A$2:$J$5,3,FALSE),1,0)</f>
        <v>0</v>
      </c>
      <c r="U1027" s="9">
        <f>IF($A1027=VLOOKUP(YEAR($A1027),'Festive dates'!$A$2:$J$5,4,FALSE),1,0)</f>
        <v>0</v>
      </c>
      <c r="V1027" s="9">
        <f>IF(AND($A1027&gt;=VLOOKUP(YEAR($A1027),'Festive dates'!$A$2:$J$5,9,FALSE),$A1027&lt;=VLOOKUP(YEAR($A1027),'Festive dates'!$A$2:$J$5,10,FALSE)),1,0)</f>
        <v>0</v>
      </c>
      <c r="W1027" s="9">
        <f>IF($A1027=VLOOKUP(YEAR($A1027),'Festive dates'!$A$2:$J$5,7,FALSE),1,0)</f>
        <v>0</v>
      </c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</row>
    <row r="1028" spans="1:51">
      <c r="A1028" s="8">
        <v>46043</v>
      </c>
      <c r="B1028" s="9">
        <v>0</v>
      </c>
      <c r="C1028" s="9">
        <v>0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f>MAX(-20,MIN(10,$A1028-VLOOKUP(YEAR($A1028),'Festive dates'!$A$2:$J$5,8,FALSE)))</f>
        <v>-20</v>
      </c>
      <c r="R1028" s="9">
        <f>IF(AND($A1028&gt;VLOOKUP(YEAR($A1028),'Festive dates'!$A$2:$J$5,2,FALSE),$A1028&lt;VLOOKUP(YEAR($A1028),'Festive dates'!$A$2:$J$5,3,FALSE)),1,0)</f>
        <v>0</v>
      </c>
      <c r="S1028" s="9">
        <f>IF($A1028=VLOOKUP(YEAR($A1028),'Festive dates'!$A$2:$J$5,2,FALSE),1,0)</f>
        <v>0</v>
      </c>
      <c r="T1028" s="9">
        <f>IF($A1028=VLOOKUP(YEAR($A1028),'Festive dates'!$A$2:$J$5,3,FALSE),1,0)</f>
        <v>0</v>
      </c>
      <c r="U1028" s="9">
        <f>IF($A1028=VLOOKUP(YEAR($A1028),'Festive dates'!$A$2:$J$5,4,FALSE),1,0)</f>
        <v>0</v>
      </c>
      <c r="V1028" s="9">
        <f>IF(AND($A1028&gt;=VLOOKUP(YEAR($A1028),'Festive dates'!$A$2:$J$5,9,FALSE),$A1028&lt;=VLOOKUP(YEAR($A1028),'Festive dates'!$A$2:$J$5,10,FALSE)),1,0)</f>
        <v>0</v>
      </c>
      <c r="W1028" s="9">
        <f>IF($A1028=VLOOKUP(YEAR($A1028),'Festive dates'!$A$2:$J$5,7,FALSE),1,0)</f>
        <v>0</v>
      </c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</row>
    <row r="1029" spans="1:51">
      <c r="A1029" s="8">
        <v>46044</v>
      </c>
      <c r="B1029" s="9">
        <v>0</v>
      </c>
      <c r="C1029" s="9">
        <v>0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f>MAX(-20,MIN(10,$A1029-VLOOKUP(YEAR($A1029),'Festive dates'!$A$2:$J$5,8,FALSE)))</f>
        <v>-20</v>
      </c>
      <c r="R1029" s="9">
        <f>IF(AND($A1029&gt;VLOOKUP(YEAR($A1029),'Festive dates'!$A$2:$J$5,2,FALSE),$A1029&lt;VLOOKUP(YEAR($A1029),'Festive dates'!$A$2:$J$5,3,FALSE)),1,0)</f>
        <v>0</v>
      </c>
      <c r="S1029" s="9">
        <f>IF($A1029=VLOOKUP(YEAR($A1029),'Festive dates'!$A$2:$J$5,2,FALSE),1,0)</f>
        <v>0</v>
      </c>
      <c r="T1029" s="9">
        <f>IF($A1029=VLOOKUP(YEAR($A1029),'Festive dates'!$A$2:$J$5,3,FALSE),1,0)</f>
        <v>0</v>
      </c>
      <c r="U1029" s="9">
        <f>IF($A1029=VLOOKUP(YEAR($A1029),'Festive dates'!$A$2:$J$5,4,FALSE),1,0)</f>
        <v>0</v>
      </c>
      <c r="V1029" s="9">
        <f>IF(AND($A1029&gt;=VLOOKUP(YEAR($A1029),'Festive dates'!$A$2:$J$5,9,FALSE),$A1029&lt;=VLOOKUP(YEAR($A1029),'Festive dates'!$A$2:$J$5,10,FALSE)),1,0)</f>
        <v>0</v>
      </c>
      <c r="W1029" s="9">
        <f>IF($A1029=VLOOKUP(YEAR($A1029),'Festive dates'!$A$2:$J$5,7,FALSE),1,0)</f>
        <v>0</v>
      </c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</row>
    <row r="1030" spans="1:51">
      <c r="A1030" s="8">
        <v>46045</v>
      </c>
      <c r="B1030" s="9">
        <v>0</v>
      </c>
      <c r="C1030" s="9">
        <v>0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f>MAX(-20,MIN(10,$A1030-VLOOKUP(YEAR($A1030),'Festive dates'!$A$2:$J$5,8,FALSE)))</f>
        <v>-20</v>
      </c>
      <c r="R1030" s="9">
        <f>IF(AND($A1030&gt;VLOOKUP(YEAR($A1030),'Festive dates'!$A$2:$J$5,2,FALSE),$A1030&lt;VLOOKUP(YEAR($A1030),'Festive dates'!$A$2:$J$5,3,FALSE)),1,0)</f>
        <v>0</v>
      </c>
      <c r="S1030" s="9">
        <f>IF($A1030=VLOOKUP(YEAR($A1030),'Festive dates'!$A$2:$J$5,2,FALSE),1,0)</f>
        <v>0</v>
      </c>
      <c r="T1030" s="9">
        <f>IF($A1030=VLOOKUP(YEAR($A1030),'Festive dates'!$A$2:$J$5,3,FALSE),1,0)</f>
        <v>0</v>
      </c>
      <c r="U1030" s="9">
        <f>IF($A1030=VLOOKUP(YEAR($A1030),'Festive dates'!$A$2:$J$5,4,FALSE),1,0)</f>
        <v>0</v>
      </c>
      <c r="V1030" s="9">
        <f>IF(AND($A1030&gt;=VLOOKUP(YEAR($A1030),'Festive dates'!$A$2:$J$5,9,FALSE),$A1030&lt;=VLOOKUP(YEAR($A1030),'Festive dates'!$A$2:$J$5,10,FALSE)),1,0)</f>
        <v>0</v>
      </c>
      <c r="W1030" s="9">
        <f>IF($A1030=VLOOKUP(YEAR($A1030),'Festive dates'!$A$2:$J$5,7,FALSE),1,0)</f>
        <v>0</v>
      </c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</row>
    <row r="1031" spans="1:51">
      <c r="A1031" s="8">
        <v>46046</v>
      </c>
      <c r="B1031" s="9">
        <v>0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f>MAX(-20,MIN(10,$A1031-VLOOKUP(YEAR($A1031),'Festive dates'!$A$2:$J$5,8,FALSE)))</f>
        <v>-20</v>
      </c>
      <c r="R1031" s="9">
        <f>IF(AND($A1031&gt;VLOOKUP(YEAR($A1031),'Festive dates'!$A$2:$J$5,2,FALSE),$A1031&lt;VLOOKUP(YEAR($A1031),'Festive dates'!$A$2:$J$5,3,FALSE)),1,0)</f>
        <v>0</v>
      </c>
      <c r="S1031" s="9">
        <f>IF($A1031=VLOOKUP(YEAR($A1031),'Festive dates'!$A$2:$J$5,2,FALSE),1,0)</f>
        <v>0</v>
      </c>
      <c r="T1031" s="9">
        <f>IF($A1031=VLOOKUP(YEAR($A1031),'Festive dates'!$A$2:$J$5,3,FALSE),1,0)</f>
        <v>0</v>
      </c>
      <c r="U1031" s="9">
        <f>IF($A1031=VLOOKUP(YEAR($A1031),'Festive dates'!$A$2:$J$5,4,FALSE),1,0)</f>
        <v>0</v>
      </c>
      <c r="V1031" s="9">
        <f>IF(AND($A1031&gt;=VLOOKUP(YEAR($A1031),'Festive dates'!$A$2:$J$5,9,FALSE),$A1031&lt;=VLOOKUP(YEAR($A1031),'Festive dates'!$A$2:$J$5,10,FALSE)),1,0)</f>
        <v>0</v>
      </c>
      <c r="W1031" s="9">
        <f>IF($A1031=VLOOKUP(YEAR($A1031),'Festive dates'!$A$2:$J$5,7,FALSE),1,0)</f>
        <v>0</v>
      </c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</row>
    <row r="1032" spans="1:51">
      <c r="A1032" s="8">
        <v>46047</v>
      </c>
      <c r="B1032" s="9">
        <v>0</v>
      </c>
      <c r="C1032" s="9">
        <v>0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f>MAX(-20,MIN(10,$A1032-VLOOKUP(YEAR($A1032),'Festive dates'!$A$2:$J$5,8,FALSE)))</f>
        <v>-20</v>
      </c>
      <c r="R1032" s="9">
        <f>IF(AND($A1032&gt;VLOOKUP(YEAR($A1032),'Festive dates'!$A$2:$J$5,2,FALSE),$A1032&lt;VLOOKUP(YEAR($A1032),'Festive dates'!$A$2:$J$5,3,FALSE)),1,0)</f>
        <v>0</v>
      </c>
      <c r="S1032" s="9">
        <f>IF($A1032=VLOOKUP(YEAR($A1032),'Festive dates'!$A$2:$J$5,2,FALSE),1,0)</f>
        <v>0</v>
      </c>
      <c r="T1032" s="9">
        <f>IF($A1032=VLOOKUP(YEAR($A1032),'Festive dates'!$A$2:$J$5,3,FALSE),1,0)</f>
        <v>0</v>
      </c>
      <c r="U1032" s="9">
        <f>IF($A1032=VLOOKUP(YEAR($A1032),'Festive dates'!$A$2:$J$5,4,FALSE),1,0)</f>
        <v>0</v>
      </c>
      <c r="V1032" s="9">
        <f>IF(AND($A1032&gt;=VLOOKUP(YEAR($A1032),'Festive dates'!$A$2:$J$5,9,FALSE),$A1032&lt;=VLOOKUP(YEAR($A1032),'Festive dates'!$A$2:$J$5,10,FALSE)),1,0)</f>
        <v>0</v>
      </c>
      <c r="W1032" s="9">
        <f>IF($A1032=VLOOKUP(YEAR($A1032),'Festive dates'!$A$2:$J$5,7,FALSE),1,0)</f>
        <v>0</v>
      </c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</row>
    <row r="1033" spans="1:51">
      <c r="A1033" s="8">
        <v>46048</v>
      </c>
      <c r="B1033" s="9">
        <v>0</v>
      </c>
      <c r="C1033" s="9">
        <v>0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f>MAX(-20,MIN(10,$A1033-VLOOKUP(YEAR($A1033),'Festive dates'!$A$2:$J$5,8,FALSE)))</f>
        <v>-20</v>
      </c>
      <c r="R1033" s="9">
        <f>IF(AND($A1033&gt;VLOOKUP(YEAR($A1033),'Festive dates'!$A$2:$J$5,2,FALSE),$A1033&lt;VLOOKUP(YEAR($A1033),'Festive dates'!$A$2:$J$5,3,FALSE)),1,0)</f>
        <v>0</v>
      </c>
      <c r="S1033" s="9">
        <f>IF($A1033=VLOOKUP(YEAR($A1033),'Festive dates'!$A$2:$J$5,2,FALSE),1,0)</f>
        <v>0</v>
      </c>
      <c r="T1033" s="9">
        <f>IF($A1033=VLOOKUP(YEAR($A1033),'Festive dates'!$A$2:$J$5,3,FALSE),1,0)</f>
        <v>0</v>
      </c>
      <c r="U1033" s="9">
        <f>IF($A1033=VLOOKUP(YEAR($A1033),'Festive dates'!$A$2:$J$5,4,FALSE),1,0)</f>
        <v>0</v>
      </c>
      <c r="V1033" s="9">
        <f>IF(AND($A1033&gt;=VLOOKUP(YEAR($A1033),'Festive dates'!$A$2:$J$5,9,FALSE),$A1033&lt;=VLOOKUP(YEAR($A1033),'Festive dates'!$A$2:$J$5,10,FALSE)),1,0)</f>
        <v>0</v>
      </c>
      <c r="W1033" s="9">
        <f>IF($A1033=VLOOKUP(YEAR($A1033),'Festive dates'!$A$2:$J$5,7,FALSE),1,0)</f>
        <v>0</v>
      </c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</row>
    <row r="1034" spans="1:51">
      <c r="A1034" s="8">
        <v>46049</v>
      </c>
      <c r="B1034" s="9">
        <v>0</v>
      </c>
      <c r="C1034" s="9">
        <v>0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f>MAX(-20,MIN(10,$A1034-VLOOKUP(YEAR($A1034),'Festive dates'!$A$2:$J$5,8,FALSE)))</f>
        <v>-20</v>
      </c>
      <c r="R1034" s="9">
        <f>IF(AND($A1034&gt;VLOOKUP(YEAR($A1034),'Festive dates'!$A$2:$J$5,2,FALSE),$A1034&lt;VLOOKUP(YEAR($A1034),'Festive dates'!$A$2:$J$5,3,FALSE)),1,0)</f>
        <v>0</v>
      </c>
      <c r="S1034" s="9">
        <f>IF($A1034=VLOOKUP(YEAR($A1034),'Festive dates'!$A$2:$J$5,2,FALSE),1,0)</f>
        <v>0</v>
      </c>
      <c r="T1034" s="9">
        <f>IF($A1034=VLOOKUP(YEAR($A1034),'Festive dates'!$A$2:$J$5,3,FALSE),1,0)</f>
        <v>0</v>
      </c>
      <c r="U1034" s="9">
        <f>IF($A1034=VLOOKUP(YEAR($A1034),'Festive dates'!$A$2:$J$5,4,FALSE),1,0)</f>
        <v>0</v>
      </c>
      <c r="V1034" s="9">
        <f>IF(AND($A1034&gt;=VLOOKUP(YEAR($A1034),'Festive dates'!$A$2:$J$5,9,FALSE),$A1034&lt;=VLOOKUP(YEAR($A1034),'Festive dates'!$A$2:$J$5,10,FALSE)),1,0)</f>
        <v>0</v>
      </c>
      <c r="W1034" s="9">
        <f>IF($A1034=VLOOKUP(YEAR($A1034),'Festive dates'!$A$2:$J$5,7,FALSE),1,0)</f>
        <v>0</v>
      </c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</row>
    <row r="1035" spans="1:51">
      <c r="A1035" s="8">
        <v>46050</v>
      </c>
      <c r="B1035" s="9">
        <v>0</v>
      </c>
      <c r="C1035" s="9">
        <v>0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f>MAX(-20,MIN(10,$A1035-VLOOKUP(YEAR($A1035),'Festive dates'!$A$2:$J$5,8,FALSE)))</f>
        <v>-20</v>
      </c>
      <c r="R1035" s="9">
        <f>IF(AND($A1035&gt;VLOOKUP(YEAR($A1035),'Festive dates'!$A$2:$J$5,2,FALSE),$A1035&lt;VLOOKUP(YEAR($A1035),'Festive dates'!$A$2:$J$5,3,FALSE)),1,0)</f>
        <v>0</v>
      </c>
      <c r="S1035" s="9">
        <f>IF($A1035=VLOOKUP(YEAR($A1035),'Festive dates'!$A$2:$J$5,2,FALSE),1,0)</f>
        <v>0</v>
      </c>
      <c r="T1035" s="9">
        <f>IF($A1035=VLOOKUP(YEAR($A1035),'Festive dates'!$A$2:$J$5,3,FALSE),1,0)</f>
        <v>0</v>
      </c>
      <c r="U1035" s="9">
        <f>IF($A1035=VLOOKUP(YEAR($A1035),'Festive dates'!$A$2:$J$5,4,FALSE),1,0)</f>
        <v>0</v>
      </c>
      <c r="V1035" s="9">
        <f>IF(AND($A1035&gt;=VLOOKUP(YEAR($A1035),'Festive dates'!$A$2:$J$5,9,FALSE),$A1035&lt;=VLOOKUP(YEAR($A1035),'Festive dates'!$A$2:$J$5,10,FALSE)),1,0)</f>
        <v>0</v>
      </c>
      <c r="W1035" s="9">
        <f>IF($A1035=VLOOKUP(YEAR($A1035),'Festive dates'!$A$2:$J$5,7,FALSE),1,0)</f>
        <v>0</v>
      </c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</row>
    <row r="1036" spans="1:51">
      <c r="A1036" s="8">
        <v>46051</v>
      </c>
      <c r="B1036" s="9">
        <v>0</v>
      </c>
      <c r="C1036" s="9">
        <v>0</v>
      </c>
      <c r="D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1</v>
      </c>
      <c r="Q1036" s="9">
        <f>MAX(-20,MIN(10,$A1036-VLOOKUP(YEAR($A1036),'Festive dates'!$A$2:$J$5,8,FALSE)))</f>
        <v>-20</v>
      </c>
      <c r="R1036" s="9">
        <f>IF(AND($A1036&gt;VLOOKUP(YEAR($A1036),'Festive dates'!$A$2:$J$5,2,FALSE),$A1036&lt;VLOOKUP(YEAR($A1036),'Festive dates'!$A$2:$J$5,3,FALSE)),1,0)</f>
        <v>0</v>
      </c>
      <c r="S1036" s="9">
        <f>IF($A1036=VLOOKUP(YEAR($A1036),'Festive dates'!$A$2:$J$5,2,FALSE),1,0)</f>
        <v>0</v>
      </c>
      <c r="T1036" s="9">
        <f>IF($A1036=VLOOKUP(YEAR($A1036),'Festive dates'!$A$2:$J$5,3,FALSE),1,0)</f>
        <v>0</v>
      </c>
      <c r="U1036" s="9">
        <f>IF($A1036=VLOOKUP(YEAR($A1036),'Festive dates'!$A$2:$J$5,4,FALSE),1,0)</f>
        <v>0</v>
      </c>
      <c r="V1036" s="9">
        <f>IF(AND($A1036&gt;=VLOOKUP(YEAR($A1036),'Festive dates'!$A$2:$J$5,9,FALSE),$A1036&lt;=VLOOKUP(YEAR($A1036),'Festive dates'!$A$2:$J$5,10,FALSE)),1,0)</f>
        <v>0</v>
      </c>
      <c r="W1036" s="9">
        <f>IF($A1036=VLOOKUP(YEAR($A1036),'Festive dates'!$A$2:$J$5,7,FALSE),1,0)</f>
        <v>0</v>
      </c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</row>
    <row r="1037" spans="1:51">
      <c r="A1037" s="8">
        <v>46052</v>
      </c>
      <c r="B1037" s="9">
        <v>0</v>
      </c>
      <c r="C1037" s="9">
        <v>0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1</v>
      </c>
      <c r="Q1037" s="9">
        <f>MAX(-20,MIN(10,$A1037-VLOOKUP(YEAR($A1037),'Festive dates'!$A$2:$J$5,8,FALSE)))</f>
        <v>-20</v>
      </c>
      <c r="R1037" s="9">
        <f>IF(AND($A1037&gt;VLOOKUP(YEAR($A1037),'Festive dates'!$A$2:$J$5,2,FALSE),$A1037&lt;VLOOKUP(YEAR($A1037),'Festive dates'!$A$2:$J$5,3,FALSE)),1,0)</f>
        <v>0</v>
      </c>
      <c r="S1037" s="9">
        <f>IF($A1037=VLOOKUP(YEAR($A1037),'Festive dates'!$A$2:$J$5,2,FALSE),1,0)</f>
        <v>0</v>
      </c>
      <c r="T1037" s="9">
        <f>IF($A1037=VLOOKUP(YEAR($A1037),'Festive dates'!$A$2:$J$5,3,FALSE),1,0)</f>
        <v>0</v>
      </c>
      <c r="U1037" s="9">
        <f>IF($A1037=VLOOKUP(YEAR($A1037),'Festive dates'!$A$2:$J$5,4,FALSE),1,0)</f>
        <v>0</v>
      </c>
      <c r="V1037" s="9">
        <f>IF(AND($A1037&gt;=VLOOKUP(YEAR($A1037),'Festive dates'!$A$2:$J$5,9,FALSE),$A1037&lt;=VLOOKUP(YEAR($A1037),'Festive dates'!$A$2:$J$5,10,FALSE)),1,0)</f>
        <v>0</v>
      </c>
      <c r="W1037" s="9">
        <f>IF($A1037=VLOOKUP(YEAR($A1037),'Festive dates'!$A$2:$J$5,7,FALSE),1,0)</f>
        <v>0</v>
      </c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</row>
    <row r="1038" spans="1:51">
      <c r="A1038" s="8">
        <v>46053</v>
      </c>
      <c r="B1038" s="9">
        <v>0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f>MAX(-20,MIN(10,$A1038-VLOOKUP(YEAR($A1038),'Festive dates'!$A$2:$J$5,8,FALSE)))</f>
        <v>-20</v>
      </c>
      <c r="R1038" s="9">
        <f>IF(AND($A1038&gt;VLOOKUP(YEAR($A1038),'Festive dates'!$A$2:$J$5,2,FALSE),$A1038&lt;VLOOKUP(YEAR($A1038),'Festive dates'!$A$2:$J$5,3,FALSE)),1,0)</f>
        <v>0</v>
      </c>
      <c r="S1038" s="9">
        <f>IF($A1038=VLOOKUP(YEAR($A1038),'Festive dates'!$A$2:$J$5,2,FALSE),1,0)</f>
        <v>0</v>
      </c>
      <c r="T1038" s="9">
        <f>IF($A1038=VLOOKUP(YEAR($A1038),'Festive dates'!$A$2:$J$5,3,FALSE),1,0)</f>
        <v>0</v>
      </c>
      <c r="U1038" s="9">
        <f>IF($A1038=VLOOKUP(YEAR($A1038),'Festive dates'!$A$2:$J$5,4,FALSE),1,0)</f>
        <v>0</v>
      </c>
      <c r="V1038" s="9">
        <f>IF(AND($A1038&gt;=VLOOKUP(YEAR($A1038),'Festive dates'!$A$2:$J$5,9,FALSE),$A1038&lt;=VLOOKUP(YEAR($A1038),'Festive dates'!$A$2:$J$5,10,FALSE)),1,0)</f>
        <v>0</v>
      </c>
      <c r="W1038" s="9">
        <f>IF($A1038=VLOOKUP(YEAR($A1038),'Festive dates'!$A$2:$J$5,7,FALSE),1,0)</f>
        <v>0</v>
      </c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</row>
    <row r="1039" spans="1:51">
      <c r="A1039" s="8">
        <v>46054</v>
      </c>
      <c r="B1039" s="9">
        <v>0</v>
      </c>
      <c r="C1039" s="9">
        <v>0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1</v>
      </c>
      <c r="Q1039" s="9">
        <f>MAX(-20,MIN(10,$A1039-VLOOKUP(YEAR($A1039),'Festive dates'!$A$2:$J$5,8,FALSE)))</f>
        <v>-20</v>
      </c>
      <c r="R1039" s="9">
        <f>IF(AND($A1039&gt;VLOOKUP(YEAR($A1039),'Festive dates'!$A$2:$J$5,2,FALSE),$A1039&lt;VLOOKUP(YEAR($A1039),'Festive dates'!$A$2:$J$5,3,FALSE)),1,0)</f>
        <v>0</v>
      </c>
      <c r="S1039" s="9">
        <f>IF($A1039=VLOOKUP(YEAR($A1039),'Festive dates'!$A$2:$J$5,2,FALSE),1,0)</f>
        <v>0</v>
      </c>
      <c r="T1039" s="9">
        <f>IF($A1039=VLOOKUP(YEAR($A1039),'Festive dates'!$A$2:$J$5,3,FALSE),1,0)</f>
        <v>0</v>
      </c>
      <c r="U1039" s="9">
        <f>IF($A1039=VLOOKUP(YEAR($A1039),'Festive dates'!$A$2:$J$5,4,FALSE),1,0)</f>
        <v>0</v>
      </c>
      <c r="V1039" s="9">
        <f>IF(AND($A1039&gt;=VLOOKUP(YEAR($A1039),'Festive dates'!$A$2:$J$5,9,FALSE),$A1039&lt;=VLOOKUP(YEAR($A1039),'Festive dates'!$A$2:$J$5,10,FALSE)),1,0)</f>
        <v>0</v>
      </c>
      <c r="W1039" s="9">
        <f>IF($A1039=VLOOKUP(YEAR($A1039),'Festive dates'!$A$2:$J$5,7,FALSE),1,0)</f>
        <v>0</v>
      </c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</row>
    <row r="1040" spans="1:51">
      <c r="A1040" s="8">
        <v>46055</v>
      </c>
      <c r="B1040" s="9">
        <v>0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f>MAX(-20,MIN(10,$A1040-VLOOKUP(YEAR($A1040),'Festive dates'!$A$2:$J$5,8,FALSE)))</f>
        <v>-20</v>
      </c>
      <c r="R1040" s="9">
        <f>IF(AND($A1040&gt;VLOOKUP(YEAR($A1040),'Festive dates'!$A$2:$J$5,2,FALSE),$A1040&lt;VLOOKUP(YEAR($A1040),'Festive dates'!$A$2:$J$5,3,FALSE)),1,0)</f>
        <v>0</v>
      </c>
      <c r="S1040" s="9">
        <f>IF($A1040=VLOOKUP(YEAR($A1040),'Festive dates'!$A$2:$J$5,2,FALSE),1,0)</f>
        <v>0</v>
      </c>
      <c r="T1040" s="9">
        <f>IF($A1040=VLOOKUP(YEAR($A1040),'Festive dates'!$A$2:$J$5,3,FALSE),1,0)</f>
        <v>0</v>
      </c>
      <c r="U1040" s="9">
        <f>IF($A1040=VLOOKUP(YEAR($A1040),'Festive dates'!$A$2:$J$5,4,FALSE),1,0)</f>
        <v>0</v>
      </c>
      <c r="V1040" s="9">
        <f>IF(AND($A1040&gt;=VLOOKUP(YEAR($A1040),'Festive dates'!$A$2:$J$5,9,FALSE),$A1040&lt;=VLOOKUP(YEAR($A1040),'Festive dates'!$A$2:$J$5,10,FALSE)),1,0)</f>
        <v>0</v>
      </c>
      <c r="W1040" s="9">
        <f>IF($A1040=VLOOKUP(YEAR($A1040),'Festive dates'!$A$2:$J$5,7,FALSE),1,0)</f>
        <v>0</v>
      </c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</row>
    <row r="1041" spans="1:51">
      <c r="A1041" s="8">
        <v>46056</v>
      </c>
      <c r="B1041" s="9">
        <v>0</v>
      </c>
      <c r="C1041" s="9">
        <v>0</v>
      </c>
      <c r="D1041" s="9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1</v>
      </c>
      <c r="Q1041" s="9">
        <f>MAX(-20,MIN(10,$A1041-VLOOKUP(YEAR($A1041),'Festive dates'!$A$2:$J$5,8,FALSE)))</f>
        <v>-20</v>
      </c>
      <c r="R1041" s="9">
        <f>IF(AND($A1041&gt;VLOOKUP(YEAR($A1041),'Festive dates'!$A$2:$J$5,2,FALSE),$A1041&lt;VLOOKUP(YEAR($A1041),'Festive dates'!$A$2:$J$5,3,FALSE)),1,0)</f>
        <v>0</v>
      </c>
      <c r="S1041" s="9">
        <f>IF($A1041=VLOOKUP(YEAR($A1041),'Festive dates'!$A$2:$J$5,2,FALSE),1,0)</f>
        <v>0</v>
      </c>
      <c r="T1041" s="9">
        <f>IF($A1041=VLOOKUP(YEAR($A1041),'Festive dates'!$A$2:$J$5,3,FALSE),1,0)</f>
        <v>0</v>
      </c>
      <c r="U1041" s="9">
        <f>IF($A1041=VLOOKUP(YEAR($A1041),'Festive dates'!$A$2:$J$5,4,FALSE),1,0)</f>
        <v>0</v>
      </c>
      <c r="V1041" s="9">
        <f>IF(AND($A1041&gt;=VLOOKUP(YEAR($A1041),'Festive dates'!$A$2:$J$5,9,FALSE),$A1041&lt;=VLOOKUP(YEAR($A1041),'Festive dates'!$A$2:$J$5,10,FALSE)),1,0)</f>
        <v>0</v>
      </c>
      <c r="W1041" s="9">
        <f>IF($A1041=VLOOKUP(YEAR($A1041),'Festive dates'!$A$2:$J$5,7,FALSE),1,0)</f>
        <v>0</v>
      </c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</row>
    <row r="1042" spans="1:51">
      <c r="A1042" s="8">
        <v>46057</v>
      </c>
      <c r="B1042" s="9">
        <v>0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f>MAX(-20,MIN(10,$A1042-VLOOKUP(YEAR($A1042),'Festive dates'!$A$2:$J$5,8,FALSE)))</f>
        <v>-20</v>
      </c>
      <c r="R1042" s="9">
        <f>IF(AND($A1042&gt;VLOOKUP(YEAR($A1042),'Festive dates'!$A$2:$J$5,2,FALSE),$A1042&lt;VLOOKUP(YEAR($A1042),'Festive dates'!$A$2:$J$5,3,FALSE)),1,0)</f>
        <v>0</v>
      </c>
      <c r="S1042" s="9">
        <f>IF($A1042=VLOOKUP(YEAR($A1042),'Festive dates'!$A$2:$J$5,2,FALSE),1,0)</f>
        <v>0</v>
      </c>
      <c r="T1042" s="9">
        <f>IF($A1042=VLOOKUP(YEAR($A1042),'Festive dates'!$A$2:$J$5,3,FALSE),1,0)</f>
        <v>0</v>
      </c>
      <c r="U1042" s="9">
        <f>IF($A1042=VLOOKUP(YEAR($A1042),'Festive dates'!$A$2:$J$5,4,FALSE),1,0)</f>
        <v>0</v>
      </c>
      <c r="V1042" s="9">
        <f>IF(AND($A1042&gt;=VLOOKUP(YEAR($A1042),'Festive dates'!$A$2:$J$5,9,FALSE),$A1042&lt;=VLOOKUP(YEAR($A1042),'Festive dates'!$A$2:$J$5,10,FALSE)),1,0)</f>
        <v>0</v>
      </c>
      <c r="W1042" s="9">
        <f>IF($A1042=VLOOKUP(YEAR($A1042),'Festive dates'!$A$2:$J$5,7,FALSE),1,0)</f>
        <v>0</v>
      </c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</row>
    <row r="1043" spans="1:51">
      <c r="A1043" s="8">
        <v>46058</v>
      </c>
      <c r="B1043" s="9">
        <v>0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1</v>
      </c>
      <c r="Q1043" s="9">
        <f>MAX(-20,MIN(10,$A1043-VLOOKUP(YEAR($A1043),'Festive dates'!$A$2:$J$5,8,FALSE)))</f>
        <v>-20</v>
      </c>
      <c r="R1043" s="9">
        <f>IF(AND($A1043&gt;VLOOKUP(YEAR($A1043),'Festive dates'!$A$2:$J$5,2,FALSE),$A1043&lt;VLOOKUP(YEAR($A1043),'Festive dates'!$A$2:$J$5,3,FALSE)),1,0)</f>
        <v>0</v>
      </c>
      <c r="S1043" s="9">
        <f>IF($A1043=VLOOKUP(YEAR($A1043),'Festive dates'!$A$2:$J$5,2,FALSE),1,0)</f>
        <v>0</v>
      </c>
      <c r="T1043" s="9">
        <f>IF($A1043=VLOOKUP(YEAR($A1043),'Festive dates'!$A$2:$J$5,3,FALSE),1,0)</f>
        <v>0</v>
      </c>
      <c r="U1043" s="9">
        <f>IF($A1043=VLOOKUP(YEAR($A1043),'Festive dates'!$A$2:$J$5,4,FALSE),1,0)</f>
        <v>0</v>
      </c>
      <c r="V1043" s="9">
        <f>IF(AND($A1043&gt;=VLOOKUP(YEAR($A1043),'Festive dates'!$A$2:$J$5,9,FALSE),$A1043&lt;=VLOOKUP(YEAR($A1043),'Festive dates'!$A$2:$J$5,10,FALSE)),1,0)</f>
        <v>0</v>
      </c>
      <c r="W1043" s="9">
        <f>IF($A1043=VLOOKUP(YEAR($A1043),'Festive dates'!$A$2:$J$5,7,FALSE),1,0)</f>
        <v>0</v>
      </c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</row>
    <row r="1044" spans="1:51">
      <c r="A1044" s="8">
        <v>46059</v>
      </c>
      <c r="B1044" s="9">
        <v>0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f>MAX(-20,MIN(10,$A1044-VLOOKUP(YEAR($A1044),'Festive dates'!$A$2:$J$5,8,FALSE)))</f>
        <v>-20</v>
      </c>
      <c r="R1044" s="9">
        <f>IF(AND($A1044&gt;VLOOKUP(YEAR($A1044),'Festive dates'!$A$2:$J$5,2,FALSE),$A1044&lt;VLOOKUP(YEAR($A1044),'Festive dates'!$A$2:$J$5,3,FALSE)),1,0)</f>
        <v>0</v>
      </c>
      <c r="S1044" s="9">
        <f>IF($A1044=VLOOKUP(YEAR($A1044),'Festive dates'!$A$2:$J$5,2,FALSE),1,0)</f>
        <v>0</v>
      </c>
      <c r="T1044" s="9">
        <f>IF($A1044=VLOOKUP(YEAR($A1044),'Festive dates'!$A$2:$J$5,3,FALSE),1,0)</f>
        <v>0</v>
      </c>
      <c r="U1044" s="9">
        <f>IF($A1044=VLOOKUP(YEAR($A1044),'Festive dates'!$A$2:$J$5,4,FALSE),1,0)</f>
        <v>0</v>
      </c>
      <c r="V1044" s="9">
        <f>IF(AND($A1044&gt;=VLOOKUP(YEAR($A1044),'Festive dates'!$A$2:$J$5,9,FALSE),$A1044&lt;=VLOOKUP(YEAR($A1044),'Festive dates'!$A$2:$J$5,10,FALSE)),1,0)</f>
        <v>0</v>
      </c>
      <c r="W1044" s="9">
        <f>IF($A1044=VLOOKUP(YEAR($A1044),'Festive dates'!$A$2:$J$5,7,FALSE),1,0)</f>
        <v>0</v>
      </c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</row>
    <row r="1045" spans="1:51">
      <c r="A1045" s="8">
        <v>46060</v>
      </c>
      <c r="B1045" s="9">
        <v>0</v>
      </c>
      <c r="C1045" s="9">
        <v>0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1</v>
      </c>
      <c r="Q1045" s="9">
        <f>MAX(-20,MIN(10,$A1045-VLOOKUP(YEAR($A1045),'Festive dates'!$A$2:$J$5,8,FALSE)))</f>
        <v>-20</v>
      </c>
      <c r="R1045" s="9">
        <f>IF(AND($A1045&gt;VLOOKUP(YEAR($A1045),'Festive dates'!$A$2:$J$5,2,FALSE),$A1045&lt;VLOOKUP(YEAR($A1045),'Festive dates'!$A$2:$J$5,3,FALSE)),1,0)</f>
        <v>0</v>
      </c>
      <c r="S1045" s="9">
        <f>IF($A1045=VLOOKUP(YEAR($A1045),'Festive dates'!$A$2:$J$5,2,FALSE),1,0)</f>
        <v>0</v>
      </c>
      <c r="T1045" s="9">
        <f>IF($A1045=VLOOKUP(YEAR($A1045),'Festive dates'!$A$2:$J$5,3,FALSE),1,0)</f>
        <v>0</v>
      </c>
      <c r="U1045" s="9">
        <f>IF($A1045=VLOOKUP(YEAR($A1045),'Festive dates'!$A$2:$J$5,4,FALSE),1,0)</f>
        <v>0</v>
      </c>
      <c r="V1045" s="9">
        <f>IF(AND($A1045&gt;=VLOOKUP(YEAR($A1045),'Festive dates'!$A$2:$J$5,9,FALSE),$A1045&lt;=VLOOKUP(YEAR($A1045),'Festive dates'!$A$2:$J$5,10,FALSE)),1,0)</f>
        <v>0</v>
      </c>
      <c r="W1045" s="9">
        <f>IF($A1045=VLOOKUP(YEAR($A1045),'Festive dates'!$A$2:$J$5,7,FALSE),1,0)</f>
        <v>0</v>
      </c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</row>
    <row r="1046" spans="1:51">
      <c r="A1046" s="8">
        <v>46061</v>
      </c>
      <c r="B1046" s="9">
        <v>0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f>MAX(-20,MIN(10,$A1046-VLOOKUP(YEAR($A1046),'Festive dates'!$A$2:$J$5,8,FALSE)))</f>
        <v>-20</v>
      </c>
      <c r="R1046" s="9">
        <f>IF(AND($A1046&gt;VLOOKUP(YEAR($A1046),'Festive dates'!$A$2:$J$5,2,FALSE),$A1046&lt;VLOOKUP(YEAR($A1046),'Festive dates'!$A$2:$J$5,3,FALSE)),1,0)</f>
        <v>0</v>
      </c>
      <c r="S1046" s="9">
        <f>IF($A1046=VLOOKUP(YEAR($A1046),'Festive dates'!$A$2:$J$5,2,FALSE),1,0)</f>
        <v>0</v>
      </c>
      <c r="T1046" s="9">
        <f>IF($A1046=VLOOKUP(YEAR($A1046),'Festive dates'!$A$2:$J$5,3,FALSE),1,0)</f>
        <v>0</v>
      </c>
      <c r="U1046" s="9">
        <f>IF($A1046=VLOOKUP(YEAR($A1046),'Festive dates'!$A$2:$J$5,4,FALSE),1,0)</f>
        <v>0</v>
      </c>
      <c r="V1046" s="9">
        <f>IF(AND($A1046&gt;=VLOOKUP(YEAR($A1046),'Festive dates'!$A$2:$J$5,9,FALSE),$A1046&lt;=VLOOKUP(YEAR($A1046),'Festive dates'!$A$2:$J$5,10,FALSE)),1,0)</f>
        <v>0</v>
      </c>
      <c r="W1046" s="9">
        <f>IF($A1046=VLOOKUP(YEAR($A1046),'Festive dates'!$A$2:$J$5,7,FALSE),1,0)</f>
        <v>0</v>
      </c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</row>
    <row r="1047" spans="1:51">
      <c r="A1047" s="8">
        <v>46062</v>
      </c>
      <c r="B1047" s="9">
        <v>0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f>MAX(-20,MIN(10,$A1047-VLOOKUP(YEAR($A1047),'Festive dates'!$A$2:$J$5,8,FALSE)))</f>
        <v>-20</v>
      </c>
      <c r="R1047" s="9">
        <f>IF(AND($A1047&gt;VLOOKUP(YEAR($A1047),'Festive dates'!$A$2:$J$5,2,FALSE),$A1047&lt;VLOOKUP(YEAR($A1047),'Festive dates'!$A$2:$J$5,3,FALSE)),1,0)</f>
        <v>0</v>
      </c>
      <c r="S1047" s="9">
        <f>IF($A1047=VLOOKUP(YEAR($A1047),'Festive dates'!$A$2:$J$5,2,FALSE),1,0)</f>
        <v>0</v>
      </c>
      <c r="T1047" s="9">
        <f>IF($A1047=VLOOKUP(YEAR($A1047),'Festive dates'!$A$2:$J$5,3,FALSE),1,0)</f>
        <v>0</v>
      </c>
      <c r="U1047" s="9">
        <f>IF($A1047=VLOOKUP(YEAR($A1047),'Festive dates'!$A$2:$J$5,4,FALSE),1,0)</f>
        <v>0</v>
      </c>
      <c r="V1047" s="9">
        <f>IF(AND($A1047&gt;=VLOOKUP(YEAR($A1047),'Festive dates'!$A$2:$J$5,9,FALSE),$A1047&lt;=VLOOKUP(YEAR($A1047),'Festive dates'!$A$2:$J$5,10,FALSE)),1,0)</f>
        <v>0</v>
      </c>
      <c r="W1047" s="9">
        <f>IF($A1047=VLOOKUP(YEAR($A1047),'Festive dates'!$A$2:$J$5,7,FALSE),1,0)</f>
        <v>0</v>
      </c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</row>
    <row r="1048" spans="1:51">
      <c r="A1048" s="8">
        <v>46063</v>
      </c>
      <c r="B1048" s="9">
        <v>0</v>
      </c>
      <c r="C1048" s="9">
        <v>0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f>MAX(-20,MIN(10,$A1048-VLOOKUP(YEAR($A1048),'Festive dates'!$A$2:$J$5,8,FALSE)))</f>
        <v>-20</v>
      </c>
      <c r="R1048" s="9">
        <f>IF(AND($A1048&gt;VLOOKUP(YEAR($A1048),'Festive dates'!$A$2:$J$5,2,FALSE),$A1048&lt;VLOOKUP(YEAR($A1048),'Festive dates'!$A$2:$J$5,3,FALSE)),1,0)</f>
        <v>0</v>
      </c>
      <c r="S1048" s="9">
        <f>IF($A1048=VLOOKUP(YEAR($A1048),'Festive dates'!$A$2:$J$5,2,FALSE),1,0)</f>
        <v>0</v>
      </c>
      <c r="T1048" s="9">
        <f>IF($A1048=VLOOKUP(YEAR($A1048),'Festive dates'!$A$2:$J$5,3,FALSE),1,0)</f>
        <v>0</v>
      </c>
      <c r="U1048" s="9">
        <f>IF($A1048=VLOOKUP(YEAR($A1048),'Festive dates'!$A$2:$J$5,4,FALSE),1,0)</f>
        <v>0</v>
      </c>
      <c r="V1048" s="9">
        <f>IF(AND($A1048&gt;=VLOOKUP(YEAR($A1048),'Festive dates'!$A$2:$J$5,9,FALSE),$A1048&lt;=VLOOKUP(YEAR($A1048),'Festive dates'!$A$2:$J$5,10,FALSE)),1,0)</f>
        <v>0</v>
      </c>
      <c r="W1048" s="9">
        <f>IF($A1048=VLOOKUP(YEAR($A1048),'Festive dates'!$A$2:$J$5,7,FALSE),1,0)</f>
        <v>0</v>
      </c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</row>
    <row r="1049" spans="1:51">
      <c r="A1049" s="8">
        <v>46064</v>
      </c>
      <c r="B1049" s="9">
        <v>0</v>
      </c>
      <c r="C1049" s="9">
        <v>0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f>MAX(-20,MIN(10,$A1049-VLOOKUP(YEAR($A1049),'Festive dates'!$A$2:$J$5,8,FALSE)))</f>
        <v>-20</v>
      </c>
      <c r="R1049" s="9">
        <f>IF(AND($A1049&gt;VLOOKUP(YEAR($A1049),'Festive dates'!$A$2:$J$5,2,FALSE),$A1049&lt;VLOOKUP(YEAR($A1049),'Festive dates'!$A$2:$J$5,3,FALSE)),1,0)</f>
        <v>0</v>
      </c>
      <c r="S1049" s="9">
        <f>IF($A1049=VLOOKUP(YEAR($A1049),'Festive dates'!$A$2:$J$5,2,FALSE),1,0)</f>
        <v>0</v>
      </c>
      <c r="T1049" s="9">
        <f>IF($A1049=VLOOKUP(YEAR($A1049),'Festive dates'!$A$2:$J$5,3,FALSE),1,0)</f>
        <v>0</v>
      </c>
      <c r="U1049" s="9">
        <f>IF($A1049=VLOOKUP(YEAR($A1049),'Festive dates'!$A$2:$J$5,4,FALSE),1,0)</f>
        <v>0</v>
      </c>
      <c r="V1049" s="9">
        <f>IF(AND($A1049&gt;=VLOOKUP(YEAR($A1049),'Festive dates'!$A$2:$J$5,9,FALSE),$A1049&lt;=VLOOKUP(YEAR($A1049),'Festive dates'!$A$2:$J$5,10,FALSE)),1,0)</f>
        <v>0</v>
      </c>
      <c r="W1049" s="9">
        <f>IF($A1049=VLOOKUP(YEAR($A1049),'Festive dates'!$A$2:$J$5,7,FALSE),1,0)</f>
        <v>0</v>
      </c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</row>
    <row r="1050" spans="1:51">
      <c r="A1050" s="8">
        <v>46065</v>
      </c>
      <c r="B1050" s="9">
        <v>0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1</v>
      </c>
      <c r="Q1050" s="9">
        <f>MAX(-20,MIN(10,$A1050-VLOOKUP(YEAR($A1050),'Festive dates'!$A$2:$J$5,8,FALSE)))</f>
        <v>-20</v>
      </c>
      <c r="R1050" s="9">
        <f>IF(AND($A1050&gt;VLOOKUP(YEAR($A1050),'Festive dates'!$A$2:$J$5,2,FALSE),$A1050&lt;VLOOKUP(YEAR($A1050),'Festive dates'!$A$2:$J$5,3,FALSE)),1,0)</f>
        <v>0</v>
      </c>
      <c r="S1050" s="9">
        <f>IF($A1050=VLOOKUP(YEAR($A1050),'Festive dates'!$A$2:$J$5,2,FALSE),1,0)</f>
        <v>0</v>
      </c>
      <c r="T1050" s="9">
        <f>IF($A1050=VLOOKUP(YEAR($A1050),'Festive dates'!$A$2:$J$5,3,FALSE),1,0)</f>
        <v>0</v>
      </c>
      <c r="U1050" s="9">
        <f>IF($A1050=VLOOKUP(YEAR($A1050),'Festive dates'!$A$2:$J$5,4,FALSE),1,0)</f>
        <v>0</v>
      </c>
      <c r="V1050" s="9">
        <f>IF(AND($A1050&gt;=VLOOKUP(YEAR($A1050),'Festive dates'!$A$2:$J$5,9,FALSE),$A1050&lt;=VLOOKUP(YEAR($A1050),'Festive dates'!$A$2:$J$5,10,FALSE)),1,0)</f>
        <v>0</v>
      </c>
      <c r="W1050" s="9">
        <f>IF($A1050=VLOOKUP(YEAR($A1050),'Festive dates'!$A$2:$J$5,7,FALSE),1,0)</f>
        <v>0</v>
      </c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</row>
    <row r="1051" spans="1:51">
      <c r="A1051" s="8">
        <v>46066</v>
      </c>
      <c r="B1051" s="9">
        <v>0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1</v>
      </c>
      <c r="Q1051" s="9">
        <f>MAX(-20,MIN(10,$A1051-VLOOKUP(YEAR($A1051),'Festive dates'!$A$2:$J$5,8,FALSE)))</f>
        <v>-20</v>
      </c>
      <c r="R1051" s="9">
        <f>IF(AND($A1051&gt;VLOOKUP(YEAR($A1051),'Festive dates'!$A$2:$J$5,2,FALSE),$A1051&lt;VLOOKUP(YEAR($A1051),'Festive dates'!$A$2:$J$5,3,FALSE)),1,0)</f>
        <v>0</v>
      </c>
      <c r="S1051" s="9">
        <f>IF($A1051=VLOOKUP(YEAR($A1051),'Festive dates'!$A$2:$J$5,2,FALSE),1,0)</f>
        <v>0</v>
      </c>
      <c r="T1051" s="9">
        <f>IF($A1051=VLOOKUP(YEAR($A1051),'Festive dates'!$A$2:$J$5,3,FALSE),1,0)</f>
        <v>0</v>
      </c>
      <c r="U1051" s="9">
        <f>IF($A1051=VLOOKUP(YEAR($A1051),'Festive dates'!$A$2:$J$5,4,FALSE),1,0)</f>
        <v>0</v>
      </c>
      <c r="V1051" s="9">
        <f>IF(AND($A1051&gt;=VLOOKUP(YEAR($A1051),'Festive dates'!$A$2:$J$5,9,FALSE),$A1051&lt;=VLOOKUP(YEAR($A1051),'Festive dates'!$A$2:$J$5,10,FALSE)),1,0)</f>
        <v>0</v>
      </c>
      <c r="W1051" s="9">
        <f>IF($A1051=VLOOKUP(YEAR($A1051),'Festive dates'!$A$2:$J$5,7,FALSE),1,0)</f>
        <v>0</v>
      </c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</row>
    <row r="1052" spans="1:51">
      <c r="A1052" s="8">
        <v>46067</v>
      </c>
      <c r="B1052" s="9">
        <v>0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1</v>
      </c>
      <c r="Q1052" s="9">
        <f>MAX(-20,MIN(10,$A1052-VLOOKUP(YEAR($A1052),'Festive dates'!$A$2:$J$5,8,FALSE)))</f>
        <v>-20</v>
      </c>
      <c r="R1052" s="9">
        <f>IF(AND($A1052&gt;VLOOKUP(YEAR($A1052),'Festive dates'!$A$2:$J$5,2,FALSE),$A1052&lt;VLOOKUP(YEAR($A1052),'Festive dates'!$A$2:$J$5,3,FALSE)),1,0)</f>
        <v>0</v>
      </c>
      <c r="S1052" s="9">
        <f>IF($A1052=VLOOKUP(YEAR($A1052),'Festive dates'!$A$2:$J$5,2,FALSE),1,0)</f>
        <v>0</v>
      </c>
      <c r="T1052" s="9">
        <f>IF($A1052=VLOOKUP(YEAR($A1052),'Festive dates'!$A$2:$J$5,3,FALSE),1,0)</f>
        <v>0</v>
      </c>
      <c r="U1052" s="9">
        <f>IF($A1052=VLOOKUP(YEAR($A1052),'Festive dates'!$A$2:$J$5,4,FALSE),1,0)</f>
        <v>0</v>
      </c>
      <c r="V1052" s="9">
        <f>IF(AND($A1052&gt;=VLOOKUP(YEAR($A1052),'Festive dates'!$A$2:$J$5,9,FALSE),$A1052&lt;=VLOOKUP(YEAR($A1052),'Festive dates'!$A$2:$J$5,10,FALSE)),1,0)</f>
        <v>0</v>
      </c>
      <c r="W1052" s="9">
        <f>IF($A1052=VLOOKUP(YEAR($A1052),'Festive dates'!$A$2:$J$5,7,FALSE),1,0)</f>
        <v>0</v>
      </c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</row>
    <row r="1053" spans="1:51">
      <c r="A1053" s="8">
        <v>46068</v>
      </c>
      <c r="B1053" s="9">
        <v>0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f>MAX(-20,MIN(10,$A1053-VLOOKUP(YEAR($A1053),'Festive dates'!$A$2:$J$5,8,FALSE)))</f>
        <v>-20</v>
      </c>
      <c r="R1053" s="9">
        <f>IF(AND($A1053&gt;VLOOKUP(YEAR($A1053),'Festive dates'!$A$2:$J$5,2,FALSE),$A1053&lt;VLOOKUP(YEAR($A1053),'Festive dates'!$A$2:$J$5,3,FALSE)),1,0)</f>
        <v>0</v>
      </c>
      <c r="S1053" s="9">
        <f>IF($A1053=VLOOKUP(YEAR($A1053),'Festive dates'!$A$2:$J$5,2,FALSE),1,0)</f>
        <v>0</v>
      </c>
      <c r="T1053" s="9">
        <f>IF($A1053=VLOOKUP(YEAR($A1053),'Festive dates'!$A$2:$J$5,3,FALSE),1,0)</f>
        <v>0</v>
      </c>
      <c r="U1053" s="9">
        <f>IF($A1053=VLOOKUP(YEAR($A1053),'Festive dates'!$A$2:$J$5,4,FALSE),1,0)</f>
        <v>0</v>
      </c>
      <c r="V1053" s="9">
        <f>IF(AND($A1053&gt;=VLOOKUP(YEAR($A1053),'Festive dates'!$A$2:$J$5,9,FALSE),$A1053&lt;=VLOOKUP(YEAR($A1053),'Festive dates'!$A$2:$J$5,10,FALSE)),1,0)</f>
        <v>0</v>
      </c>
      <c r="W1053" s="9">
        <f>IF($A1053=VLOOKUP(YEAR($A1053),'Festive dates'!$A$2:$J$5,7,FALSE),1,0)</f>
        <v>0</v>
      </c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</row>
    <row r="1054" spans="1:51">
      <c r="A1054" s="8">
        <v>46069</v>
      </c>
      <c r="B1054" s="9">
        <v>0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f>MAX(-20,MIN(10,$A1054-VLOOKUP(YEAR($A1054),'Festive dates'!$A$2:$J$5,8,FALSE)))</f>
        <v>-20</v>
      </c>
      <c r="R1054" s="9">
        <f>IF(AND($A1054&gt;VLOOKUP(YEAR($A1054),'Festive dates'!$A$2:$J$5,2,FALSE),$A1054&lt;VLOOKUP(YEAR($A1054),'Festive dates'!$A$2:$J$5,3,FALSE)),1,0)</f>
        <v>0</v>
      </c>
      <c r="S1054" s="9">
        <f>IF($A1054=VLOOKUP(YEAR($A1054),'Festive dates'!$A$2:$J$5,2,FALSE),1,0)</f>
        <v>0</v>
      </c>
      <c r="T1054" s="9">
        <f>IF($A1054=VLOOKUP(YEAR($A1054),'Festive dates'!$A$2:$J$5,3,FALSE),1,0)</f>
        <v>0</v>
      </c>
      <c r="U1054" s="9">
        <f>IF($A1054=VLOOKUP(YEAR($A1054),'Festive dates'!$A$2:$J$5,4,FALSE),1,0)</f>
        <v>0</v>
      </c>
      <c r="V1054" s="9">
        <f>IF(AND($A1054&gt;=VLOOKUP(YEAR($A1054),'Festive dates'!$A$2:$J$5,9,FALSE),$A1054&lt;=VLOOKUP(YEAR($A1054),'Festive dates'!$A$2:$J$5,10,FALSE)),1,0)</f>
        <v>0</v>
      </c>
      <c r="W1054" s="9">
        <f>IF($A1054=VLOOKUP(YEAR($A1054),'Festive dates'!$A$2:$J$5,7,FALSE),1,0)</f>
        <v>0</v>
      </c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</row>
    <row r="1055" spans="1:51">
      <c r="A1055" s="8">
        <v>46070</v>
      </c>
      <c r="B1055" s="9">
        <v>0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1</v>
      </c>
      <c r="Q1055" s="9">
        <f>MAX(-20,MIN(10,$A1055-VLOOKUP(YEAR($A1055),'Festive dates'!$A$2:$J$5,8,FALSE)))</f>
        <v>-20</v>
      </c>
      <c r="R1055" s="9">
        <f>IF(AND($A1055&gt;VLOOKUP(YEAR($A1055),'Festive dates'!$A$2:$J$5,2,FALSE),$A1055&lt;VLOOKUP(YEAR($A1055),'Festive dates'!$A$2:$J$5,3,FALSE)),1,0)</f>
        <v>0</v>
      </c>
      <c r="S1055" s="9">
        <f>IF($A1055=VLOOKUP(YEAR($A1055),'Festive dates'!$A$2:$J$5,2,FALSE),1,0)</f>
        <v>0</v>
      </c>
      <c r="T1055" s="9">
        <f>IF($A1055=VLOOKUP(YEAR($A1055),'Festive dates'!$A$2:$J$5,3,FALSE),1,0)</f>
        <v>0</v>
      </c>
      <c r="U1055" s="9">
        <f>IF($A1055=VLOOKUP(YEAR($A1055),'Festive dates'!$A$2:$J$5,4,FALSE),1,0)</f>
        <v>0</v>
      </c>
      <c r="V1055" s="9">
        <f>IF(AND($A1055&gt;=VLOOKUP(YEAR($A1055),'Festive dates'!$A$2:$J$5,9,FALSE),$A1055&lt;=VLOOKUP(YEAR($A1055),'Festive dates'!$A$2:$J$5,10,FALSE)),1,0)</f>
        <v>0</v>
      </c>
      <c r="W1055" s="9">
        <f>IF($A1055=VLOOKUP(YEAR($A1055),'Festive dates'!$A$2:$J$5,7,FALSE),1,0)</f>
        <v>0</v>
      </c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</row>
    <row r="1056" spans="1:51">
      <c r="A1056" s="8">
        <v>46071</v>
      </c>
      <c r="B1056" s="9">
        <v>0</v>
      </c>
      <c r="C1056" s="9">
        <v>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1</v>
      </c>
      <c r="Q1056" s="9">
        <f>MAX(-20,MIN(10,$A1056-VLOOKUP(YEAR($A1056),'Festive dates'!$A$2:$J$5,8,FALSE)))</f>
        <v>-20</v>
      </c>
      <c r="R1056" s="9">
        <f>IF(AND($A1056&gt;VLOOKUP(YEAR($A1056),'Festive dates'!$A$2:$J$5,2,FALSE),$A1056&lt;VLOOKUP(YEAR($A1056),'Festive dates'!$A$2:$J$5,3,FALSE)),1,0)</f>
        <v>0</v>
      </c>
      <c r="S1056" s="9">
        <f>IF($A1056=VLOOKUP(YEAR($A1056),'Festive dates'!$A$2:$J$5,2,FALSE),1,0)</f>
        <v>0</v>
      </c>
      <c r="T1056" s="9">
        <f>IF($A1056=VLOOKUP(YEAR($A1056),'Festive dates'!$A$2:$J$5,3,FALSE),1,0)</f>
        <v>0</v>
      </c>
      <c r="U1056" s="9">
        <f>IF($A1056=VLOOKUP(YEAR($A1056),'Festive dates'!$A$2:$J$5,4,FALSE),1,0)</f>
        <v>0</v>
      </c>
      <c r="V1056" s="9">
        <f>IF(AND($A1056&gt;=VLOOKUP(YEAR($A1056),'Festive dates'!$A$2:$J$5,9,FALSE),$A1056&lt;=VLOOKUP(YEAR($A1056),'Festive dates'!$A$2:$J$5,10,FALSE)),1,0)</f>
        <v>0</v>
      </c>
      <c r="W1056" s="9">
        <f>IF($A1056=VLOOKUP(YEAR($A1056),'Festive dates'!$A$2:$J$5,7,FALSE),1,0)</f>
        <v>0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</row>
    <row r="1057" spans="1:51">
      <c r="A1057" s="8">
        <v>46072</v>
      </c>
      <c r="B1057" s="9">
        <v>0</v>
      </c>
      <c r="C1057" s="9">
        <v>0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1</v>
      </c>
      <c r="Q1057" s="9">
        <f>MAX(-20,MIN(10,$A1057-VLOOKUP(YEAR($A1057),'Festive dates'!$A$2:$J$5,8,FALSE)))</f>
        <v>-20</v>
      </c>
      <c r="R1057" s="9">
        <f>IF(AND($A1057&gt;VLOOKUP(YEAR($A1057),'Festive dates'!$A$2:$J$5,2,FALSE),$A1057&lt;VLOOKUP(YEAR($A1057),'Festive dates'!$A$2:$J$5,3,FALSE)),1,0)</f>
        <v>0</v>
      </c>
      <c r="S1057" s="9">
        <f>IF($A1057=VLOOKUP(YEAR($A1057),'Festive dates'!$A$2:$J$5,2,FALSE),1,0)</f>
        <v>0</v>
      </c>
      <c r="T1057" s="9">
        <f>IF($A1057=VLOOKUP(YEAR($A1057),'Festive dates'!$A$2:$J$5,3,FALSE),1,0)</f>
        <v>0</v>
      </c>
      <c r="U1057" s="9">
        <f>IF($A1057=VLOOKUP(YEAR($A1057),'Festive dates'!$A$2:$J$5,4,FALSE),1,0)</f>
        <v>0</v>
      </c>
      <c r="V1057" s="9">
        <f>IF(AND($A1057&gt;=VLOOKUP(YEAR($A1057),'Festive dates'!$A$2:$J$5,9,FALSE),$A1057&lt;=VLOOKUP(YEAR($A1057),'Festive dates'!$A$2:$J$5,10,FALSE)),1,0)</f>
        <v>0</v>
      </c>
      <c r="W1057" s="9">
        <f>IF($A1057=VLOOKUP(YEAR($A1057),'Festive dates'!$A$2:$J$5,7,FALSE),1,0)</f>
        <v>0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</row>
    <row r="1058" spans="1:51">
      <c r="A1058" s="8">
        <v>46073</v>
      </c>
      <c r="B1058" s="9">
        <v>0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f>MAX(-20,MIN(10,$A1058-VLOOKUP(YEAR($A1058),'Festive dates'!$A$2:$J$5,8,FALSE)))</f>
        <v>-20</v>
      </c>
      <c r="R1058" s="9">
        <f>IF(AND($A1058&gt;VLOOKUP(YEAR($A1058),'Festive dates'!$A$2:$J$5,2,FALSE),$A1058&lt;VLOOKUP(YEAR($A1058),'Festive dates'!$A$2:$J$5,3,FALSE)),1,0)</f>
        <v>0</v>
      </c>
      <c r="S1058" s="9">
        <f>IF($A1058=VLOOKUP(YEAR($A1058),'Festive dates'!$A$2:$J$5,2,FALSE),1,0)</f>
        <v>0</v>
      </c>
      <c r="T1058" s="9">
        <f>IF($A1058=VLOOKUP(YEAR($A1058),'Festive dates'!$A$2:$J$5,3,FALSE),1,0)</f>
        <v>0</v>
      </c>
      <c r="U1058" s="9">
        <f>IF($A1058=VLOOKUP(YEAR($A1058),'Festive dates'!$A$2:$J$5,4,FALSE),1,0)</f>
        <v>0</v>
      </c>
      <c r="V1058" s="9">
        <f>IF(AND($A1058&gt;=VLOOKUP(YEAR($A1058),'Festive dates'!$A$2:$J$5,9,FALSE),$A1058&lt;=VLOOKUP(YEAR($A1058),'Festive dates'!$A$2:$J$5,10,FALSE)),1,0)</f>
        <v>0</v>
      </c>
      <c r="W1058" s="9">
        <f>IF($A1058=VLOOKUP(YEAR($A1058),'Festive dates'!$A$2:$J$5,7,FALSE),1,0)</f>
        <v>0</v>
      </c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</row>
    <row r="1059" spans="1:51">
      <c r="A1059" s="8">
        <v>46074</v>
      </c>
      <c r="B1059" s="9">
        <v>0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f>MAX(-20,MIN(10,$A1059-VLOOKUP(YEAR($A1059),'Festive dates'!$A$2:$J$5,8,FALSE)))</f>
        <v>-20</v>
      </c>
      <c r="R1059" s="9">
        <f>IF(AND($A1059&gt;VLOOKUP(YEAR($A1059),'Festive dates'!$A$2:$J$5,2,FALSE),$A1059&lt;VLOOKUP(YEAR($A1059),'Festive dates'!$A$2:$J$5,3,FALSE)),1,0)</f>
        <v>0</v>
      </c>
      <c r="S1059" s="9">
        <f>IF($A1059=VLOOKUP(YEAR($A1059),'Festive dates'!$A$2:$J$5,2,FALSE),1,0)</f>
        <v>0</v>
      </c>
      <c r="T1059" s="9">
        <f>IF($A1059=VLOOKUP(YEAR($A1059),'Festive dates'!$A$2:$J$5,3,FALSE),1,0)</f>
        <v>0</v>
      </c>
      <c r="U1059" s="9">
        <f>IF($A1059=VLOOKUP(YEAR($A1059),'Festive dates'!$A$2:$J$5,4,FALSE),1,0)</f>
        <v>0</v>
      </c>
      <c r="V1059" s="9">
        <f>IF(AND($A1059&gt;=VLOOKUP(YEAR($A1059),'Festive dates'!$A$2:$J$5,9,FALSE),$A1059&lt;=VLOOKUP(YEAR($A1059),'Festive dates'!$A$2:$J$5,10,FALSE)),1,0)</f>
        <v>0</v>
      </c>
      <c r="W1059" s="9">
        <f>IF($A1059=VLOOKUP(YEAR($A1059),'Festive dates'!$A$2:$J$5,7,FALSE),1,0)</f>
        <v>0</v>
      </c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</row>
    <row r="1060" spans="1:51">
      <c r="A1060" s="8">
        <v>46075</v>
      </c>
      <c r="B1060" s="9">
        <v>0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f>MAX(-20,MIN(10,$A1060-VLOOKUP(YEAR($A1060),'Festive dates'!$A$2:$J$5,8,FALSE)))</f>
        <v>-20</v>
      </c>
      <c r="R1060" s="9">
        <f>IF(AND($A1060&gt;VLOOKUP(YEAR($A1060),'Festive dates'!$A$2:$J$5,2,FALSE),$A1060&lt;VLOOKUP(YEAR($A1060),'Festive dates'!$A$2:$J$5,3,FALSE)),1,0)</f>
        <v>0</v>
      </c>
      <c r="S1060" s="9">
        <f>IF($A1060=VLOOKUP(YEAR($A1060),'Festive dates'!$A$2:$J$5,2,FALSE),1,0)</f>
        <v>0</v>
      </c>
      <c r="T1060" s="9">
        <f>IF($A1060=VLOOKUP(YEAR($A1060),'Festive dates'!$A$2:$J$5,3,FALSE),1,0)</f>
        <v>0</v>
      </c>
      <c r="U1060" s="9">
        <f>IF($A1060=VLOOKUP(YEAR($A1060),'Festive dates'!$A$2:$J$5,4,FALSE),1,0)</f>
        <v>0</v>
      </c>
      <c r="V1060" s="9">
        <f>IF(AND($A1060&gt;=VLOOKUP(YEAR($A1060),'Festive dates'!$A$2:$J$5,9,FALSE),$A1060&lt;=VLOOKUP(YEAR($A1060),'Festive dates'!$A$2:$J$5,10,FALSE)),1,0)</f>
        <v>0</v>
      </c>
      <c r="W1060" s="9">
        <f>IF($A1060=VLOOKUP(YEAR($A1060),'Festive dates'!$A$2:$J$5,7,FALSE),1,0)</f>
        <v>0</v>
      </c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</row>
    <row r="1061" spans="1:51">
      <c r="A1061" s="8">
        <v>46076</v>
      </c>
      <c r="B1061" s="9">
        <v>0</v>
      </c>
      <c r="C1061" s="9">
        <v>0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1</v>
      </c>
      <c r="Q1061" s="9">
        <f>MAX(-20,MIN(10,$A1061-VLOOKUP(YEAR($A1061),'Festive dates'!$A$2:$J$5,8,FALSE)))</f>
        <v>-20</v>
      </c>
      <c r="R1061" s="9">
        <f>IF(AND($A1061&gt;VLOOKUP(YEAR($A1061),'Festive dates'!$A$2:$J$5,2,FALSE),$A1061&lt;VLOOKUP(YEAR($A1061),'Festive dates'!$A$2:$J$5,3,FALSE)),1,0)</f>
        <v>0</v>
      </c>
      <c r="S1061" s="9">
        <f>IF($A1061=VLOOKUP(YEAR($A1061),'Festive dates'!$A$2:$J$5,2,FALSE),1,0)</f>
        <v>0</v>
      </c>
      <c r="T1061" s="9">
        <f>IF($A1061=VLOOKUP(YEAR($A1061),'Festive dates'!$A$2:$J$5,3,FALSE),1,0)</f>
        <v>0</v>
      </c>
      <c r="U1061" s="9">
        <f>IF($A1061=VLOOKUP(YEAR($A1061),'Festive dates'!$A$2:$J$5,4,FALSE),1,0)</f>
        <v>0</v>
      </c>
      <c r="V1061" s="9">
        <f>IF(AND($A1061&gt;=VLOOKUP(YEAR($A1061),'Festive dates'!$A$2:$J$5,9,FALSE),$A1061&lt;=VLOOKUP(YEAR($A1061),'Festive dates'!$A$2:$J$5,10,FALSE)),1,0)</f>
        <v>0</v>
      </c>
      <c r="W1061" s="9">
        <f>IF($A1061=VLOOKUP(YEAR($A1061),'Festive dates'!$A$2:$J$5,7,FALSE),1,0)</f>
        <v>0</v>
      </c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</row>
    <row r="1062" spans="1:51">
      <c r="A1062" s="8">
        <v>46077</v>
      </c>
      <c r="B1062" s="9">
        <v>0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1</v>
      </c>
      <c r="Q1062" s="9">
        <f>MAX(-20,MIN(10,$A1062-VLOOKUP(YEAR($A1062),'Festive dates'!$A$2:$J$5,8,FALSE)))</f>
        <v>-20</v>
      </c>
      <c r="R1062" s="9">
        <f>IF(AND($A1062&gt;VLOOKUP(YEAR($A1062),'Festive dates'!$A$2:$J$5,2,FALSE),$A1062&lt;VLOOKUP(YEAR($A1062),'Festive dates'!$A$2:$J$5,3,FALSE)),1,0)</f>
        <v>0</v>
      </c>
      <c r="S1062" s="9">
        <f>IF($A1062=VLOOKUP(YEAR($A1062),'Festive dates'!$A$2:$J$5,2,FALSE),1,0)</f>
        <v>0</v>
      </c>
      <c r="T1062" s="9">
        <f>IF($A1062=VLOOKUP(YEAR($A1062),'Festive dates'!$A$2:$J$5,3,FALSE),1,0)</f>
        <v>0</v>
      </c>
      <c r="U1062" s="9">
        <f>IF($A1062=VLOOKUP(YEAR($A1062),'Festive dates'!$A$2:$J$5,4,FALSE),1,0)</f>
        <v>0</v>
      </c>
      <c r="V1062" s="9">
        <f>IF(AND($A1062&gt;=VLOOKUP(YEAR($A1062),'Festive dates'!$A$2:$J$5,9,FALSE),$A1062&lt;=VLOOKUP(YEAR($A1062),'Festive dates'!$A$2:$J$5,10,FALSE)),1,0)</f>
        <v>0</v>
      </c>
      <c r="W1062" s="9">
        <f>IF($A1062=VLOOKUP(YEAR($A1062),'Festive dates'!$A$2:$J$5,7,FALSE),1,0)</f>
        <v>0</v>
      </c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</row>
    <row r="1063" spans="1:51">
      <c r="A1063" s="8">
        <v>46078</v>
      </c>
      <c r="B1063" s="9">
        <v>0</v>
      </c>
      <c r="C1063" s="9">
        <v>0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1</v>
      </c>
      <c r="Q1063" s="9">
        <f>MAX(-20,MIN(10,$A1063-VLOOKUP(YEAR($A1063),'Festive dates'!$A$2:$J$5,8,FALSE)))</f>
        <v>-20</v>
      </c>
      <c r="R1063" s="9">
        <f>IF(AND($A1063&gt;VLOOKUP(YEAR($A1063),'Festive dates'!$A$2:$J$5,2,FALSE),$A1063&lt;VLOOKUP(YEAR($A1063),'Festive dates'!$A$2:$J$5,3,FALSE)),1,0)</f>
        <v>0</v>
      </c>
      <c r="S1063" s="9">
        <f>IF($A1063=VLOOKUP(YEAR($A1063),'Festive dates'!$A$2:$J$5,2,FALSE),1,0)</f>
        <v>0</v>
      </c>
      <c r="T1063" s="9">
        <f>IF($A1063=VLOOKUP(YEAR($A1063),'Festive dates'!$A$2:$J$5,3,FALSE),1,0)</f>
        <v>0</v>
      </c>
      <c r="U1063" s="9">
        <f>IF($A1063=VLOOKUP(YEAR($A1063),'Festive dates'!$A$2:$J$5,4,FALSE),1,0)</f>
        <v>0</v>
      </c>
      <c r="V1063" s="9">
        <f>IF(AND($A1063&gt;=VLOOKUP(YEAR($A1063),'Festive dates'!$A$2:$J$5,9,FALSE),$A1063&lt;=VLOOKUP(YEAR($A1063),'Festive dates'!$A$2:$J$5,10,FALSE)),1,0)</f>
        <v>0</v>
      </c>
      <c r="W1063" s="9">
        <f>IF($A1063=VLOOKUP(YEAR($A1063),'Festive dates'!$A$2:$J$5,7,FALSE),1,0)</f>
        <v>0</v>
      </c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</row>
    <row r="1064" spans="1:51">
      <c r="A1064" s="8">
        <v>46079</v>
      </c>
      <c r="B1064" s="9">
        <v>0</v>
      </c>
      <c r="C1064" s="9">
        <v>0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f>MAX(-20,MIN(10,$A1064-VLOOKUP(YEAR($A1064),'Festive dates'!$A$2:$J$5,8,FALSE)))</f>
        <v>-20</v>
      </c>
      <c r="R1064" s="9">
        <f>IF(AND($A1064&gt;VLOOKUP(YEAR($A1064),'Festive dates'!$A$2:$J$5,2,FALSE),$A1064&lt;VLOOKUP(YEAR($A1064),'Festive dates'!$A$2:$J$5,3,FALSE)),1,0)</f>
        <v>0</v>
      </c>
      <c r="S1064" s="9">
        <f>IF($A1064=VLOOKUP(YEAR($A1064),'Festive dates'!$A$2:$J$5,2,FALSE),1,0)</f>
        <v>0</v>
      </c>
      <c r="T1064" s="9">
        <f>IF($A1064=VLOOKUP(YEAR($A1064),'Festive dates'!$A$2:$J$5,3,FALSE),1,0)</f>
        <v>0</v>
      </c>
      <c r="U1064" s="9">
        <f>IF($A1064=VLOOKUP(YEAR($A1064),'Festive dates'!$A$2:$J$5,4,FALSE),1,0)</f>
        <v>0</v>
      </c>
      <c r="V1064" s="9">
        <f>IF(AND($A1064&gt;=VLOOKUP(YEAR($A1064),'Festive dates'!$A$2:$J$5,9,FALSE),$A1064&lt;=VLOOKUP(YEAR($A1064),'Festive dates'!$A$2:$J$5,10,FALSE)),1,0)</f>
        <v>0</v>
      </c>
      <c r="W1064" s="9">
        <f>IF($A1064=VLOOKUP(YEAR($A1064),'Festive dates'!$A$2:$J$5,7,FALSE),1,0)</f>
        <v>0</v>
      </c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</row>
    <row r="1065" spans="1:51">
      <c r="A1065" s="8">
        <v>46080</v>
      </c>
      <c r="B1065" s="9">
        <v>0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f>MAX(-20,MIN(10,$A1065-VLOOKUP(YEAR($A1065),'Festive dates'!$A$2:$J$5,8,FALSE)))</f>
        <v>-20</v>
      </c>
      <c r="R1065" s="9">
        <f>IF(AND($A1065&gt;VLOOKUP(YEAR($A1065),'Festive dates'!$A$2:$J$5,2,FALSE),$A1065&lt;VLOOKUP(YEAR($A1065),'Festive dates'!$A$2:$J$5,3,FALSE)),1,0)</f>
        <v>0</v>
      </c>
      <c r="S1065" s="9">
        <f>IF($A1065=VLOOKUP(YEAR($A1065),'Festive dates'!$A$2:$J$5,2,FALSE),1,0)</f>
        <v>0</v>
      </c>
      <c r="T1065" s="9">
        <f>IF($A1065=VLOOKUP(YEAR($A1065),'Festive dates'!$A$2:$J$5,3,FALSE),1,0)</f>
        <v>0</v>
      </c>
      <c r="U1065" s="9">
        <f>IF($A1065=VLOOKUP(YEAR($A1065),'Festive dates'!$A$2:$J$5,4,FALSE),1,0)</f>
        <v>0</v>
      </c>
      <c r="V1065" s="9">
        <f>IF(AND($A1065&gt;=VLOOKUP(YEAR($A1065),'Festive dates'!$A$2:$J$5,9,FALSE),$A1065&lt;=VLOOKUP(YEAR($A1065),'Festive dates'!$A$2:$J$5,10,FALSE)),1,0)</f>
        <v>0</v>
      </c>
      <c r="W1065" s="9">
        <f>IF($A1065=VLOOKUP(YEAR($A1065),'Festive dates'!$A$2:$J$5,7,FALSE),1,0)</f>
        <v>0</v>
      </c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</row>
    <row r="1066" spans="1:51">
      <c r="A1066" s="8">
        <v>46081</v>
      </c>
      <c r="B1066" s="9">
        <v>0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1</v>
      </c>
      <c r="Q1066" s="9">
        <f>MAX(-20,MIN(10,$A1066-VLOOKUP(YEAR($A1066),'Festive dates'!$A$2:$J$5,8,FALSE)))</f>
        <v>-20</v>
      </c>
      <c r="R1066" s="9">
        <f>IF(AND($A1066&gt;VLOOKUP(YEAR($A1066),'Festive dates'!$A$2:$J$5,2,FALSE),$A1066&lt;VLOOKUP(YEAR($A1066),'Festive dates'!$A$2:$J$5,3,FALSE)),1,0)</f>
        <v>0</v>
      </c>
      <c r="S1066" s="9">
        <f>IF($A1066=VLOOKUP(YEAR($A1066),'Festive dates'!$A$2:$J$5,2,FALSE),1,0)</f>
        <v>0</v>
      </c>
      <c r="T1066" s="9">
        <f>IF($A1066=VLOOKUP(YEAR($A1066),'Festive dates'!$A$2:$J$5,3,FALSE),1,0)</f>
        <v>0</v>
      </c>
      <c r="U1066" s="9">
        <f>IF($A1066=VLOOKUP(YEAR($A1066),'Festive dates'!$A$2:$J$5,4,FALSE),1,0)</f>
        <v>0</v>
      </c>
      <c r="V1066" s="9">
        <f>IF(AND($A1066&gt;=VLOOKUP(YEAR($A1066),'Festive dates'!$A$2:$J$5,9,FALSE),$A1066&lt;=VLOOKUP(YEAR($A1066),'Festive dates'!$A$2:$J$5,10,FALSE)),1,0)</f>
        <v>0</v>
      </c>
      <c r="W1066" s="9">
        <f>IF($A1066=VLOOKUP(YEAR($A1066),'Festive dates'!$A$2:$J$5,7,FALSE),1,0)</f>
        <v>0</v>
      </c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</row>
    <row r="1067" spans="1:51">
      <c r="A1067" s="8">
        <v>46082</v>
      </c>
      <c r="B1067" s="9">
        <v>0</v>
      </c>
      <c r="C1067" s="9">
        <v>0</v>
      </c>
      <c r="D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1</v>
      </c>
      <c r="Q1067" s="9">
        <f>MAX(-20,MIN(10,$A1067-VLOOKUP(YEAR($A1067),'Festive dates'!$A$2:$J$5,8,FALSE)))</f>
        <v>-20</v>
      </c>
      <c r="R1067" s="9">
        <f>IF(AND($A1067&gt;VLOOKUP(YEAR($A1067),'Festive dates'!$A$2:$J$5,2,FALSE),$A1067&lt;VLOOKUP(YEAR($A1067),'Festive dates'!$A$2:$J$5,3,FALSE)),1,0)</f>
        <v>0</v>
      </c>
      <c r="S1067" s="9">
        <f>IF($A1067=VLOOKUP(YEAR($A1067),'Festive dates'!$A$2:$J$5,2,FALSE),1,0)</f>
        <v>0</v>
      </c>
      <c r="T1067" s="9">
        <f>IF($A1067=VLOOKUP(YEAR($A1067),'Festive dates'!$A$2:$J$5,3,FALSE),1,0)</f>
        <v>0</v>
      </c>
      <c r="U1067" s="9">
        <f>IF($A1067=VLOOKUP(YEAR($A1067),'Festive dates'!$A$2:$J$5,4,FALSE),1,0)</f>
        <v>0</v>
      </c>
      <c r="V1067" s="9">
        <f>IF(AND($A1067&gt;=VLOOKUP(YEAR($A1067),'Festive dates'!$A$2:$J$5,9,FALSE),$A1067&lt;=VLOOKUP(YEAR($A1067),'Festive dates'!$A$2:$J$5,10,FALSE)),1,0)</f>
        <v>0</v>
      </c>
      <c r="W1067" s="9">
        <f>IF($A1067=VLOOKUP(YEAR($A1067),'Festive dates'!$A$2:$J$5,7,FALSE),1,0)</f>
        <v>0</v>
      </c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</row>
    <row r="1068" spans="1:51">
      <c r="A1068" s="8">
        <v>46083</v>
      </c>
      <c r="B1068" s="9">
        <v>0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1</v>
      </c>
      <c r="Q1068" s="9">
        <f>MAX(-20,MIN(10,$A1068-VLOOKUP(YEAR($A1068),'Festive dates'!$A$2:$J$5,8,FALSE)))</f>
        <v>-20</v>
      </c>
      <c r="R1068" s="9">
        <f>IF(AND($A1068&gt;VLOOKUP(YEAR($A1068),'Festive dates'!$A$2:$J$5,2,FALSE),$A1068&lt;VLOOKUP(YEAR($A1068),'Festive dates'!$A$2:$J$5,3,FALSE)),1,0)</f>
        <v>0</v>
      </c>
      <c r="S1068" s="9">
        <f>IF($A1068=VLOOKUP(YEAR($A1068),'Festive dates'!$A$2:$J$5,2,FALSE),1,0)</f>
        <v>0</v>
      </c>
      <c r="T1068" s="9">
        <f>IF($A1068=VLOOKUP(YEAR($A1068),'Festive dates'!$A$2:$J$5,3,FALSE),1,0)</f>
        <v>0</v>
      </c>
      <c r="U1068" s="9">
        <f>IF($A1068=VLOOKUP(YEAR($A1068),'Festive dates'!$A$2:$J$5,4,FALSE),1,0)</f>
        <v>0</v>
      </c>
      <c r="V1068" s="9">
        <f>IF(AND($A1068&gt;=VLOOKUP(YEAR($A1068),'Festive dates'!$A$2:$J$5,9,FALSE),$A1068&lt;=VLOOKUP(YEAR($A1068),'Festive dates'!$A$2:$J$5,10,FALSE)),1,0)</f>
        <v>0</v>
      </c>
      <c r="W1068" s="9">
        <f>IF($A1068=VLOOKUP(YEAR($A1068),'Festive dates'!$A$2:$J$5,7,FALSE),1,0)</f>
        <v>0</v>
      </c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</row>
    <row r="1069" spans="1:51">
      <c r="A1069" s="8">
        <v>46084</v>
      </c>
      <c r="B1069" s="9">
        <v>0</v>
      </c>
      <c r="C1069" s="9">
        <v>0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f>MAX(-20,MIN(10,$A1069-VLOOKUP(YEAR($A1069),'Festive dates'!$A$2:$J$5,8,FALSE)))</f>
        <v>-20</v>
      </c>
      <c r="R1069" s="9">
        <f>IF(AND($A1069&gt;VLOOKUP(YEAR($A1069),'Festive dates'!$A$2:$J$5,2,FALSE),$A1069&lt;VLOOKUP(YEAR($A1069),'Festive dates'!$A$2:$J$5,3,FALSE)),1,0)</f>
        <v>0</v>
      </c>
      <c r="S1069" s="9">
        <f>IF($A1069=VLOOKUP(YEAR($A1069),'Festive dates'!$A$2:$J$5,2,FALSE),1,0)</f>
        <v>0</v>
      </c>
      <c r="T1069" s="9">
        <f>IF($A1069=VLOOKUP(YEAR($A1069),'Festive dates'!$A$2:$J$5,3,FALSE),1,0)</f>
        <v>0</v>
      </c>
      <c r="U1069" s="9">
        <f>IF($A1069=VLOOKUP(YEAR($A1069),'Festive dates'!$A$2:$J$5,4,FALSE),1,0)</f>
        <v>0</v>
      </c>
      <c r="V1069" s="9">
        <f>IF(AND($A1069&gt;=VLOOKUP(YEAR($A1069),'Festive dates'!$A$2:$J$5,9,FALSE),$A1069&lt;=VLOOKUP(YEAR($A1069),'Festive dates'!$A$2:$J$5,10,FALSE)),1,0)</f>
        <v>0</v>
      </c>
      <c r="W1069" s="9">
        <f>IF($A1069=VLOOKUP(YEAR($A1069),'Festive dates'!$A$2:$J$5,7,FALSE),1,0)</f>
        <v>0</v>
      </c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</row>
    <row r="1070" spans="1:51">
      <c r="A1070" s="8">
        <v>46085</v>
      </c>
      <c r="B1070" s="9">
        <v>0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1</v>
      </c>
      <c r="Q1070" s="9">
        <f>MAX(-20,MIN(10,$A1070-VLOOKUP(YEAR($A1070),'Festive dates'!$A$2:$J$5,8,FALSE)))</f>
        <v>-20</v>
      </c>
      <c r="R1070" s="9">
        <f>IF(AND($A1070&gt;VLOOKUP(YEAR($A1070),'Festive dates'!$A$2:$J$5,2,FALSE),$A1070&lt;VLOOKUP(YEAR($A1070),'Festive dates'!$A$2:$J$5,3,FALSE)),1,0)</f>
        <v>0</v>
      </c>
      <c r="S1070" s="9">
        <f>IF($A1070=VLOOKUP(YEAR($A1070),'Festive dates'!$A$2:$J$5,2,FALSE),1,0)</f>
        <v>0</v>
      </c>
      <c r="T1070" s="9">
        <f>IF($A1070=VLOOKUP(YEAR($A1070),'Festive dates'!$A$2:$J$5,3,FALSE),1,0)</f>
        <v>0</v>
      </c>
      <c r="U1070" s="9">
        <f>IF($A1070=VLOOKUP(YEAR($A1070),'Festive dates'!$A$2:$J$5,4,FALSE),1,0)</f>
        <v>0</v>
      </c>
      <c r="V1070" s="9">
        <f>IF(AND($A1070&gt;=VLOOKUP(YEAR($A1070),'Festive dates'!$A$2:$J$5,9,FALSE),$A1070&lt;=VLOOKUP(YEAR($A1070),'Festive dates'!$A$2:$J$5,10,FALSE)),1,0)</f>
        <v>0</v>
      </c>
      <c r="W1070" s="9">
        <f>IF($A1070=VLOOKUP(YEAR($A1070),'Festive dates'!$A$2:$J$5,7,FALSE),1,0)</f>
        <v>0</v>
      </c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</row>
    <row r="1071" spans="1:51">
      <c r="A1071" s="8">
        <v>46086</v>
      </c>
      <c r="B1071" s="9">
        <v>0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1</v>
      </c>
      <c r="Q1071" s="9">
        <f>MAX(-20,MIN(10,$A1071-VLOOKUP(YEAR($A1071),'Festive dates'!$A$2:$J$5,8,FALSE)))</f>
        <v>-20</v>
      </c>
      <c r="R1071" s="9">
        <f>IF(AND($A1071&gt;VLOOKUP(YEAR($A1071),'Festive dates'!$A$2:$J$5,2,FALSE),$A1071&lt;VLOOKUP(YEAR($A1071),'Festive dates'!$A$2:$J$5,3,FALSE)),1,0)</f>
        <v>0</v>
      </c>
      <c r="S1071" s="9">
        <f>IF($A1071=VLOOKUP(YEAR($A1071),'Festive dates'!$A$2:$J$5,2,FALSE),1,0)</f>
        <v>0</v>
      </c>
      <c r="T1071" s="9">
        <f>IF($A1071=VLOOKUP(YEAR($A1071),'Festive dates'!$A$2:$J$5,3,FALSE),1,0)</f>
        <v>0</v>
      </c>
      <c r="U1071" s="9">
        <f>IF($A1071=VLOOKUP(YEAR($A1071),'Festive dates'!$A$2:$J$5,4,FALSE),1,0)</f>
        <v>0</v>
      </c>
      <c r="V1071" s="9">
        <f>IF(AND($A1071&gt;=VLOOKUP(YEAR($A1071),'Festive dates'!$A$2:$J$5,9,FALSE),$A1071&lt;=VLOOKUP(YEAR($A1071),'Festive dates'!$A$2:$J$5,10,FALSE)),1,0)</f>
        <v>0</v>
      </c>
      <c r="W1071" s="9">
        <f>IF($A1071=VLOOKUP(YEAR($A1071),'Festive dates'!$A$2:$J$5,7,FALSE),1,0)</f>
        <v>0</v>
      </c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</row>
    <row r="1072" spans="1:51">
      <c r="A1072" s="8">
        <v>46087</v>
      </c>
      <c r="B1072" s="9">
        <v>0</v>
      </c>
      <c r="C1072" s="9">
        <v>0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f>MAX(-20,MIN(10,$A1072-VLOOKUP(YEAR($A1072),'Festive dates'!$A$2:$J$5,8,FALSE)))</f>
        <v>-20</v>
      </c>
      <c r="R1072" s="9">
        <f>IF(AND($A1072&gt;VLOOKUP(YEAR($A1072),'Festive dates'!$A$2:$J$5,2,FALSE),$A1072&lt;VLOOKUP(YEAR($A1072),'Festive dates'!$A$2:$J$5,3,FALSE)),1,0)</f>
        <v>0</v>
      </c>
      <c r="S1072" s="9">
        <f>IF($A1072=VLOOKUP(YEAR($A1072),'Festive dates'!$A$2:$J$5,2,FALSE),1,0)</f>
        <v>0</v>
      </c>
      <c r="T1072" s="9">
        <f>IF($A1072=VLOOKUP(YEAR($A1072),'Festive dates'!$A$2:$J$5,3,FALSE),1,0)</f>
        <v>0</v>
      </c>
      <c r="U1072" s="9">
        <f>IF($A1072=VLOOKUP(YEAR($A1072),'Festive dates'!$A$2:$J$5,4,FALSE),1,0)</f>
        <v>0</v>
      </c>
      <c r="V1072" s="9">
        <f>IF(AND($A1072&gt;=VLOOKUP(YEAR($A1072),'Festive dates'!$A$2:$J$5,9,FALSE),$A1072&lt;=VLOOKUP(YEAR($A1072),'Festive dates'!$A$2:$J$5,10,FALSE)),1,0)</f>
        <v>0</v>
      </c>
      <c r="W1072" s="9">
        <f>IF($A1072=VLOOKUP(YEAR($A1072),'Festive dates'!$A$2:$J$5,7,FALSE),1,0)</f>
        <v>0</v>
      </c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</row>
    <row r="1073" spans="1:51">
      <c r="A1073" s="8">
        <v>46088</v>
      </c>
      <c r="B1073" s="9">
        <v>0</v>
      </c>
      <c r="C1073" s="9">
        <v>0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f>MAX(-20,MIN(10,$A1073-VLOOKUP(YEAR($A1073),'Festive dates'!$A$2:$J$5,8,FALSE)))</f>
        <v>-20</v>
      </c>
      <c r="R1073" s="9">
        <f>IF(AND($A1073&gt;VLOOKUP(YEAR($A1073),'Festive dates'!$A$2:$J$5,2,FALSE),$A1073&lt;VLOOKUP(YEAR($A1073),'Festive dates'!$A$2:$J$5,3,FALSE)),1,0)</f>
        <v>0</v>
      </c>
      <c r="S1073" s="9">
        <f>IF($A1073=VLOOKUP(YEAR($A1073),'Festive dates'!$A$2:$J$5,2,FALSE),1,0)</f>
        <v>0</v>
      </c>
      <c r="T1073" s="9">
        <f>IF($A1073=VLOOKUP(YEAR($A1073),'Festive dates'!$A$2:$J$5,3,FALSE),1,0)</f>
        <v>0</v>
      </c>
      <c r="U1073" s="9">
        <f>IF($A1073=VLOOKUP(YEAR($A1073),'Festive dates'!$A$2:$J$5,4,FALSE),1,0)</f>
        <v>0</v>
      </c>
      <c r="V1073" s="9">
        <f>IF(AND($A1073&gt;=VLOOKUP(YEAR($A1073),'Festive dates'!$A$2:$J$5,9,FALSE),$A1073&lt;=VLOOKUP(YEAR($A1073),'Festive dates'!$A$2:$J$5,10,FALSE)),1,0)</f>
        <v>0</v>
      </c>
      <c r="W1073" s="9">
        <f>IF($A1073=VLOOKUP(YEAR($A1073),'Festive dates'!$A$2:$J$5,7,FALSE),1,0)</f>
        <v>0</v>
      </c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</row>
    <row r="1074" spans="1:51">
      <c r="A1074" s="8">
        <v>46089</v>
      </c>
      <c r="B1074" s="9">
        <v>0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f>MAX(-20,MIN(10,$A1074-VLOOKUP(YEAR($A1074),'Festive dates'!$A$2:$J$5,8,FALSE)))</f>
        <v>-20</v>
      </c>
      <c r="R1074" s="9">
        <f>IF(AND($A1074&gt;VLOOKUP(YEAR($A1074),'Festive dates'!$A$2:$J$5,2,FALSE),$A1074&lt;VLOOKUP(YEAR($A1074),'Festive dates'!$A$2:$J$5,3,FALSE)),1,0)</f>
        <v>0</v>
      </c>
      <c r="S1074" s="9">
        <f>IF($A1074=VLOOKUP(YEAR($A1074),'Festive dates'!$A$2:$J$5,2,FALSE),1,0)</f>
        <v>0</v>
      </c>
      <c r="T1074" s="9">
        <f>IF($A1074=VLOOKUP(YEAR($A1074),'Festive dates'!$A$2:$J$5,3,FALSE),1,0)</f>
        <v>0</v>
      </c>
      <c r="U1074" s="9">
        <f>IF($A1074=VLOOKUP(YEAR($A1074),'Festive dates'!$A$2:$J$5,4,FALSE),1,0)</f>
        <v>0</v>
      </c>
      <c r="V1074" s="9">
        <f>IF(AND($A1074&gt;=VLOOKUP(YEAR($A1074),'Festive dates'!$A$2:$J$5,9,FALSE),$A1074&lt;=VLOOKUP(YEAR($A1074),'Festive dates'!$A$2:$J$5,10,FALSE)),1,0)</f>
        <v>0</v>
      </c>
      <c r="W1074" s="9">
        <f>IF($A1074=VLOOKUP(YEAR($A1074),'Festive dates'!$A$2:$J$5,7,FALSE),1,0)</f>
        <v>0</v>
      </c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</row>
    <row r="1075" spans="1:51">
      <c r="A1075" s="8">
        <v>46090</v>
      </c>
      <c r="B1075" s="9">
        <v>0</v>
      </c>
      <c r="C1075" s="9">
        <v>0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f>MAX(-20,MIN(10,$A1075-VLOOKUP(YEAR($A1075),'Festive dates'!$A$2:$J$5,8,FALSE)))</f>
        <v>-20</v>
      </c>
      <c r="R1075" s="9">
        <f>IF(AND($A1075&gt;VLOOKUP(YEAR($A1075),'Festive dates'!$A$2:$J$5,2,FALSE),$A1075&lt;VLOOKUP(YEAR($A1075),'Festive dates'!$A$2:$J$5,3,FALSE)),1,0)</f>
        <v>0</v>
      </c>
      <c r="S1075" s="9">
        <f>IF($A1075=VLOOKUP(YEAR($A1075),'Festive dates'!$A$2:$J$5,2,FALSE),1,0)</f>
        <v>0</v>
      </c>
      <c r="T1075" s="9">
        <f>IF($A1075=VLOOKUP(YEAR($A1075),'Festive dates'!$A$2:$J$5,3,FALSE),1,0)</f>
        <v>0</v>
      </c>
      <c r="U1075" s="9">
        <f>IF($A1075=VLOOKUP(YEAR($A1075),'Festive dates'!$A$2:$J$5,4,FALSE),1,0)</f>
        <v>0</v>
      </c>
      <c r="V1075" s="9">
        <f>IF(AND($A1075&gt;=VLOOKUP(YEAR($A1075),'Festive dates'!$A$2:$J$5,9,FALSE),$A1075&lt;=VLOOKUP(YEAR($A1075),'Festive dates'!$A$2:$J$5,10,FALSE)),1,0)</f>
        <v>0</v>
      </c>
      <c r="W1075" s="9">
        <f>IF($A1075=VLOOKUP(YEAR($A1075),'Festive dates'!$A$2:$J$5,7,FALSE),1,0)</f>
        <v>0</v>
      </c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</row>
    <row r="1076" spans="1:51">
      <c r="A1076" s="8">
        <v>46091</v>
      </c>
      <c r="B1076" s="9">
        <v>0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f>MAX(-20,MIN(10,$A1076-VLOOKUP(YEAR($A1076),'Festive dates'!$A$2:$J$5,8,FALSE)))</f>
        <v>-20</v>
      </c>
      <c r="R1076" s="9">
        <f>IF(AND($A1076&gt;VLOOKUP(YEAR($A1076),'Festive dates'!$A$2:$J$5,2,FALSE),$A1076&lt;VLOOKUP(YEAR($A1076),'Festive dates'!$A$2:$J$5,3,FALSE)),1,0)</f>
        <v>0</v>
      </c>
      <c r="S1076" s="9">
        <f>IF($A1076=VLOOKUP(YEAR($A1076),'Festive dates'!$A$2:$J$5,2,FALSE),1,0)</f>
        <v>0</v>
      </c>
      <c r="T1076" s="9">
        <f>IF($A1076=VLOOKUP(YEAR($A1076),'Festive dates'!$A$2:$J$5,3,FALSE),1,0)</f>
        <v>0</v>
      </c>
      <c r="U1076" s="9">
        <f>IF($A1076=VLOOKUP(YEAR($A1076),'Festive dates'!$A$2:$J$5,4,FALSE),1,0)</f>
        <v>0</v>
      </c>
      <c r="V1076" s="9">
        <f>IF(AND($A1076&gt;=VLOOKUP(YEAR($A1076),'Festive dates'!$A$2:$J$5,9,FALSE),$A1076&lt;=VLOOKUP(YEAR($A1076),'Festive dates'!$A$2:$J$5,10,FALSE)),1,0)</f>
        <v>0</v>
      </c>
      <c r="W1076" s="9">
        <f>IF($A1076=VLOOKUP(YEAR($A1076),'Festive dates'!$A$2:$J$5,7,FALSE),1,0)</f>
        <v>0</v>
      </c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</row>
    <row r="1077" spans="1:51">
      <c r="A1077" s="8">
        <v>46092</v>
      </c>
      <c r="B1077" s="9">
        <v>0</v>
      </c>
      <c r="C1077" s="9">
        <v>0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f>MAX(-20,MIN(10,$A1077-VLOOKUP(YEAR($A1077),'Festive dates'!$A$2:$J$5,8,FALSE)))</f>
        <v>-20</v>
      </c>
      <c r="R1077" s="9">
        <f>IF(AND($A1077&gt;VLOOKUP(YEAR($A1077),'Festive dates'!$A$2:$J$5,2,FALSE),$A1077&lt;VLOOKUP(YEAR($A1077),'Festive dates'!$A$2:$J$5,3,FALSE)),1,0)</f>
        <v>0</v>
      </c>
      <c r="S1077" s="9">
        <f>IF($A1077=VLOOKUP(YEAR($A1077),'Festive dates'!$A$2:$J$5,2,FALSE),1,0)</f>
        <v>0</v>
      </c>
      <c r="T1077" s="9">
        <f>IF($A1077=VLOOKUP(YEAR($A1077),'Festive dates'!$A$2:$J$5,3,FALSE),1,0)</f>
        <v>0</v>
      </c>
      <c r="U1077" s="9">
        <f>IF($A1077=VLOOKUP(YEAR($A1077),'Festive dates'!$A$2:$J$5,4,FALSE),1,0)</f>
        <v>0</v>
      </c>
      <c r="V1077" s="9">
        <f>IF(AND($A1077&gt;=VLOOKUP(YEAR($A1077),'Festive dates'!$A$2:$J$5,9,FALSE),$A1077&lt;=VLOOKUP(YEAR($A1077),'Festive dates'!$A$2:$J$5,10,FALSE)),1,0)</f>
        <v>0</v>
      </c>
      <c r="W1077" s="9">
        <f>IF($A1077=VLOOKUP(YEAR($A1077),'Festive dates'!$A$2:$J$5,7,FALSE),1,0)</f>
        <v>0</v>
      </c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</row>
    <row r="1078" spans="1:51">
      <c r="A1078" s="8">
        <v>46093</v>
      </c>
      <c r="B1078" s="9">
        <v>0</v>
      </c>
      <c r="C1078" s="9">
        <v>0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f>MAX(-20,MIN(10,$A1078-VLOOKUP(YEAR($A1078),'Festive dates'!$A$2:$J$5,8,FALSE)))</f>
        <v>-20</v>
      </c>
      <c r="R1078" s="9">
        <f>IF(AND($A1078&gt;VLOOKUP(YEAR($A1078),'Festive dates'!$A$2:$J$5,2,FALSE),$A1078&lt;VLOOKUP(YEAR($A1078),'Festive dates'!$A$2:$J$5,3,FALSE)),1,0)</f>
        <v>0</v>
      </c>
      <c r="S1078" s="9">
        <f>IF($A1078=VLOOKUP(YEAR($A1078),'Festive dates'!$A$2:$J$5,2,FALSE),1,0)</f>
        <v>0</v>
      </c>
      <c r="T1078" s="9">
        <f>IF($A1078=VLOOKUP(YEAR($A1078),'Festive dates'!$A$2:$J$5,3,FALSE),1,0)</f>
        <v>0</v>
      </c>
      <c r="U1078" s="9">
        <f>IF($A1078=VLOOKUP(YEAR($A1078),'Festive dates'!$A$2:$J$5,4,FALSE),1,0)</f>
        <v>0</v>
      </c>
      <c r="V1078" s="9">
        <f>IF(AND($A1078&gt;=VLOOKUP(YEAR($A1078),'Festive dates'!$A$2:$J$5,9,FALSE),$A1078&lt;=VLOOKUP(YEAR($A1078),'Festive dates'!$A$2:$J$5,10,FALSE)),1,0)</f>
        <v>0</v>
      </c>
      <c r="W1078" s="9">
        <f>IF($A1078=VLOOKUP(YEAR($A1078),'Festive dates'!$A$2:$J$5,7,FALSE),1,0)</f>
        <v>0</v>
      </c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</row>
    <row r="1079" spans="1:51">
      <c r="A1079" s="8">
        <v>46094</v>
      </c>
      <c r="B1079" s="9">
        <v>0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f>MAX(-20,MIN(10,$A1079-VLOOKUP(YEAR($A1079),'Festive dates'!$A$2:$J$5,8,FALSE)))</f>
        <v>-20</v>
      </c>
      <c r="R1079" s="9">
        <f>IF(AND($A1079&gt;VLOOKUP(YEAR($A1079),'Festive dates'!$A$2:$J$5,2,FALSE),$A1079&lt;VLOOKUP(YEAR($A1079),'Festive dates'!$A$2:$J$5,3,FALSE)),1,0)</f>
        <v>0</v>
      </c>
      <c r="S1079" s="9">
        <f>IF($A1079=VLOOKUP(YEAR($A1079),'Festive dates'!$A$2:$J$5,2,FALSE),1,0)</f>
        <v>0</v>
      </c>
      <c r="T1079" s="9">
        <f>IF($A1079=VLOOKUP(YEAR($A1079),'Festive dates'!$A$2:$J$5,3,FALSE),1,0)</f>
        <v>0</v>
      </c>
      <c r="U1079" s="9">
        <f>IF($A1079=VLOOKUP(YEAR($A1079),'Festive dates'!$A$2:$J$5,4,FALSE),1,0)</f>
        <v>0</v>
      </c>
      <c r="V1079" s="9">
        <f>IF(AND($A1079&gt;=VLOOKUP(YEAR($A1079),'Festive dates'!$A$2:$J$5,9,FALSE),$A1079&lt;=VLOOKUP(YEAR($A1079),'Festive dates'!$A$2:$J$5,10,FALSE)),1,0)</f>
        <v>0</v>
      </c>
      <c r="W1079" s="9">
        <f>IF($A1079=VLOOKUP(YEAR($A1079),'Festive dates'!$A$2:$J$5,7,FALSE),1,0)</f>
        <v>0</v>
      </c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</row>
    <row r="1080" spans="1:51">
      <c r="A1080" s="8">
        <v>46095</v>
      </c>
      <c r="B1080" s="9">
        <v>0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f>MAX(-20,MIN(10,$A1080-VLOOKUP(YEAR($A1080),'Festive dates'!$A$2:$J$5,8,FALSE)))</f>
        <v>-20</v>
      </c>
      <c r="R1080" s="9">
        <f>IF(AND($A1080&gt;VLOOKUP(YEAR($A1080),'Festive dates'!$A$2:$J$5,2,FALSE),$A1080&lt;VLOOKUP(YEAR($A1080),'Festive dates'!$A$2:$J$5,3,FALSE)),1,0)</f>
        <v>0</v>
      </c>
      <c r="S1080" s="9">
        <f>IF($A1080=VLOOKUP(YEAR($A1080),'Festive dates'!$A$2:$J$5,2,FALSE),1,0)</f>
        <v>0</v>
      </c>
      <c r="T1080" s="9">
        <f>IF($A1080=VLOOKUP(YEAR($A1080),'Festive dates'!$A$2:$J$5,3,FALSE),1,0)</f>
        <v>0</v>
      </c>
      <c r="U1080" s="9">
        <f>IF($A1080=VLOOKUP(YEAR($A1080),'Festive dates'!$A$2:$J$5,4,FALSE),1,0)</f>
        <v>0</v>
      </c>
      <c r="V1080" s="9">
        <f>IF(AND($A1080&gt;=VLOOKUP(YEAR($A1080),'Festive dates'!$A$2:$J$5,9,FALSE),$A1080&lt;=VLOOKUP(YEAR($A1080),'Festive dates'!$A$2:$J$5,10,FALSE)),1,0)</f>
        <v>0</v>
      </c>
      <c r="W1080" s="9">
        <f>IF($A1080=VLOOKUP(YEAR($A1080),'Festive dates'!$A$2:$J$5,7,FALSE),1,0)</f>
        <v>0</v>
      </c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</row>
    <row r="1081" spans="1:51">
      <c r="A1081" s="8">
        <v>46096</v>
      </c>
      <c r="B1081" s="9">
        <v>0</v>
      </c>
      <c r="C1081" s="9">
        <v>0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f>MAX(-20,MIN(10,$A1081-VLOOKUP(YEAR($A1081),'Festive dates'!$A$2:$J$5,8,FALSE)))</f>
        <v>-20</v>
      </c>
      <c r="R1081" s="9">
        <f>IF(AND($A1081&gt;VLOOKUP(YEAR($A1081),'Festive dates'!$A$2:$J$5,2,FALSE),$A1081&lt;VLOOKUP(YEAR($A1081),'Festive dates'!$A$2:$J$5,3,FALSE)),1,0)</f>
        <v>0</v>
      </c>
      <c r="S1081" s="9">
        <f>IF($A1081=VLOOKUP(YEAR($A1081),'Festive dates'!$A$2:$J$5,2,FALSE),1,0)</f>
        <v>0</v>
      </c>
      <c r="T1081" s="9">
        <f>IF($A1081=VLOOKUP(YEAR($A1081),'Festive dates'!$A$2:$J$5,3,FALSE),1,0)</f>
        <v>0</v>
      </c>
      <c r="U1081" s="9">
        <f>IF($A1081=VLOOKUP(YEAR($A1081),'Festive dates'!$A$2:$J$5,4,FALSE),1,0)</f>
        <v>0</v>
      </c>
      <c r="V1081" s="9">
        <f>IF(AND($A1081&gt;=VLOOKUP(YEAR($A1081),'Festive dates'!$A$2:$J$5,9,FALSE),$A1081&lt;=VLOOKUP(YEAR($A1081),'Festive dates'!$A$2:$J$5,10,FALSE)),1,0)</f>
        <v>0</v>
      </c>
      <c r="W1081" s="9">
        <f>IF($A1081=VLOOKUP(YEAR($A1081),'Festive dates'!$A$2:$J$5,7,FALSE),1,0)</f>
        <v>0</v>
      </c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</row>
    <row r="1082" spans="1:51">
      <c r="A1082" s="8">
        <v>46097</v>
      </c>
      <c r="B1082" s="9">
        <v>0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f>MAX(-20,MIN(10,$A1082-VLOOKUP(YEAR($A1082),'Festive dates'!$A$2:$J$5,8,FALSE)))</f>
        <v>-20</v>
      </c>
      <c r="R1082" s="9">
        <f>IF(AND($A1082&gt;VLOOKUP(YEAR($A1082),'Festive dates'!$A$2:$J$5,2,FALSE),$A1082&lt;VLOOKUP(YEAR($A1082),'Festive dates'!$A$2:$J$5,3,FALSE)),1,0)</f>
        <v>0</v>
      </c>
      <c r="S1082" s="9">
        <f>IF($A1082=VLOOKUP(YEAR($A1082),'Festive dates'!$A$2:$J$5,2,FALSE),1,0)</f>
        <v>0</v>
      </c>
      <c r="T1082" s="9">
        <f>IF($A1082=VLOOKUP(YEAR($A1082),'Festive dates'!$A$2:$J$5,3,FALSE),1,0)</f>
        <v>0</v>
      </c>
      <c r="U1082" s="9">
        <f>IF($A1082=VLOOKUP(YEAR($A1082),'Festive dates'!$A$2:$J$5,4,FALSE),1,0)</f>
        <v>0</v>
      </c>
      <c r="V1082" s="9">
        <f>IF(AND($A1082&gt;=VLOOKUP(YEAR($A1082),'Festive dates'!$A$2:$J$5,9,FALSE),$A1082&lt;=VLOOKUP(YEAR($A1082),'Festive dates'!$A$2:$J$5,10,FALSE)),1,0)</f>
        <v>0</v>
      </c>
      <c r="W1082" s="9">
        <f>IF($A1082=VLOOKUP(YEAR($A1082),'Festive dates'!$A$2:$J$5,7,FALSE),1,0)</f>
        <v>0</v>
      </c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</row>
    <row r="1083" spans="1:51">
      <c r="A1083" s="8">
        <v>46098</v>
      </c>
      <c r="B1083" s="9">
        <v>0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f>MAX(-20,MIN(10,$A1083-VLOOKUP(YEAR($A1083),'Festive dates'!$A$2:$J$5,8,FALSE)))</f>
        <v>-20</v>
      </c>
      <c r="R1083" s="9">
        <f>IF(AND($A1083&gt;VLOOKUP(YEAR($A1083),'Festive dates'!$A$2:$J$5,2,FALSE),$A1083&lt;VLOOKUP(YEAR($A1083),'Festive dates'!$A$2:$J$5,3,FALSE)),1,0)</f>
        <v>0</v>
      </c>
      <c r="S1083" s="9">
        <f>IF($A1083=VLOOKUP(YEAR($A1083),'Festive dates'!$A$2:$J$5,2,FALSE),1,0)</f>
        <v>0</v>
      </c>
      <c r="T1083" s="9">
        <f>IF($A1083=VLOOKUP(YEAR($A1083),'Festive dates'!$A$2:$J$5,3,FALSE),1,0)</f>
        <v>0</v>
      </c>
      <c r="U1083" s="9">
        <f>IF($A1083=VLOOKUP(YEAR($A1083),'Festive dates'!$A$2:$J$5,4,FALSE),1,0)</f>
        <v>0</v>
      </c>
      <c r="V1083" s="9">
        <f>IF(AND($A1083&gt;=VLOOKUP(YEAR($A1083),'Festive dates'!$A$2:$J$5,9,FALSE),$A1083&lt;=VLOOKUP(YEAR($A1083),'Festive dates'!$A$2:$J$5,10,FALSE)),1,0)</f>
        <v>0</v>
      </c>
      <c r="W1083" s="9">
        <f>IF($A1083=VLOOKUP(YEAR($A1083),'Festive dates'!$A$2:$J$5,7,FALSE),1,0)</f>
        <v>0</v>
      </c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</row>
    <row r="1084" spans="1:51">
      <c r="A1084" s="8">
        <v>46099</v>
      </c>
      <c r="B1084" s="9">
        <v>0</v>
      </c>
      <c r="C1084" s="9">
        <v>0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f>MAX(-20,MIN(10,$A1084-VLOOKUP(YEAR($A1084),'Festive dates'!$A$2:$J$5,8,FALSE)))</f>
        <v>-20</v>
      </c>
      <c r="R1084" s="9">
        <f>IF(AND($A1084&gt;VLOOKUP(YEAR($A1084),'Festive dates'!$A$2:$J$5,2,FALSE),$A1084&lt;VLOOKUP(YEAR($A1084),'Festive dates'!$A$2:$J$5,3,FALSE)),1,0)</f>
        <v>0</v>
      </c>
      <c r="S1084" s="9">
        <f>IF($A1084=VLOOKUP(YEAR($A1084),'Festive dates'!$A$2:$J$5,2,FALSE),1,0)</f>
        <v>0</v>
      </c>
      <c r="T1084" s="9">
        <f>IF($A1084=VLOOKUP(YEAR($A1084),'Festive dates'!$A$2:$J$5,3,FALSE),1,0)</f>
        <v>0</v>
      </c>
      <c r="U1084" s="9">
        <f>IF($A1084=VLOOKUP(YEAR($A1084),'Festive dates'!$A$2:$J$5,4,FALSE),1,0)</f>
        <v>0</v>
      </c>
      <c r="V1084" s="9">
        <f>IF(AND($A1084&gt;=VLOOKUP(YEAR($A1084),'Festive dates'!$A$2:$J$5,9,FALSE),$A1084&lt;=VLOOKUP(YEAR($A1084),'Festive dates'!$A$2:$J$5,10,FALSE)),1,0)</f>
        <v>0</v>
      </c>
      <c r="W1084" s="9">
        <f>IF($A1084=VLOOKUP(YEAR($A1084),'Festive dates'!$A$2:$J$5,7,FALSE),1,0)</f>
        <v>0</v>
      </c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</row>
    <row r="1085" spans="1:51">
      <c r="A1085" s="8">
        <v>46100</v>
      </c>
      <c r="B1085" s="9">
        <v>0</v>
      </c>
      <c r="C1085" s="9">
        <v>0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f>MAX(-20,MIN(10,$A1085-VLOOKUP(YEAR($A1085),'Festive dates'!$A$2:$J$5,8,FALSE)))</f>
        <v>-20</v>
      </c>
      <c r="R1085" s="9">
        <f>IF(AND($A1085&gt;VLOOKUP(YEAR($A1085),'Festive dates'!$A$2:$J$5,2,FALSE),$A1085&lt;VLOOKUP(YEAR($A1085),'Festive dates'!$A$2:$J$5,3,FALSE)),1,0)</f>
        <v>0</v>
      </c>
      <c r="S1085" s="9">
        <f>IF($A1085=VLOOKUP(YEAR($A1085),'Festive dates'!$A$2:$J$5,2,FALSE),1,0)</f>
        <v>0</v>
      </c>
      <c r="T1085" s="9">
        <f>IF($A1085=VLOOKUP(YEAR($A1085),'Festive dates'!$A$2:$J$5,3,FALSE),1,0)</f>
        <v>0</v>
      </c>
      <c r="U1085" s="9">
        <f>IF($A1085=VLOOKUP(YEAR($A1085),'Festive dates'!$A$2:$J$5,4,FALSE),1,0)</f>
        <v>0</v>
      </c>
      <c r="V1085" s="9">
        <f>IF(AND($A1085&gt;=VLOOKUP(YEAR($A1085),'Festive dates'!$A$2:$J$5,9,FALSE),$A1085&lt;=VLOOKUP(YEAR($A1085),'Festive dates'!$A$2:$J$5,10,FALSE)),1,0)</f>
        <v>0</v>
      </c>
      <c r="W1085" s="9">
        <f>IF($A1085=VLOOKUP(YEAR($A1085),'Festive dates'!$A$2:$J$5,7,FALSE),1,0)</f>
        <v>0</v>
      </c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</row>
    <row r="1086" spans="1:51">
      <c r="A1086" s="8">
        <v>46101</v>
      </c>
      <c r="B1086" s="9">
        <v>0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f>MAX(-20,MIN(10,$A1086-VLOOKUP(YEAR($A1086),'Festive dates'!$A$2:$J$5,8,FALSE)))</f>
        <v>-20</v>
      </c>
      <c r="R1086" s="9">
        <f>IF(AND($A1086&gt;VLOOKUP(YEAR($A1086),'Festive dates'!$A$2:$J$5,2,FALSE),$A1086&lt;VLOOKUP(YEAR($A1086),'Festive dates'!$A$2:$J$5,3,FALSE)),1,0)</f>
        <v>0</v>
      </c>
      <c r="S1086" s="9">
        <f>IF($A1086=VLOOKUP(YEAR($A1086),'Festive dates'!$A$2:$J$5,2,FALSE),1,0)</f>
        <v>0</v>
      </c>
      <c r="T1086" s="9">
        <f>IF($A1086=VLOOKUP(YEAR($A1086),'Festive dates'!$A$2:$J$5,3,FALSE),1,0)</f>
        <v>0</v>
      </c>
      <c r="U1086" s="9">
        <f>IF($A1086=VLOOKUP(YEAR($A1086),'Festive dates'!$A$2:$J$5,4,FALSE),1,0)</f>
        <v>0</v>
      </c>
      <c r="V1086" s="9">
        <f>IF(AND($A1086&gt;=VLOOKUP(YEAR($A1086),'Festive dates'!$A$2:$J$5,9,FALSE),$A1086&lt;=VLOOKUP(YEAR($A1086),'Festive dates'!$A$2:$J$5,10,FALSE)),1,0)</f>
        <v>0</v>
      </c>
      <c r="W1086" s="9">
        <f>IF($A1086=VLOOKUP(YEAR($A1086),'Festive dates'!$A$2:$J$5,7,FALSE),1,0)</f>
        <v>0</v>
      </c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</row>
    <row r="1087" spans="1:51">
      <c r="A1087" s="8">
        <v>46102</v>
      </c>
      <c r="B1087" s="9">
        <v>0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f>MAX(-20,MIN(10,$A1087-VLOOKUP(YEAR($A1087),'Festive dates'!$A$2:$J$5,8,FALSE)))</f>
        <v>-20</v>
      </c>
      <c r="R1087" s="9">
        <f>IF(AND($A1087&gt;VLOOKUP(YEAR($A1087),'Festive dates'!$A$2:$J$5,2,FALSE),$A1087&lt;VLOOKUP(YEAR($A1087),'Festive dates'!$A$2:$J$5,3,FALSE)),1,0)</f>
        <v>0</v>
      </c>
      <c r="S1087" s="9">
        <f>IF($A1087=VLOOKUP(YEAR($A1087),'Festive dates'!$A$2:$J$5,2,FALSE),1,0)</f>
        <v>0</v>
      </c>
      <c r="T1087" s="9">
        <f>IF($A1087=VLOOKUP(YEAR($A1087),'Festive dates'!$A$2:$J$5,3,FALSE),1,0)</f>
        <v>0</v>
      </c>
      <c r="U1087" s="9">
        <f>IF($A1087=VLOOKUP(YEAR($A1087),'Festive dates'!$A$2:$J$5,4,FALSE),1,0)</f>
        <v>0</v>
      </c>
      <c r="V1087" s="9">
        <f>IF(AND($A1087&gt;=VLOOKUP(YEAR($A1087),'Festive dates'!$A$2:$J$5,9,FALSE),$A1087&lt;=VLOOKUP(YEAR($A1087),'Festive dates'!$A$2:$J$5,10,FALSE)),1,0)</f>
        <v>0</v>
      </c>
      <c r="W1087" s="9">
        <f>IF($A1087=VLOOKUP(YEAR($A1087),'Festive dates'!$A$2:$J$5,7,FALSE),1,0)</f>
        <v>0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</row>
    <row r="1088" spans="1:51">
      <c r="A1088" s="8">
        <v>46103</v>
      </c>
      <c r="B1088" s="9">
        <v>0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f>MAX(-20,MIN(10,$A1088-VLOOKUP(YEAR($A1088),'Festive dates'!$A$2:$J$5,8,FALSE)))</f>
        <v>-20</v>
      </c>
      <c r="R1088" s="9">
        <f>IF(AND($A1088&gt;VLOOKUP(YEAR($A1088),'Festive dates'!$A$2:$J$5,2,FALSE),$A1088&lt;VLOOKUP(YEAR($A1088),'Festive dates'!$A$2:$J$5,3,FALSE)),1,0)</f>
        <v>0</v>
      </c>
      <c r="S1088" s="9">
        <f>IF($A1088=VLOOKUP(YEAR($A1088),'Festive dates'!$A$2:$J$5,2,FALSE),1,0)</f>
        <v>0</v>
      </c>
      <c r="T1088" s="9">
        <f>IF($A1088=VLOOKUP(YEAR($A1088),'Festive dates'!$A$2:$J$5,3,FALSE),1,0)</f>
        <v>0</v>
      </c>
      <c r="U1088" s="9">
        <f>IF($A1088=VLOOKUP(YEAR($A1088),'Festive dates'!$A$2:$J$5,4,FALSE),1,0)</f>
        <v>0</v>
      </c>
      <c r="V1088" s="9">
        <f>IF(AND($A1088&gt;=VLOOKUP(YEAR($A1088),'Festive dates'!$A$2:$J$5,9,FALSE),$A1088&lt;=VLOOKUP(YEAR($A1088),'Festive dates'!$A$2:$J$5,10,FALSE)),1,0)</f>
        <v>0</v>
      </c>
      <c r="W1088" s="9">
        <f>IF($A1088=VLOOKUP(YEAR($A1088),'Festive dates'!$A$2:$J$5,7,FALSE),1,0)</f>
        <v>0</v>
      </c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</row>
    <row r="1089" spans="1:51">
      <c r="A1089" s="8">
        <v>46104</v>
      </c>
      <c r="B1089" s="9">
        <v>0</v>
      </c>
      <c r="C1089" s="9">
        <v>0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f>MAX(-20,MIN(10,$A1089-VLOOKUP(YEAR($A1089),'Festive dates'!$A$2:$J$5,8,FALSE)))</f>
        <v>-20</v>
      </c>
      <c r="R1089" s="9">
        <f>IF(AND($A1089&gt;VLOOKUP(YEAR($A1089),'Festive dates'!$A$2:$J$5,2,FALSE),$A1089&lt;VLOOKUP(YEAR($A1089),'Festive dates'!$A$2:$J$5,3,FALSE)),1,0)</f>
        <v>0</v>
      </c>
      <c r="S1089" s="9">
        <f>IF($A1089=VLOOKUP(YEAR($A1089),'Festive dates'!$A$2:$J$5,2,FALSE),1,0)</f>
        <v>0</v>
      </c>
      <c r="T1089" s="9">
        <f>IF($A1089=VLOOKUP(YEAR($A1089),'Festive dates'!$A$2:$J$5,3,FALSE),1,0)</f>
        <v>0</v>
      </c>
      <c r="U1089" s="9">
        <f>IF($A1089=VLOOKUP(YEAR($A1089),'Festive dates'!$A$2:$J$5,4,FALSE),1,0)</f>
        <v>0</v>
      </c>
      <c r="V1089" s="9">
        <f>IF(AND($A1089&gt;=VLOOKUP(YEAR($A1089),'Festive dates'!$A$2:$J$5,9,FALSE),$A1089&lt;=VLOOKUP(YEAR($A1089),'Festive dates'!$A$2:$J$5,10,FALSE)),1,0)</f>
        <v>0</v>
      </c>
      <c r="W1089" s="9">
        <f>IF($A1089=VLOOKUP(YEAR($A1089),'Festive dates'!$A$2:$J$5,7,FALSE),1,0)</f>
        <v>0</v>
      </c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</row>
    <row r="1090" spans="1:51">
      <c r="A1090" s="8">
        <v>46105</v>
      </c>
      <c r="B1090" s="9">
        <v>0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f>MAX(-20,MIN(10,$A1090-VLOOKUP(YEAR($A1090),'Festive dates'!$A$2:$J$5,8,FALSE)))</f>
        <v>-20</v>
      </c>
      <c r="R1090" s="9">
        <f>IF(AND($A1090&gt;VLOOKUP(YEAR($A1090),'Festive dates'!$A$2:$J$5,2,FALSE),$A1090&lt;VLOOKUP(YEAR($A1090),'Festive dates'!$A$2:$J$5,3,FALSE)),1,0)</f>
        <v>0</v>
      </c>
      <c r="S1090" s="9">
        <f>IF($A1090=VLOOKUP(YEAR($A1090),'Festive dates'!$A$2:$J$5,2,FALSE),1,0)</f>
        <v>0</v>
      </c>
      <c r="T1090" s="9">
        <f>IF($A1090=VLOOKUP(YEAR($A1090),'Festive dates'!$A$2:$J$5,3,FALSE),1,0)</f>
        <v>0</v>
      </c>
      <c r="U1090" s="9">
        <f>IF($A1090=VLOOKUP(YEAR($A1090),'Festive dates'!$A$2:$J$5,4,FALSE),1,0)</f>
        <v>0</v>
      </c>
      <c r="V1090" s="9">
        <f>IF(AND($A1090&gt;=VLOOKUP(YEAR($A1090),'Festive dates'!$A$2:$J$5,9,FALSE),$A1090&lt;=VLOOKUP(YEAR($A1090),'Festive dates'!$A$2:$J$5,10,FALSE)),1,0)</f>
        <v>0</v>
      </c>
      <c r="W1090" s="9">
        <f>IF($A1090=VLOOKUP(YEAR($A1090),'Festive dates'!$A$2:$J$5,7,FALSE),1,0)</f>
        <v>0</v>
      </c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</row>
    <row r="1091" spans="1:51">
      <c r="A1091" s="8">
        <v>46106</v>
      </c>
      <c r="B1091" s="9">
        <v>0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f>MAX(-20,MIN(10,$A1091-VLOOKUP(YEAR($A1091),'Festive dates'!$A$2:$J$5,8,FALSE)))</f>
        <v>-20</v>
      </c>
      <c r="R1091" s="9">
        <f>IF(AND($A1091&gt;VLOOKUP(YEAR($A1091),'Festive dates'!$A$2:$J$5,2,FALSE),$A1091&lt;VLOOKUP(YEAR($A1091),'Festive dates'!$A$2:$J$5,3,FALSE)),1,0)</f>
        <v>0</v>
      </c>
      <c r="S1091" s="9">
        <f>IF($A1091=VLOOKUP(YEAR($A1091),'Festive dates'!$A$2:$J$5,2,FALSE),1,0)</f>
        <v>0</v>
      </c>
      <c r="T1091" s="9">
        <f>IF($A1091=VLOOKUP(YEAR($A1091),'Festive dates'!$A$2:$J$5,3,FALSE),1,0)</f>
        <v>0</v>
      </c>
      <c r="U1091" s="9">
        <f>IF($A1091=VLOOKUP(YEAR($A1091),'Festive dates'!$A$2:$J$5,4,FALSE),1,0)</f>
        <v>0</v>
      </c>
      <c r="V1091" s="9">
        <f>IF(AND($A1091&gt;=VLOOKUP(YEAR($A1091),'Festive dates'!$A$2:$J$5,9,FALSE),$A1091&lt;=VLOOKUP(YEAR($A1091),'Festive dates'!$A$2:$J$5,10,FALSE)),1,0)</f>
        <v>0</v>
      </c>
      <c r="W1091" s="9">
        <f>IF($A1091=VLOOKUP(YEAR($A1091),'Festive dates'!$A$2:$J$5,7,FALSE),1,0)</f>
        <v>0</v>
      </c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</row>
    <row r="1092" spans="1:51">
      <c r="A1092" s="8">
        <v>46107</v>
      </c>
      <c r="B1092" s="9">
        <v>0</v>
      </c>
      <c r="C1092" s="9">
        <v>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f>MAX(-20,MIN(10,$A1092-VLOOKUP(YEAR($A1092),'Festive dates'!$A$2:$J$5,8,FALSE)))</f>
        <v>-20</v>
      </c>
      <c r="R1092" s="9">
        <f>IF(AND($A1092&gt;VLOOKUP(YEAR($A1092),'Festive dates'!$A$2:$J$5,2,FALSE),$A1092&lt;VLOOKUP(YEAR($A1092),'Festive dates'!$A$2:$J$5,3,FALSE)),1,0)</f>
        <v>0</v>
      </c>
      <c r="S1092" s="9">
        <f>IF($A1092=VLOOKUP(YEAR($A1092),'Festive dates'!$A$2:$J$5,2,FALSE),1,0)</f>
        <v>0</v>
      </c>
      <c r="T1092" s="9">
        <f>IF($A1092=VLOOKUP(YEAR($A1092),'Festive dates'!$A$2:$J$5,3,FALSE),1,0)</f>
        <v>0</v>
      </c>
      <c r="U1092" s="9">
        <f>IF($A1092=VLOOKUP(YEAR($A1092),'Festive dates'!$A$2:$J$5,4,FALSE),1,0)</f>
        <v>0</v>
      </c>
      <c r="V1092" s="9">
        <f>IF(AND($A1092&gt;=VLOOKUP(YEAR($A1092),'Festive dates'!$A$2:$J$5,9,FALSE),$A1092&lt;=VLOOKUP(YEAR($A1092),'Festive dates'!$A$2:$J$5,10,FALSE)),1,0)</f>
        <v>0</v>
      </c>
      <c r="W1092" s="9">
        <f>IF($A1092=VLOOKUP(YEAR($A1092),'Festive dates'!$A$2:$J$5,7,FALSE),1,0)</f>
        <v>0</v>
      </c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</row>
    <row r="1093" spans="1:51">
      <c r="A1093" s="8">
        <v>46108</v>
      </c>
      <c r="B1093" s="9">
        <v>0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f>MAX(-20,MIN(10,$A1093-VLOOKUP(YEAR($A1093),'Festive dates'!$A$2:$J$5,8,FALSE)))</f>
        <v>-20</v>
      </c>
      <c r="R1093" s="9">
        <f>IF(AND($A1093&gt;VLOOKUP(YEAR($A1093),'Festive dates'!$A$2:$J$5,2,FALSE),$A1093&lt;VLOOKUP(YEAR($A1093),'Festive dates'!$A$2:$J$5,3,FALSE)),1,0)</f>
        <v>0</v>
      </c>
      <c r="S1093" s="9">
        <f>IF($A1093=VLOOKUP(YEAR($A1093),'Festive dates'!$A$2:$J$5,2,FALSE),1,0)</f>
        <v>0</v>
      </c>
      <c r="T1093" s="9">
        <f>IF($A1093=VLOOKUP(YEAR($A1093),'Festive dates'!$A$2:$J$5,3,FALSE),1,0)</f>
        <v>0</v>
      </c>
      <c r="U1093" s="9">
        <f>IF($A1093=VLOOKUP(YEAR($A1093),'Festive dates'!$A$2:$J$5,4,FALSE),1,0)</f>
        <v>0</v>
      </c>
      <c r="V1093" s="9">
        <f>IF(AND($A1093&gt;=VLOOKUP(YEAR($A1093),'Festive dates'!$A$2:$J$5,9,FALSE),$A1093&lt;=VLOOKUP(YEAR($A1093),'Festive dates'!$A$2:$J$5,10,FALSE)),1,0)</f>
        <v>0</v>
      </c>
      <c r="W1093" s="9">
        <f>IF($A1093=VLOOKUP(YEAR($A1093),'Festive dates'!$A$2:$J$5,7,FALSE),1,0)</f>
        <v>0</v>
      </c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</row>
    <row r="1094" spans="1:51">
      <c r="A1094" s="8">
        <v>46109</v>
      </c>
      <c r="B1094" s="9">
        <v>0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f>MAX(-20,MIN(10,$A1094-VLOOKUP(YEAR($A1094),'Festive dates'!$A$2:$J$5,8,FALSE)))</f>
        <v>-20</v>
      </c>
      <c r="R1094" s="9">
        <f>IF(AND($A1094&gt;VLOOKUP(YEAR($A1094),'Festive dates'!$A$2:$J$5,2,FALSE),$A1094&lt;VLOOKUP(YEAR($A1094),'Festive dates'!$A$2:$J$5,3,FALSE)),1,0)</f>
        <v>0</v>
      </c>
      <c r="S1094" s="9">
        <f>IF($A1094=VLOOKUP(YEAR($A1094),'Festive dates'!$A$2:$J$5,2,FALSE),1,0)</f>
        <v>0</v>
      </c>
      <c r="T1094" s="9">
        <f>IF($A1094=VLOOKUP(YEAR($A1094),'Festive dates'!$A$2:$J$5,3,FALSE),1,0)</f>
        <v>0</v>
      </c>
      <c r="U1094" s="9">
        <f>IF($A1094=VLOOKUP(YEAR($A1094),'Festive dates'!$A$2:$J$5,4,FALSE),1,0)</f>
        <v>0</v>
      </c>
      <c r="V1094" s="9">
        <f>IF(AND($A1094&gt;=VLOOKUP(YEAR($A1094),'Festive dates'!$A$2:$J$5,9,FALSE),$A1094&lt;=VLOOKUP(YEAR($A1094),'Festive dates'!$A$2:$J$5,10,FALSE)),1,0)</f>
        <v>0</v>
      </c>
      <c r="W1094" s="9">
        <f>IF($A1094=VLOOKUP(YEAR($A1094),'Festive dates'!$A$2:$J$5,7,FALSE),1,0)</f>
        <v>0</v>
      </c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</row>
    <row r="1095" spans="1:51">
      <c r="A1095" s="8">
        <v>46110</v>
      </c>
      <c r="B1095" s="9">
        <v>0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f>MAX(-20,MIN(10,$A1095-VLOOKUP(YEAR($A1095),'Festive dates'!$A$2:$J$5,8,FALSE)))</f>
        <v>-20</v>
      </c>
      <c r="R1095" s="9">
        <f>IF(AND($A1095&gt;VLOOKUP(YEAR($A1095),'Festive dates'!$A$2:$J$5,2,FALSE),$A1095&lt;VLOOKUP(YEAR($A1095),'Festive dates'!$A$2:$J$5,3,FALSE)),1,0)</f>
        <v>0</v>
      </c>
      <c r="S1095" s="9">
        <f>IF($A1095=VLOOKUP(YEAR($A1095),'Festive dates'!$A$2:$J$5,2,FALSE),1,0)</f>
        <v>0</v>
      </c>
      <c r="T1095" s="9">
        <f>IF($A1095=VLOOKUP(YEAR($A1095),'Festive dates'!$A$2:$J$5,3,FALSE),1,0)</f>
        <v>0</v>
      </c>
      <c r="U1095" s="9">
        <f>IF($A1095=VLOOKUP(YEAR($A1095),'Festive dates'!$A$2:$J$5,4,FALSE),1,0)</f>
        <v>0</v>
      </c>
      <c r="V1095" s="9">
        <f>IF(AND($A1095&gt;=VLOOKUP(YEAR($A1095),'Festive dates'!$A$2:$J$5,9,FALSE),$A1095&lt;=VLOOKUP(YEAR($A1095),'Festive dates'!$A$2:$J$5,10,FALSE)),1,0)</f>
        <v>0</v>
      </c>
      <c r="W1095" s="9">
        <f>IF($A1095=VLOOKUP(YEAR($A1095),'Festive dates'!$A$2:$J$5,7,FALSE),1,0)</f>
        <v>0</v>
      </c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</row>
    <row r="1096" spans="1:51">
      <c r="A1096" s="8">
        <v>46111</v>
      </c>
      <c r="B1096" s="9">
        <v>0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f>MAX(-20,MIN(10,$A1096-VLOOKUP(YEAR($A1096),'Festive dates'!$A$2:$J$5,8,FALSE)))</f>
        <v>-20</v>
      </c>
      <c r="R1096" s="9">
        <f>IF(AND($A1096&gt;VLOOKUP(YEAR($A1096),'Festive dates'!$A$2:$J$5,2,FALSE),$A1096&lt;VLOOKUP(YEAR($A1096),'Festive dates'!$A$2:$J$5,3,FALSE)),1,0)</f>
        <v>0</v>
      </c>
      <c r="S1096" s="9">
        <f>IF($A1096=VLOOKUP(YEAR($A1096),'Festive dates'!$A$2:$J$5,2,FALSE),1,0)</f>
        <v>0</v>
      </c>
      <c r="T1096" s="9">
        <f>IF($A1096=VLOOKUP(YEAR($A1096),'Festive dates'!$A$2:$J$5,3,FALSE),1,0)</f>
        <v>0</v>
      </c>
      <c r="U1096" s="9">
        <f>IF($A1096=VLOOKUP(YEAR($A1096),'Festive dates'!$A$2:$J$5,4,FALSE),1,0)</f>
        <v>0</v>
      </c>
      <c r="V1096" s="9">
        <f>IF(AND($A1096&gt;=VLOOKUP(YEAR($A1096),'Festive dates'!$A$2:$J$5,9,FALSE),$A1096&lt;=VLOOKUP(YEAR($A1096),'Festive dates'!$A$2:$J$5,10,FALSE)),1,0)</f>
        <v>0</v>
      </c>
      <c r="W1096" s="9">
        <f>IF($A1096=VLOOKUP(YEAR($A1096),'Festive dates'!$A$2:$J$5,7,FALSE),1,0)</f>
        <v>0</v>
      </c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</row>
    <row r="1097" spans="1:51">
      <c r="A1097" s="8">
        <v>46112</v>
      </c>
      <c r="B1097" s="9">
        <v>0</v>
      </c>
      <c r="C1097" s="9">
        <v>0</v>
      </c>
      <c r="D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f>MAX(-20,MIN(10,$A1097-VLOOKUP(YEAR($A1097),'Festive dates'!$A$2:$J$5,8,FALSE)))</f>
        <v>-20</v>
      </c>
      <c r="R1097" s="9">
        <f>IF(AND($A1097&gt;VLOOKUP(YEAR($A1097),'Festive dates'!$A$2:$J$5,2,FALSE),$A1097&lt;VLOOKUP(YEAR($A1097),'Festive dates'!$A$2:$J$5,3,FALSE)),1,0)</f>
        <v>0</v>
      </c>
      <c r="S1097" s="9">
        <f>IF($A1097=VLOOKUP(YEAR($A1097),'Festive dates'!$A$2:$J$5,2,FALSE),1,0)</f>
        <v>0</v>
      </c>
      <c r="T1097" s="9">
        <f>IF($A1097=VLOOKUP(YEAR($A1097),'Festive dates'!$A$2:$J$5,3,FALSE),1,0)</f>
        <v>0</v>
      </c>
      <c r="U1097" s="9">
        <f>IF($A1097=VLOOKUP(YEAR($A1097),'Festive dates'!$A$2:$J$5,4,FALSE),1,0)</f>
        <v>0</v>
      </c>
      <c r="V1097" s="9">
        <f>IF(AND($A1097&gt;=VLOOKUP(YEAR($A1097),'Festive dates'!$A$2:$J$5,9,FALSE),$A1097&lt;=VLOOKUP(YEAR($A1097),'Festive dates'!$A$2:$J$5,10,FALSE)),1,0)</f>
        <v>0</v>
      </c>
      <c r="W1097" s="9">
        <f>IF($A1097=VLOOKUP(YEAR($A1097),'Festive dates'!$A$2:$J$5,7,FALSE),1,0)</f>
        <v>0</v>
      </c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</row>
    <row r="1098" spans="1:51">
      <c r="A1098" s="8">
        <v>46113</v>
      </c>
      <c r="B1098" s="9">
        <v>0</v>
      </c>
      <c r="C1098" s="9">
        <v>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f>MAX(-20,MIN(10,$A1098-VLOOKUP(YEAR($A1098),'Festive dates'!$A$2:$J$5,8,FALSE)))</f>
        <v>-20</v>
      </c>
      <c r="R1098" s="9">
        <f>IF(AND($A1098&gt;VLOOKUP(YEAR($A1098),'Festive dates'!$A$2:$J$5,2,FALSE),$A1098&lt;VLOOKUP(YEAR($A1098),'Festive dates'!$A$2:$J$5,3,FALSE)),1,0)</f>
        <v>0</v>
      </c>
      <c r="S1098" s="9">
        <f>IF($A1098=VLOOKUP(YEAR($A1098),'Festive dates'!$A$2:$J$5,2,FALSE),1,0)</f>
        <v>0</v>
      </c>
      <c r="T1098" s="9">
        <f>IF($A1098=VLOOKUP(YEAR($A1098),'Festive dates'!$A$2:$J$5,3,FALSE),1,0)</f>
        <v>0</v>
      </c>
      <c r="U1098" s="9">
        <f>IF($A1098=VLOOKUP(YEAR($A1098),'Festive dates'!$A$2:$J$5,4,FALSE),1,0)</f>
        <v>0</v>
      </c>
      <c r="V1098" s="9">
        <f>IF(AND($A1098&gt;=VLOOKUP(YEAR($A1098),'Festive dates'!$A$2:$J$5,9,FALSE),$A1098&lt;=VLOOKUP(YEAR($A1098),'Festive dates'!$A$2:$J$5,10,FALSE)),1,0)</f>
        <v>0</v>
      </c>
      <c r="W1098" s="9">
        <f>IF($A1098=VLOOKUP(YEAR($A1098),'Festive dates'!$A$2:$J$5,7,FALSE),1,0)</f>
        <v>0</v>
      </c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</row>
    <row r="1099" spans="1:51">
      <c r="A1099" s="8">
        <v>46114</v>
      </c>
      <c r="B1099" s="9">
        <v>0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1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f>MAX(-20,MIN(10,$A1099-VLOOKUP(YEAR($A1099),'Festive dates'!$A$2:$J$5,8,FALSE)))</f>
        <v>-20</v>
      </c>
      <c r="R1099" s="9">
        <f>IF(AND($A1099&gt;VLOOKUP(YEAR($A1099),'Festive dates'!$A$2:$J$5,2,FALSE),$A1099&lt;VLOOKUP(YEAR($A1099),'Festive dates'!$A$2:$J$5,3,FALSE)),1,0)</f>
        <v>0</v>
      </c>
      <c r="S1099" s="9">
        <f>IF($A1099=VLOOKUP(YEAR($A1099),'Festive dates'!$A$2:$J$5,2,FALSE),1,0)</f>
        <v>0</v>
      </c>
      <c r="T1099" s="9">
        <f>IF($A1099=VLOOKUP(YEAR($A1099),'Festive dates'!$A$2:$J$5,3,FALSE),1,0)</f>
        <v>0</v>
      </c>
      <c r="U1099" s="9">
        <f>IF($A1099=VLOOKUP(YEAR($A1099),'Festive dates'!$A$2:$J$5,4,FALSE),1,0)</f>
        <v>0</v>
      </c>
      <c r="V1099" s="9">
        <f>IF(AND($A1099&gt;=VLOOKUP(YEAR($A1099),'Festive dates'!$A$2:$J$5,9,FALSE),$A1099&lt;=VLOOKUP(YEAR($A1099),'Festive dates'!$A$2:$J$5,10,FALSE)),1,0)</f>
        <v>0</v>
      </c>
      <c r="W1099" s="9">
        <f>IF($A1099=VLOOKUP(YEAR($A1099),'Festive dates'!$A$2:$J$5,7,FALSE),1,0)</f>
        <v>0</v>
      </c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</row>
    <row r="1100" spans="1:51">
      <c r="A1100" s="8">
        <v>46115</v>
      </c>
      <c r="B1100" s="9">
        <v>0</v>
      </c>
      <c r="C1100" s="9">
        <v>0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f>MAX(-20,MIN(10,$A1100-VLOOKUP(YEAR($A1100),'Festive dates'!$A$2:$J$5,8,FALSE)))</f>
        <v>-20</v>
      </c>
      <c r="R1100" s="9">
        <f>IF(AND($A1100&gt;VLOOKUP(YEAR($A1100),'Festive dates'!$A$2:$J$5,2,FALSE),$A1100&lt;VLOOKUP(YEAR($A1100),'Festive dates'!$A$2:$J$5,3,FALSE)),1,0)</f>
        <v>0</v>
      </c>
      <c r="S1100" s="9">
        <f>IF($A1100=VLOOKUP(YEAR($A1100),'Festive dates'!$A$2:$J$5,2,FALSE),1,0)</f>
        <v>0</v>
      </c>
      <c r="T1100" s="9">
        <f>IF($A1100=VLOOKUP(YEAR($A1100),'Festive dates'!$A$2:$J$5,3,FALSE),1,0)</f>
        <v>0</v>
      </c>
      <c r="U1100" s="9">
        <f>IF($A1100=VLOOKUP(YEAR($A1100),'Festive dates'!$A$2:$J$5,4,FALSE),1,0)</f>
        <v>0</v>
      </c>
      <c r="V1100" s="9">
        <f>IF(AND($A1100&gt;=VLOOKUP(YEAR($A1100),'Festive dates'!$A$2:$J$5,9,FALSE),$A1100&lt;=VLOOKUP(YEAR($A1100),'Festive dates'!$A$2:$J$5,10,FALSE)),1,0)</f>
        <v>0</v>
      </c>
      <c r="W1100" s="9">
        <f>IF($A1100=VLOOKUP(YEAR($A1100),'Festive dates'!$A$2:$J$5,7,FALSE),1,0)</f>
        <v>0</v>
      </c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</row>
    <row r="1101" spans="1:51">
      <c r="A1101" s="8">
        <v>46116</v>
      </c>
      <c r="B1101" s="9">
        <v>0</v>
      </c>
      <c r="C1101" s="9">
        <v>0</v>
      </c>
      <c r="D1101" s="9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f>MAX(-20,MIN(10,$A1101-VLOOKUP(YEAR($A1101),'Festive dates'!$A$2:$J$5,8,FALSE)))</f>
        <v>-20</v>
      </c>
      <c r="R1101" s="9">
        <f>IF(AND($A1101&gt;VLOOKUP(YEAR($A1101),'Festive dates'!$A$2:$J$5,2,FALSE),$A1101&lt;VLOOKUP(YEAR($A1101),'Festive dates'!$A$2:$J$5,3,FALSE)),1,0)</f>
        <v>0</v>
      </c>
      <c r="S1101" s="9">
        <f>IF($A1101=VLOOKUP(YEAR($A1101),'Festive dates'!$A$2:$J$5,2,FALSE),1,0)</f>
        <v>0</v>
      </c>
      <c r="T1101" s="9">
        <f>IF($A1101=VLOOKUP(YEAR($A1101),'Festive dates'!$A$2:$J$5,3,FALSE),1,0)</f>
        <v>0</v>
      </c>
      <c r="U1101" s="9">
        <f>IF($A1101=VLOOKUP(YEAR($A1101),'Festive dates'!$A$2:$J$5,4,FALSE),1,0)</f>
        <v>0</v>
      </c>
      <c r="V1101" s="9">
        <f>IF(AND($A1101&gt;=VLOOKUP(YEAR($A1101),'Festive dates'!$A$2:$J$5,9,FALSE),$A1101&lt;=VLOOKUP(YEAR($A1101),'Festive dates'!$A$2:$J$5,10,FALSE)),1,0)</f>
        <v>0</v>
      </c>
      <c r="W1101" s="9">
        <f>IF($A1101=VLOOKUP(YEAR($A1101),'Festive dates'!$A$2:$J$5,7,FALSE),1,0)</f>
        <v>0</v>
      </c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</row>
    <row r="1102" spans="1:51">
      <c r="A1102" s="8">
        <v>46117</v>
      </c>
      <c r="B1102" s="9">
        <v>0</v>
      </c>
      <c r="C1102" s="9">
        <v>0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f>MAX(-20,MIN(10,$A1102-VLOOKUP(YEAR($A1102),'Festive dates'!$A$2:$J$5,8,FALSE)))</f>
        <v>-20</v>
      </c>
      <c r="R1102" s="9">
        <f>IF(AND($A1102&gt;VLOOKUP(YEAR($A1102),'Festive dates'!$A$2:$J$5,2,FALSE),$A1102&lt;VLOOKUP(YEAR($A1102),'Festive dates'!$A$2:$J$5,3,FALSE)),1,0)</f>
        <v>0</v>
      </c>
      <c r="S1102" s="9">
        <f>IF($A1102=VLOOKUP(YEAR($A1102),'Festive dates'!$A$2:$J$5,2,FALSE),1,0)</f>
        <v>0</v>
      </c>
      <c r="T1102" s="9">
        <f>IF($A1102=VLOOKUP(YEAR($A1102),'Festive dates'!$A$2:$J$5,3,FALSE),1,0)</f>
        <v>0</v>
      </c>
      <c r="U1102" s="9">
        <f>IF($A1102=VLOOKUP(YEAR($A1102),'Festive dates'!$A$2:$J$5,4,FALSE),1,0)</f>
        <v>0</v>
      </c>
      <c r="V1102" s="9">
        <f>IF(AND($A1102&gt;=VLOOKUP(YEAR($A1102),'Festive dates'!$A$2:$J$5,9,FALSE),$A1102&lt;=VLOOKUP(YEAR($A1102),'Festive dates'!$A$2:$J$5,10,FALSE)),1,0)</f>
        <v>0</v>
      </c>
      <c r="W1102" s="9">
        <f>IF($A1102=VLOOKUP(YEAR($A1102),'Festive dates'!$A$2:$J$5,7,FALSE),1,0)</f>
        <v>0</v>
      </c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</row>
    <row r="1103" spans="1:51">
      <c r="A1103" s="8">
        <v>46118</v>
      </c>
      <c r="B1103" s="9">
        <v>0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f>MAX(-20,MIN(10,$A1103-VLOOKUP(YEAR($A1103),'Festive dates'!$A$2:$J$5,8,FALSE)))</f>
        <v>-20</v>
      </c>
      <c r="R1103" s="9">
        <f>IF(AND($A1103&gt;VLOOKUP(YEAR($A1103),'Festive dates'!$A$2:$J$5,2,FALSE),$A1103&lt;VLOOKUP(YEAR($A1103),'Festive dates'!$A$2:$J$5,3,FALSE)),1,0)</f>
        <v>0</v>
      </c>
      <c r="S1103" s="9">
        <f>IF($A1103=VLOOKUP(YEAR($A1103),'Festive dates'!$A$2:$J$5,2,FALSE),1,0)</f>
        <v>0</v>
      </c>
      <c r="T1103" s="9">
        <f>IF($A1103=VLOOKUP(YEAR($A1103),'Festive dates'!$A$2:$J$5,3,FALSE),1,0)</f>
        <v>0</v>
      </c>
      <c r="U1103" s="9">
        <f>IF($A1103=VLOOKUP(YEAR($A1103),'Festive dates'!$A$2:$J$5,4,FALSE),1,0)</f>
        <v>0</v>
      </c>
      <c r="V1103" s="9">
        <f>IF(AND($A1103&gt;=VLOOKUP(YEAR($A1103),'Festive dates'!$A$2:$J$5,9,FALSE),$A1103&lt;=VLOOKUP(YEAR($A1103),'Festive dates'!$A$2:$J$5,10,FALSE)),1,0)</f>
        <v>0</v>
      </c>
      <c r="W1103" s="9">
        <f>IF($A1103=VLOOKUP(YEAR($A1103),'Festive dates'!$A$2:$J$5,7,FALSE),1,0)</f>
        <v>0</v>
      </c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</row>
    <row r="1104" spans="1:51">
      <c r="A1104" s="8">
        <v>46119</v>
      </c>
      <c r="B1104" s="9">
        <v>0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f>MAX(-20,MIN(10,$A1104-VLOOKUP(YEAR($A1104),'Festive dates'!$A$2:$J$5,8,FALSE)))</f>
        <v>-20</v>
      </c>
      <c r="R1104" s="9">
        <f>IF(AND($A1104&gt;VLOOKUP(YEAR($A1104),'Festive dates'!$A$2:$J$5,2,FALSE),$A1104&lt;VLOOKUP(YEAR($A1104),'Festive dates'!$A$2:$J$5,3,FALSE)),1,0)</f>
        <v>0</v>
      </c>
      <c r="S1104" s="9">
        <f>IF($A1104=VLOOKUP(YEAR($A1104),'Festive dates'!$A$2:$J$5,2,FALSE),1,0)</f>
        <v>0</v>
      </c>
      <c r="T1104" s="9">
        <f>IF($A1104=VLOOKUP(YEAR($A1104),'Festive dates'!$A$2:$J$5,3,FALSE),1,0)</f>
        <v>0</v>
      </c>
      <c r="U1104" s="9">
        <f>IF($A1104=VLOOKUP(YEAR($A1104),'Festive dates'!$A$2:$J$5,4,FALSE),1,0)</f>
        <v>0</v>
      </c>
      <c r="V1104" s="9">
        <f>IF(AND($A1104&gt;=VLOOKUP(YEAR($A1104),'Festive dates'!$A$2:$J$5,9,FALSE),$A1104&lt;=VLOOKUP(YEAR($A1104),'Festive dates'!$A$2:$J$5,10,FALSE)),1,0)</f>
        <v>0</v>
      </c>
      <c r="W1104" s="9">
        <f>IF($A1104=VLOOKUP(YEAR($A1104),'Festive dates'!$A$2:$J$5,7,FALSE),1,0)</f>
        <v>0</v>
      </c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</row>
    <row r="1105" spans="1:51">
      <c r="A1105" s="8">
        <v>46120</v>
      </c>
      <c r="B1105" s="9">
        <v>0</v>
      </c>
      <c r="C1105" s="9">
        <v>0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1</v>
      </c>
      <c r="Q1105" s="9">
        <f>MAX(-20,MIN(10,$A1105-VLOOKUP(YEAR($A1105),'Festive dates'!$A$2:$J$5,8,FALSE)))</f>
        <v>-20</v>
      </c>
      <c r="R1105" s="9">
        <f>IF(AND($A1105&gt;VLOOKUP(YEAR($A1105),'Festive dates'!$A$2:$J$5,2,FALSE),$A1105&lt;VLOOKUP(YEAR($A1105),'Festive dates'!$A$2:$J$5,3,FALSE)),1,0)</f>
        <v>0</v>
      </c>
      <c r="S1105" s="9">
        <f>IF($A1105=VLOOKUP(YEAR($A1105),'Festive dates'!$A$2:$J$5,2,FALSE),1,0)</f>
        <v>0</v>
      </c>
      <c r="T1105" s="9">
        <f>IF($A1105=VLOOKUP(YEAR($A1105),'Festive dates'!$A$2:$J$5,3,FALSE),1,0)</f>
        <v>0</v>
      </c>
      <c r="U1105" s="9">
        <f>IF($A1105=VLOOKUP(YEAR($A1105),'Festive dates'!$A$2:$J$5,4,FALSE),1,0)</f>
        <v>0</v>
      </c>
      <c r="V1105" s="9">
        <f>IF(AND($A1105&gt;=VLOOKUP(YEAR($A1105),'Festive dates'!$A$2:$J$5,9,FALSE),$A1105&lt;=VLOOKUP(YEAR($A1105),'Festive dates'!$A$2:$J$5,10,FALSE)),1,0)</f>
        <v>0</v>
      </c>
      <c r="W1105" s="9">
        <f>IF($A1105=VLOOKUP(YEAR($A1105),'Festive dates'!$A$2:$J$5,7,FALSE),1,0)</f>
        <v>0</v>
      </c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</row>
    <row r="1106" spans="1:51">
      <c r="A1106" s="8">
        <v>46121</v>
      </c>
      <c r="B1106" s="9">
        <v>0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f>MAX(-20,MIN(10,$A1106-VLOOKUP(YEAR($A1106),'Festive dates'!$A$2:$J$5,8,FALSE)))</f>
        <v>-20</v>
      </c>
      <c r="R1106" s="9">
        <f>IF(AND($A1106&gt;VLOOKUP(YEAR($A1106),'Festive dates'!$A$2:$J$5,2,FALSE),$A1106&lt;VLOOKUP(YEAR($A1106),'Festive dates'!$A$2:$J$5,3,FALSE)),1,0)</f>
        <v>0</v>
      </c>
      <c r="S1106" s="9">
        <f>IF($A1106=VLOOKUP(YEAR($A1106),'Festive dates'!$A$2:$J$5,2,FALSE),1,0)</f>
        <v>0</v>
      </c>
      <c r="T1106" s="9">
        <f>IF($A1106=VLOOKUP(YEAR($A1106),'Festive dates'!$A$2:$J$5,3,FALSE),1,0)</f>
        <v>0</v>
      </c>
      <c r="U1106" s="9">
        <f>IF($A1106=VLOOKUP(YEAR($A1106),'Festive dates'!$A$2:$J$5,4,FALSE),1,0)</f>
        <v>0</v>
      </c>
      <c r="V1106" s="9">
        <f>IF(AND($A1106&gt;=VLOOKUP(YEAR($A1106),'Festive dates'!$A$2:$J$5,9,FALSE),$A1106&lt;=VLOOKUP(YEAR($A1106),'Festive dates'!$A$2:$J$5,10,FALSE)),1,0)</f>
        <v>0</v>
      </c>
      <c r="W1106" s="9">
        <f>IF($A1106=VLOOKUP(YEAR($A1106),'Festive dates'!$A$2:$J$5,7,FALSE),1,0)</f>
        <v>0</v>
      </c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</row>
    <row r="1107" spans="1:51">
      <c r="A1107" s="8">
        <v>46122</v>
      </c>
      <c r="B1107" s="9">
        <v>0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f>MAX(-20,MIN(10,$A1107-VLOOKUP(YEAR($A1107),'Festive dates'!$A$2:$J$5,8,FALSE)))</f>
        <v>-20</v>
      </c>
      <c r="R1107" s="9">
        <f>IF(AND($A1107&gt;VLOOKUP(YEAR($A1107),'Festive dates'!$A$2:$J$5,2,FALSE),$A1107&lt;VLOOKUP(YEAR($A1107),'Festive dates'!$A$2:$J$5,3,FALSE)),1,0)</f>
        <v>0</v>
      </c>
      <c r="S1107" s="9">
        <f>IF($A1107=VLOOKUP(YEAR($A1107),'Festive dates'!$A$2:$J$5,2,FALSE),1,0)</f>
        <v>0</v>
      </c>
      <c r="T1107" s="9">
        <f>IF($A1107=VLOOKUP(YEAR($A1107),'Festive dates'!$A$2:$J$5,3,FALSE),1,0)</f>
        <v>0</v>
      </c>
      <c r="U1107" s="9">
        <f>IF($A1107=VLOOKUP(YEAR($A1107),'Festive dates'!$A$2:$J$5,4,FALSE),1,0)</f>
        <v>0</v>
      </c>
      <c r="V1107" s="9">
        <f>IF(AND($A1107&gt;=VLOOKUP(YEAR($A1107),'Festive dates'!$A$2:$J$5,9,FALSE),$A1107&lt;=VLOOKUP(YEAR($A1107),'Festive dates'!$A$2:$J$5,10,FALSE)),1,0)</f>
        <v>0</v>
      </c>
      <c r="W1107" s="9">
        <f>IF($A1107=VLOOKUP(YEAR($A1107),'Festive dates'!$A$2:$J$5,7,FALSE),1,0)</f>
        <v>0</v>
      </c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</row>
    <row r="1108" spans="1:51">
      <c r="A1108" s="8">
        <v>46123</v>
      </c>
      <c r="B1108" s="9">
        <v>0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f>MAX(-20,MIN(10,$A1108-VLOOKUP(YEAR($A1108),'Festive dates'!$A$2:$J$5,8,FALSE)))</f>
        <v>-20</v>
      </c>
      <c r="R1108" s="9">
        <f>IF(AND($A1108&gt;VLOOKUP(YEAR($A1108),'Festive dates'!$A$2:$J$5,2,FALSE),$A1108&lt;VLOOKUP(YEAR($A1108),'Festive dates'!$A$2:$J$5,3,FALSE)),1,0)</f>
        <v>0</v>
      </c>
      <c r="S1108" s="9">
        <f>IF($A1108=VLOOKUP(YEAR($A1108),'Festive dates'!$A$2:$J$5,2,FALSE),1,0)</f>
        <v>0</v>
      </c>
      <c r="T1108" s="9">
        <f>IF($A1108=VLOOKUP(YEAR($A1108),'Festive dates'!$A$2:$J$5,3,FALSE),1,0)</f>
        <v>0</v>
      </c>
      <c r="U1108" s="9">
        <f>IF($A1108=VLOOKUP(YEAR($A1108),'Festive dates'!$A$2:$J$5,4,FALSE),1,0)</f>
        <v>0</v>
      </c>
      <c r="V1108" s="9">
        <f>IF(AND($A1108&gt;=VLOOKUP(YEAR($A1108),'Festive dates'!$A$2:$J$5,9,FALSE),$A1108&lt;=VLOOKUP(YEAR($A1108),'Festive dates'!$A$2:$J$5,10,FALSE)),1,0)</f>
        <v>0</v>
      </c>
      <c r="W1108" s="9">
        <f>IF($A1108=VLOOKUP(YEAR($A1108),'Festive dates'!$A$2:$J$5,7,FALSE),1,0)</f>
        <v>0</v>
      </c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</row>
    <row r="1109" spans="1:51">
      <c r="A1109" s="8">
        <v>46124</v>
      </c>
      <c r="B1109" s="9">
        <v>0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f>MAX(-20,MIN(10,$A1109-VLOOKUP(YEAR($A1109),'Festive dates'!$A$2:$J$5,8,FALSE)))</f>
        <v>-20</v>
      </c>
      <c r="R1109" s="9">
        <f>IF(AND($A1109&gt;VLOOKUP(YEAR($A1109),'Festive dates'!$A$2:$J$5,2,FALSE),$A1109&lt;VLOOKUP(YEAR($A1109),'Festive dates'!$A$2:$J$5,3,FALSE)),1,0)</f>
        <v>0</v>
      </c>
      <c r="S1109" s="9">
        <f>IF($A1109=VLOOKUP(YEAR($A1109),'Festive dates'!$A$2:$J$5,2,FALSE),1,0)</f>
        <v>0</v>
      </c>
      <c r="T1109" s="9">
        <f>IF($A1109=VLOOKUP(YEAR($A1109),'Festive dates'!$A$2:$J$5,3,FALSE),1,0)</f>
        <v>0</v>
      </c>
      <c r="U1109" s="9">
        <f>IF($A1109=VLOOKUP(YEAR($A1109),'Festive dates'!$A$2:$J$5,4,FALSE),1,0)</f>
        <v>0</v>
      </c>
      <c r="V1109" s="9">
        <f>IF(AND($A1109&gt;=VLOOKUP(YEAR($A1109),'Festive dates'!$A$2:$J$5,9,FALSE),$A1109&lt;=VLOOKUP(YEAR($A1109),'Festive dates'!$A$2:$J$5,10,FALSE)),1,0)</f>
        <v>0</v>
      </c>
      <c r="W1109" s="9">
        <f>IF($A1109=VLOOKUP(YEAR($A1109),'Festive dates'!$A$2:$J$5,7,FALSE),1,0)</f>
        <v>0</v>
      </c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</row>
    <row r="1110" spans="1:51">
      <c r="A1110" s="8">
        <v>46125</v>
      </c>
      <c r="B1110" s="9">
        <v>0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1</v>
      </c>
      <c r="Q1110" s="9">
        <f>MAX(-20,MIN(10,$A1110-VLOOKUP(YEAR($A1110),'Festive dates'!$A$2:$J$5,8,FALSE)))</f>
        <v>-20</v>
      </c>
      <c r="R1110" s="9">
        <f>IF(AND($A1110&gt;VLOOKUP(YEAR($A1110),'Festive dates'!$A$2:$J$5,2,FALSE),$A1110&lt;VLOOKUP(YEAR($A1110),'Festive dates'!$A$2:$J$5,3,FALSE)),1,0)</f>
        <v>0</v>
      </c>
      <c r="S1110" s="9">
        <f>IF($A1110=VLOOKUP(YEAR($A1110),'Festive dates'!$A$2:$J$5,2,FALSE),1,0)</f>
        <v>0</v>
      </c>
      <c r="T1110" s="9">
        <f>IF($A1110=VLOOKUP(YEAR($A1110),'Festive dates'!$A$2:$J$5,3,FALSE),1,0)</f>
        <v>0</v>
      </c>
      <c r="U1110" s="9">
        <f>IF($A1110=VLOOKUP(YEAR($A1110),'Festive dates'!$A$2:$J$5,4,FALSE),1,0)</f>
        <v>0</v>
      </c>
      <c r="V1110" s="9">
        <f>IF(AND($A1110&gt;=VLOOKUP(YEAR($A1110),'Festive dates'!$A$2:$J$5,9,FALSE),$A1110&lt;=VLOOKUP(YEAR($A1110),'Festive dates'!$A$2:$J$5,10,FALSE)),1,0)</f>
        <v>0</v>
      </c>
      <c r="W1110" s="9">
        <f>IF($A1110=VLOOKUP(YEAR($A1110),'Festive dates'!$A$2:$J$5,7,FALSE),1,0)</f>
        <v>0</v>
      </c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</row>
    <row r="1111" spans="1:51">
      <c r="A1111" s="8">
        <v>46126</v>
      </c>
      <c r="B1111" s="9">
        <v>0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1</v>
      </c>
      <c r="Q1111" s="9">
        <f>MAX(-20,MIN(10,$A1111-VLOOKUP(YEAR($A1111),'Festive dates'!$A$2:$J$5,8,FALSE)))</f>
        <v>-20</v>
      </c>
      <c r="R1111" s="9">
        <f>IF(AND($A1111&gt;VLOOKUP(YEAR($A1111),'Festive dates'!$A$2:$J$5,2,FALSE),$A1111&lt;VLOOKUP(YEAR($A1111),'Festive dates'!$A$2:$J$5,3,FALSE)),1,0)</f>
        <v>0</v>
      </c>
      <c r="S1111" s="9">
        <f>IF($A1111=VLOOKUP(YEAR($A1111),'Festive dates'!$A$2:$J$5,2,FALSE),1,0)</f>
        <v>0</v>
      </c>
      <c r="T1111" s="9">
        <f>IF($A1111=VLOOKUP(YEAR($A1111),'Festive dates'!$A$2:$J$5,3,FALSE),1,0)</f>
        <v>0</v>
      </c>
      <c r="U1111" s="9">
        <f>IF($A1111=VLOOKUP(YEAR($A1111),'Festive dates'!$A$2:$J$5,4,FALSE),1,0)</f>
        <v>0</v>
      </c>
      <c r="V1111" s="9">
        <f>IF(AND($A1111&gt;=VLOOKUP(YEAR($A1111),'Festive dates'!$A$2:$J$5,9,FALSE),$A1111&lt;=VLOOKUP(YEAR($A1111),'Festive dates'!$A$2:$J$5,10,FALSE)),1,0)</f>
        <v>0</v>
      </c>
      <c r="W1111" s="9">
        <f>IF($A1111=VLOOKUP(YEAR($A1111),'Festive dates'!$A$2:$J$5,7,FALSE),1,0)</f>
        <v>0</v>
      </c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</row>
    <row r="1112" spans="1:51">
      <c r="A1112" s="8">
        <v>46127</v>
      </c>
      <c r="B1112" s="9">
        <v>0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f>MAX(-20,MIN(10,$A1112-VLOOKUP(YEAR($A1112),'Festive dates'!$A$2:$J$5,8,FALSE)))</f>
        <v>-20</v>
      </c>
      <c r="R1112" s="9">
        <f>IF(AND($A1112&gt;VLOOKUP(YEAR($A1112),'Festive dates'!$A$2:$J$5,2,FALSE),$A1112&lt;VLOOKUP(YEAR($A1112),'Festive dates'!$A$2:$J$5,3,FALSE)),1,0)</f>
        <v>0</v>
      </c>
      <c r="S1112" s="9">
        <f>IF($A1112=VLOOKUP(YEAR($A1112),'Festive dates'!$A$2:$J$5,2,FALSE),1,0)</f>
        <v>0</v>
      </c>
      <c r="T1112" s="9">
        <f>IF($A1112=VLOOKUP(YEAR($A1112),'Festive dates'!$A$2:$J$5,3,FALSE),1,0)</f>
        <v>0</v>
      </c>
      <c r="U1112" s="9">
        <f>IF($A1112=VLOOKUP(YEAR($A1112),'Festive dates'!$A$2:$J$5,4,FALSE),1,0)</f>
        <v>0</v>
      </c>
      <c r="V1112" s="9">
        <f>IF(AND($A1112&gt;=VLOOKUP(YEAR($A1112),'Festive dates'!$A$2:$J$5,9,FALSE),$A1112&lt;=VLOOKUP(YEAR($A1112),'Festive dates'!$A$2:$J$5,10,FALSE)),1,0)</f>
        <v>0</v>
      </c>
      <c r="W1112" s="9">
        <f>IF($A1112=VLOOKUP(YEAR($A1112),'Festive dates'!$A$2:$J$5,7,FALSE),1,0)</f>
        <v>0</v>
      </c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</row>
    <row r="1113" spans="1:51">
      <c r="A1113" s="8">
        <v>46128</v>
      </c>
      <c r="B1113" s="9">
        <v>0</v>
      </c>
      <c r="C1113" s="9">
        <v>0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f>MAX(-20,MIN(10,$A1113-VLOOKUP(YEAR($A1113),'Festive dates'!$A$2:$J$5,8,FALSE)))</f>
        <v>-20</v>
      </c>
      <c r="R1113" s="9">
        <f>IF(AND($A1113&gt;VLOOKUP(YEAR($A1113),'Festive dates'!$A$2:$J$5,2,FALSE),$A1113&lt;VLOOKUP(YEAR($A1113),'Festive dates'!$A$2:$J$5,3,FALSE)),1,0)</f>
        <v>0</v>
      </c>
      <c r="S1113" s="9">
        <f>IF($A1113=VLOOKUP(YEAR($A1113),'Festive dates'!$A$2:$J$5,2,FALSE),1,0)</f>
        <v>0</v>
      </c>
      <c r="T1113" s="9">
        <f>IF($A1113=VLOOKUP(YEAR($A1113),'Festive dates'!$A$2:$J$5,3,FALSE),1,0)</f>
        <v>0</v>
      </c>
      <c r="U1113" s="9">
        <f>IF($A1113=VLOOKUP(YEAR($A1113),'Festive dates'!$A$2:$J$5,4,FALSE),1,0)</f>
        <v>0</v>
      </c>
      <c r="V1113" s="9">
        <f>IF(AND($A1113&gt;=VLOOKUP(YEAR($A1113),'Festive dates'!$A$2:$J$5,9,FALSE),$A1113&lt;=VLOOKUP(YEAR($A1113),'Festive dates'!$A$2:$J$5,10,FALSE)),1,0)</f>
        <v>0</v>
      </c>
      <c r="W1113" s="9">
        <f>IF($A1113=VLOOKUP(YEAR($A1113),'Festive dates'!$A$2:$J$5,7,FALSE),1,0)</f>
        <v>0</v>
      </c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</row>
    <row r="1114" spans="1:51">
      <c r="A1114" s="8">
        <v>46129</v>
      </c>
      <c r="B1114" s="9">
        <v>0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f>MAX(-20,MIN(10,$A1114-VLOOKUP(YEAR($A1114),'Festive dates'!$A$2:$J$5,8,FALSE)))</f>
        <v>-20</v>
      </c>
      <c r="R1114" s="9">
        <f>IF(AND($A1114&gt;VLOOKUP(YEAR($A1114),'Festive dates'!$A$2:$J$5,2,FALSE),$A1114&lt;VLOOKUP(YEAR($A1114),'Festive dates'!$A$2:$J$5,3,FALSE)),1,0)</f>
        <v>0</v>
      </c>
      <c r="S1114" s="9">
        <f>IF($A1114=VLOOKUP(YEAR($A1114),'Festive dates'!$A$2:$J$5,2,FALSE),1,0)</f>
        <v>0</v>
      </c>
      <c r="T1114" s="9">
        <f>IF($A1114=VLOOKUP(YEAR($A1114),'Festive dates'!$A$2:$J$5,3,FALSE),1,0)</f>
        <v>0</v>
      </c>
      <c r="U1114" s="9">
        <f>IF($A1114=VLOOKUP(YEAR($A1114),'Festive dates'!$A$2:$J$5,4,FALSE),1,0)</f>
        <v>0</v>
      </c>
      <c r="V1114" s="9">
        <f>IF(AND($A1114&gt;=VLOOKUP(YEAR($A1114),'Festive dates'!$A$2:$J$5,9,FALSE),$A1114&lt;=VLOOKUP(YEAR($A1114),'Festive dates'!$A$2:$J$5,10,FALSE)),1,0)</f>
        <v>0</v>
      </c>
      <c r="W1114" s="9">
        <f>IF($A1114=VLOOKUP(YEAR($A1114),'Festive dates'!$A$2:$J$5,7,FALSE),1,0)</f>
        <v>0</v>
      </c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</row>
    <row r="1115" spans="1:51">
      <c r="A1115" s="8">
        <v>46130</v>
      </c>
      <c r="B1115" s="9">
        <v>0</v>
      </c>
      <c r="C1115" s="9">
        <v>0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1</v>
      </c>
      <c r="Q1115" s="9">
        <f>MAX(-20,MIN(10,$A1115-VLOOKUP(YEAR($A1115),'Festive dates'!$A$2:$J$5,8,FALSE)))</f>
        <v>-20</v>
      </c>
      <c r="R1115" s="9">
        <f>IF(AND($A1115&gt;VLOOKUP(YEAR($A1115),'Festive dates'!$A$2:$J$5,2,FALSE),$A1115&lt;VLOOKUP(YEAR($A1115),'Festive dates'!$A$2:$J$5,3,FALSE)),1,0)</f>
        <v>0</v>
      </c>
      <c r="S1115" s="9">
        <f>IF($A1115=VLOOKUP(YEAR($A1115),'Festive dates'!$A$2:$J$5,2,FALSE),1,0)</f>
        <v>0</v>
      </c>
      <c r="T1115" s="9">
        <f>IF($A1115=VLOOKUP(YEAR($A1115),'Festive dates'!$A$2:$J$5,3,FALSE),1,0)</f>
        <v>0</v>
      </c>
      <c r="U1115" s="9">
        <f>IF($A1115=VLOOKUP(YEAR($A1115),'Festive dates'!$A$2:$J$5,4,FALSE),1,0)</f>
        <v>0</v>
      </c>
      <c r="V1115" s="9">
        <f>IF(AND($A1115&gt;=VLOOKUP(YEAR($A1115),'Festive dates'!$A$2:$J$5,9,FALSE),$A1115&lt;=VLOOKUP(YEAR($A1115),'Festive dates'!$A$2:$J$5,10,FALSE)),1,0)</f>
        <v>0</v>
      </c>
      <c r="W1115" s="9">
        <f>IF($A1115=VLOOKUP(YEAR($A1115),'Festive dates'!$A$2:$J$5,7,FALSE),1,0)</f>
        <v>0</v>
      </c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</row>
    <row r="1116" spans="1:51">
      <c r="A1116" s="8">
        <v>46131</v>
      </c>
      <c r="B1116" s="9">
        <v>0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1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1</v>
      </c>
      <c r="Q1116" s="9">
        <f>MAX(-20,MIN(10,$A1116-VLOOKUP(YEAR($A1116),'Festive dates'!$A$2:$J$5,8,FALSE)))</f>
        <v>-20</v>
      </c>
      <c r="R1116" s="9">
        <f>IF(AND($A1116&gt;VLOOKUP(YEAR($A1116),'Festive dates'!$A$2:$J$5,2,FALSE),$A1116&lt;VLOOKUP(YEAR($A1116),'Festive dates'!$A$2:$J$5,3,FALSE)),1,0)</f>
        <v>0</v>
      </c>
      <c r="S1116" s="9">
        <f>IF($A1116=VLOOKUP(YEAR($A1116),'Festive dates'!$A$2:$J$5,2,FALSE),1,0)</f>
        <v>0</v>
      </c>
      <c r="T1116" s="9">
        <f>IF($A1116=VLOOKUP(YEAR($A1116),'Festive dates'!$A$2:$J$5,3,FALSE),1,0)</f>
        <v>0</v>
      </c>
      <c r="U1116" s="9">
        <f>IF($A1116=VLOOKUP(YEAR($A1116),'Festive dates'!$A$2:$J$5,4,FALSE),1,0)</f>
        <v>0</v>
      </c>
      <c r="V1116" s="9">
        <f>IF(AND($A1116&gt;=VLOOKUP(YEAR($A1116),'Festive dates'!$A$2:$J$5,9,FALSE),$A1116&lt;=VLOOKUP(YEAR($A1116),'Festive dates'!$A$2:$J$5,10,FALSE)),1,0)</f>
        <v>0</v>
      </c>
      <c r="W1116" s="9">
        <f>IF($A1116=VLOOKUP(YEAR($A1116),'Festive dates'!$A$2:$J$5,7,FALSE),1,0)</f>
        <v>0</v>
      </c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</row>
    <row r="1117" spans="1:51">
      <c r="A1117" s="8">
        <v>46132</v>
      </c>
      <c r="B1117" s="9">
        <v>0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1</v>
      </c>
      <c r="Q1117" s="9">
        <f>MAX(-20,MIN(10,$A1117-VLOOKUP(YEAR($A1117),'Festive dates'!$A$2:$J$5,8,FALSE)))</f>
        <v>-20</v>
      </c>
      <c r="R1117" s="9">
        <f>IF(AND($A1117&gt;VLOOKUP(YEAR($A1117),'Festive dates'!$A$2:$J$5,2,FALSE),$A1117&lt;VLOOKUP(YEAR($A1117),'Festive dates'!$A$2:$J$5,3,FALSE)),1,0)</f>
        <v>0</v>
      </c>
      <c r="S1117" s="9">
        <f>IF($A1117=VLOOKUP(YEAR($A1117),'Festive dates'!$A$2:$J$5,2,FALSE),1,0)</f>
        <v>0</v>
      </c>
      <c r="T1117" s="9">
        <f>IF($A1117=VLOOKUP(YEAR($A1117),'Festive dates'!$A$2:$J$5,3,FALSE),1,0)</f>
        <v>0</v>
      </c>
      <c r="U1117" s="9">
        <f>IF($A1117=VLOOKUP(YEAR($A1117),'Festive dates'!$A$2:$J$5,4,FALSE),1,0)</f>
        <v>0</v>
      </c>
      <c r="V1117" s="9">
        <f>IF(AND($A1117&gt;=VLOOKUP(YEAR($A1117),'Festive dates'!$A$2:$J$5,9,FALSE),$A1117&lt;=VLOOKUP(YEAR($A1117),'Festive dates'!$A$2:$J$5,10,FALSE)),1,0)</f>
        <v>0</v>
      </c>
      <c r="W1117" s="9">
        <f>IF($A1117=VLOOKUP(YEAR($A1117),'Festive dates'!$A$2:$J$5,7,FALSE),1,0)</f>
        <v>0</v>
      </c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</row>
    <row r="1118" spans="1:51">
      <c r="A1118" s="8">
        <v>46133</v>
      </c>
      <c r="B1118" s="9">
        <v>0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1</v>
      </c>
      <c r="Q1118" s="9">
        <f>MAX(-20,MIN(10,$A1118-VLOOKUP(YEAR($A1118),'Festive dates'!$A$2:$J$5,8,FALSE)))</f>
        <v>-20</v>
      </c>
      <c r="R1118" s="9">
        <f>IF(AND($A1118&gt;VLOOKUP(YEAR($A1118),'Festive dates'!$A$2:$J$5,2,FALSE),$A1118&lt;VLOOKUP(YEAR($A1118),'Festive dates'!$A$2:$J$5,3,FALSE)),1,0)</f>
        <v>0</v>
      </c>
      <c r="S1118" s="9">
        <f>IF($A1118=VLOOKUP(YEAR($A1118),'Festive dates'!$A$2:$J$5,2,FALSE),1,0)</f>
        <v>0</v>
      </c>
      <c r="T1118" s="9">
        <f>IF($A1118=VLOOKUP(YEAR($A1118),'Festive dates'!$A$2:$J$5,3,FALSE),1,0)</f>
        <v>0</v>
      </c>
      <c r="U1118" s="9">
        <f>IF($A1118=VLOOKUP(YEAR($A1118),'Festive dates'!$A$2:$J$5,4,FALSE),1,0)</f>
        <v>0</v>
      </c>
      <c r="V1118" s="9">
        <f>IF(AND($A1118&gt;=VLOOKUP(YEAR($A1118),'Festive dates'!$A$2:$J$5,9,FALSE),$A1118&lt;=VLOOKUP(YEAR($A1118),'Festive dates'!$A$2:$J$5,10,FALSE)),1,0)</f>
        <v>0</v>
      </c>
      <c r="W1118" s="9">
        <f>IF($A1118=VLOOKUP(YEAR($A1118),'Festive dates'!$A$2:$J$5,7,FALSE),1,0)</f>
        <v>0</v>
      </c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</row>
    <row r="1119" spans="1:51">
      <c r="A1119" s="8">
        <v>46134</v>
      </c>
      <c r="B1119" s="9">
        <v>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1</v>
      </c>
      <c r="Q1119" s="9">
        <f>MAX(-20,MIN(10,$A1119-VLOOKUP(YEAR($A1119),'Festive dates'!$A$2:$J$5,8,FALSE)))</f>
        <v>-20</v>
      </c>
      <c r="R1119" s="9">
        <f>IF(AND($A1119&gt;VLOOKUP(YEAR($A1119),'Festive dates'!$A$2:$J$5,2,FALSE),$A1119&lt;VLOOKUP(YEAR($A1119),'Festive dates'!$A$2:$J$5,3,FALSE)),1,0)</f>
        <v>0</v>
      </c>
      <c r="S1119" s="9">
        <f>IF($A1119=VLOOKUP(YEAR($A1119),'Festive dates'!$A$2:$J$5,2,FALSE),1,0)</f>
        <v>0</v>
      </c>
      <c r="T1119" s="9">
        <f>IF($A1119=VLOOKUP(YEAR($A1119),'Festive dates'!$A$2:$J$5,3,FALSE),1,0)</f>
        <v>0</v>
      </c>
      <c r="U1119" s="9">
        <f>IF($A1119=VLOOKUP(YEAR($A1119),'Festive dates'!$A$2:$J$5,4,FALSE),1,0)</f>
        <v>0</v>
      </c>
      <c r="V1119" s="9">
        <f>IF(AND($A1119&gt;=VLOOKUP(YEAR($A1119),'Festive dates'!$A$2:$J$5,9,FALSE),$A1119&lt;=VLOOKUP(YEAR($A1119),'Festive dates'!$A$2:$J$5,10,FALSE)),1,0)</f>
        <v>0</v>
      </c>
      <c r="W1119" s="9">
        <f>IF($A1119=VLOOKUP(YEAR($A1119),'Festive dates'!$A$2:$J$5,7,FALSE),1,0)</f>
        <v>0</v>
      </c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</row>
    <row r="1120" spans="1:51">
      <c r="A1120" s="8">
        <v>46135</v>
      </c>
      <c r="B1120" s="9">
        <v>0</v>
      </c>
      <c r="C1120" s="9">
        <v>0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f>MAX(-20,MIN(10,$A1120-VLOOKUP(YEAR($A1120),'Festive dates'!$A$2:$J$5,8,FALSE)))</f>
        <v>-20</v>
      </c>
      <c r="R1120" s="9">
        <f>IF(AND($A1120&gt;VLOOKUP(YEAR($A1120),'Festive dates'!$A$2:$J$5,2,FALSE),$A1120&lt;VLOOKUP(YEAR($A1120),'Festive dates'!$A$2:$J$5,3,FALSE)),1,0)</f>
        <v>0</v>
      </c>
      <c r="S1120" s="9">
        <f>IF($A1120=VLOOKUP(YEAR($A1120),'Festive dates'!$A$2:$J$5,2,FALSE),1,0)</f>
        <v>0</v>
      </c>
      <c r="T1120" s="9">
        <f>IF($A1120=VLOOKUP(YEAR($A1120),'Festive dates'!$A$2:$J$5,3,FALSE),1,0)</f>
        <v>0</v>
      </c>
      <c r="U1120" s="9">
        <f>IF($A1120=VLOOKUP(YEAR($A1120),'Festive dates'!$A$2:$J$5,4,FALSE),1,0)</f>
        <v>0</v>
      </c>
      <c r="V1120" s="9">
        <f>IF(AND($A1120&gt;=VLOOKUP(YEAR($A1120),'Festive dates'!$A$2:$J$5,9,FALSE),$A1120&lt;=VLOOKUP(YEAR($A1120),'Festive dates'!$A$2:$J$5,10,FALSE)),1,0)</f>
        <v>0</v>
      </c>
      <c r="W1120" s="9">
        <f>IF($A1120=VLOOKUP(YEAR($A1120),'Festive dates'!$A$2:$J$5,7,FALSE),1,0)</f>
        <v>0</v>
      </c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</row>
    <row r="1121" spans="1:51">
      <c r="A1121" s="8">
        <v>46136</v>
      </c>
      <c r="B1121" s="9">
        <v>0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1</v>
      </c>
      <c r="Q1121" s="9">
        <f>MAX(-20,MIN(10,$A1121-VLOOKUP(YEAR($A1121),'Festive dates'!$A$2:$J$5,8,FALSE)))</f>
        <v>-20</v>
      </c>
      <c r="R1121" s="9">
        <f>IF(AND($A1121&gt;VLOOKUP(YEAR($A1121),'Festive dates'!$A$2:$J$5,2,FALSE),$A1121&lt;VLOOKUP(YEAR($A1121),'Festive dates'!$A$2:$J$5,3,FALSE)),1,0)</f>
        <v>0</v>
      </c>
      <c r="S1121" s="9">
        <f>IF($A1121=VLOOKUP(YEAR($A1121),'Festive dates'!$A$2:$J$5,2,FALSE),1,0)</f>
        <v>0</v>
      </c>
      <c r="T1121" s="9">
        <f>IF($A1121=VLOOKUP(YEAR($A1121),'Festive dates'!$A$2:$J$5,3,FALSE),1,0)</f>
        <v>0</v>
      </c>
      <c r="U1121" s="9">
        <f>IF($A1121=VLOOKUP(YEAR($A1121),'Festive dates'!$A$2:$J$5,4,FALSE),1,0)</f>
        <v>0</v>
      </c>
      <c r="V1121" s="9">
        <f>IF(AND($A1121&gt;=VLOOKUP(YEAR($A1121),'Festive dates'!$A$2:$J$5,9,FALSE),$A1121&lt;=VLOOKUP(YEAR($A1121),'Festive dates'!$A$2:$J$5,10,FALSE)),1,0)</f>
        <v>0</v>
      </c>
      <c r="W1121" s="9">
        <f>IF($A1121=VLOOKUP(YEAR($A1121),'Festive dates'!$A$2:$J$5,7,FALSE),1,0)</f>
        <v>0</v>
      </c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</row>
    <row r="1122" spans="1:51">
      <c r="A1122" s="8">
        <v>46137</v>
      </c>
      <c r="B1122" s="9">
        <v>0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f>MAX(-20,MIN(10,$A1122-VLOOKUP(YEAR($A1122),'Festive dates'!$A$2:$J$5,8,FALSE)))</f>
        <v>-20</v>
      </c>
      <c r="R1122" s="9">
        <f>IF(AND($A1122&gt;VLOOKUP(YEAR($A1122),'Festive dates'!$A$2:$J$5,2,FALSE),$A1122&lt;VLOOKUP(YEAR($A1122),'Festive dates'!$A$2:$J$5,3,FALSE)),1,0)</f>
        <v>0</v>
      </c>
      <c r="S1122" s="9">
        <f>IF($A1122=VLOOKUP(YEAR($A1122),'Festive dates'!$A$2:$J$5,2,FALSE),1,0)</f>
        <v>0</v>
      </c>
      <c r="T1122" s="9">
        <f>IF($A1122=VLOOKUP(YEAR($A1122),'Festive dates'!$A$2:$J$5,3,FALSE),1,0)</f>
        <v>0</v>
      </c>
      <c r="U1122" s="9">
        <f>IF($A1122=VLOOKUP(YEAR($A1122),'Festive dates'!$A$2:$J$5,4,FALSE),1,0)</f>
        <v>0</v>
      </c>
      <c r="V1122" s="9">
        <f>IF(AND($A1122&gt;=VLOOKUP(YEAR($A1122),'Festive dates'!$A$2:$J$5,9,FALSE),$A1122&lt;=VLOOKUP(YEAR($A1122),'Festive dates'!$A$2:$J$5,10,FALSE)),1,0)</f>
        <v>0</v>
      </c>
      <c r="W1122" s="9">
        <f>IF($A1122=VLOOKUP(YEAR($A1122),'Festive dates'!$A$2:$J$5,7,FALSE),1,0)</f>
        <v>0</v>
      </c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</row>
    <row r="1123" spans="1:51">
      <c r="A1123" s="8">
        <v>46138</v>
      </c>
      <c r="B1123" s="9">
        <v>0</v>
      </c>
      <c r="C1123" s="9">
        <v>0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1</v>
      </c>
      <c r="Q1123" s="9">
        <f>MAX(-20,MIN(10,$A1123-VLOOKUP(YEAR($A1123),'Festive dates'!$A$2:$J$5,8,FALSE)))</f>
        <v>-20</v>
      </c>
      <c r="R1123" s="9">
        <f>IF(AND($A1123&gt;VLOOKUP(YEAR($A1123),'Festive dates'!$A$2:$J$5,2,FALSE),$A1123&lt;VLOOKUP(YEAR($A1123),'Festive dates'!$A$2:$J$5,3,FALSE)),1,0)</f>
        <v>0</v>
      </c>
      <c r="S1123" s="9">
        <f>IF($A1123=VLOOKUP(YEAR($A1123),'Festive dates'!$A$2:$J$5,2,FALSE),1,0)</f>
        <v>0</v>
      </c>
      <c r="T1123" s="9">
        <f>IF($A1123=VLOOKUP(YEAR($A1123),'Festive dates'!$A$2:$J$5,3,FALSE),1,0)</f>
        <v>0</v>
      </c>
      <c r="U1123" s="9">
        <f>IF($A1123=VLOOKUP(YEAR($A1123),'Festive dates'!$A$2:$J$5,4,FALSE),1,0)</f>
        <v>0</v>
      </c>
      <c r="V1123" s="9">
        <f>IF(AND($A1123&gt;=VLOOKUP(YEAR($A1123),'Festive dates'!$A$2:$J$5,9,FALSE),$A1123&lt;=VLOOKUP(YEAR($A1123),'Festive dates'!$A$2:$J$5,10,FALSE)),1,0)</f>
        <v>0</v>
      </c>
      <c r="W1123" s="9">
        <f>IF($A1123=VLOOKUP(YEAR($A1123),'Festive dates'!$A$2:$J$5,7,FALSE),1,0)</f>
        <v>0</v>
      </c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</row>
    <row r="1124" spans="1:51">
      <c r="A1124" s="8">
        <v>46139</v>
      </c>
      <c r="B1124" s="9">
        <v>0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f>MAX(-20,MIN(10,$A1124-VLOOKUP(YEAR($A1124),'Festive dates'!$A$2:$J$5,8,FALSE)))</f>
        <v>-20</v>
      </c>
      <c r="R1124" s="9">
        <f>IF(AND($A1124&gt;VLOOKUP(YEAR($A1124),'Festive dates'!$A$2:$J$5,2,FALSE),$A1124&lt;VLOOKUP(YEAR($A1124),'Festive dates'!$A$2:$J$5,3,FALSE)),1,0)</f>
        <v>0</v>
      </c>
      <c r="S1124" s="9">
        <f>IF($A1124=VLOOKUP(YEAR($A1124),'Festive dates'!$A$2:$J$5,2,FALSE),1,0)</f>
        <v>0</v>
      </c>
      <c r="T1124" s="9">
        <f>IF($A1124=VLOOKUP(YEAR($A1124),'Festive dates'!$A$2:$J$5,3,FALSE),1,0)</f>
        <v>0</v>
      </c>
      <c r="U1124" s="9">
        <f>IF($A1124=VLOOKUP(YEAR($A1124),'Festive dates'!$A$2:$J$5,4,FALSE),1,0)</f>
        <v>0</v>
      </c>
      <c r="V1124" s="9">
        <f>IF(AND($A1124&gt;=VLOOKUP(YEAR($A1124),'Festive dates'!$A$2:$J$5,9,FALSE),$A1124&lt;=VLOOKUP(YEAR($A1124),'Festive dates'!$A$2:$J$5,10,FALSE)),1,0)</f>
        <v>0</v>
      </c>
      <c r="W1124" s="9">
        <f>IF($A1124=VLOOKUP(YEAR($A1124),'Festive dates'!$A$2:$J$5,7,FALSE),1,0)</f>
        <v>0</v>
      </c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</row>
    <row r="1125" spans="1:51">
      <c r="A1125" s="8">
        <v>46140</v>
      </c>
      <c r="B1125" s="9">
        <v>0</v>
      </c>
      <c r="C1125" s="9">
        <v>0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1</v>
      </c>
      <c r="Q1125" s="9">
        <f>MAX(-20,MIN(10,$A1125-VLOOKUP(YEAR($A1125),'Festive dates'!$A$2:$J$5,8,FALSE)))</f>
        <v>-20</v>
      </c>
      <c r="R1125" s="9">
        <f>IF(AND($A1125&gt;VLOOKUP(YEAR($A1125),'Festive dates'!$A$2:$J$5,2,FALSE),$A1125&lt;VLOOKUP(YEAR($A1125),'Festive dates'!$A$2:$J$5,3,FALSE)),1,0)</f>
        <v>0</v>
      </c>
      <c r="S1125" s="9">
        <f>IF($A1125=VLOOKUP(YEAR($A1125),'Festive dates'!$A$2:$J$5,2,FALSE),1,0)</f>
        <v>0</v>
      </c>
      <c r="T1125" s="9">
        <f>IF($A1125=VLOOKUP(YEAR($A1125),'Festive dates'!$A$2:$J$5,3,FALSE),1,0)</f>
        <v>0</v>
      </c>
      <c r="U1125" s="9">
        <f>IF($A1125=VLOOKUP(YEAR($A1125),'Festive dates'!$A$2:$J$5,4,FALSE),1,0)</f>
        <v>0</v>
      </c>
      <c r="V1125" s="9">
        <f>IF(AND($A1125&gt;=VLOOKUP(YEAR($A1125),'Festive dates'!$A$2:$J$5,9,FALSE),$A1125&lt;=VLOOKUP(YEAR($A1125),'Festive dates'!$A$2:$J$5,10,FALSE)),1,0)</f>
        <v>0</v>
      </c>
      <c r="W1125" s="9">
        <f>IF($A1125=VLOOKUP(YEAR($A1125),'Festive dates'!$A$2:$J$5,7,FALSE),1,0)</f>
        <v>0</v>
      </c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</row>
    <row r="1126" spans="1:51">
      <c r="A1126" s="8">
        <v>46141</v>
      </c>
      <c r="B1126" s="9">
        <v>0</v>
      </c>
      <c r="C1126" s="9">
        <v>0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1</v>
      </c>
      <c r="Q1126" s="9">
        <f>MAX(-20,MIN(10,$A1126-VLOOKUP(YEAR($A1126),'Festive dates'!$A$2:$J$5,8,FALSE)))</f>
        <v>-20</v>
      </c>
      <c r="R1126" s="9">
        <f>IF(AND($A1126&gt;VLOOKUP(YEAR($A1126),'Festive dates'!$A$2:$J$5,2,FALSE),$A1126&lt;VLOOKUP(YEAR($A1126),'Festive dates'!$A$2:$J$5,3,FALSE)),1,0)</f>
        <v>0</v>
      </c>
      <c r="S1126" s="9">
        <f>IF($A1126=VLOOKUP(YEAR($A1126),'Festive dates'!$A$2:$J$5,2,FALSE),1,0)</f>
        <v>0</v>
      </c>
      <c r="T1126" s="9">
        <f>IF($A1126=VLOOKUP(YEAR($A1126),'Festive dates'!$A$2:$J$5,3,FALSE),1,0)</f>
        <v>0</v>
      </c>
      <c r="U1126" s="9">
        <f>IF($A1126=VLOOKUP(YEAR($A1126),'Festive dates'!$A$2:$J$5,4,FALSE),1,0)</f>
        <v>0</v>
      </c>
      <c r="V1126" s="9">
        <f>IF(AND($A1126&gt;=VLOOKUP(YEAR($A1126),'Festive dates'!$A$2:$J$5,9,FALSE),$A1126&lt;=VLOOKUP(YEAR($A1126),'Festive dates'!$A$2:$J$5,10,FALSE)),1,0)</f>
        <v>0</v>
      </c>
      <c r="W1126" s="9">
        <f>IF($A1126=VLOOKUP(YEAR($A1126),'Festive dates'!$A$2:$J$5,7,FALSE),1,0)</f>
        <v>0</v>
      </c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</row>
    <row r="1127" spans="1:51">
      <c r="A1127" s="8">
        <v>46142</v>
      </c>
      <c r="B1127" s="9">
        <v>0</v>
      </c>
      <c r="C1127" s="9">
        <v>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1</v>
      </c>
      <c r="Q1127" s="9">
        <f>MAX(-20,MIN(10,$A1127-VLOOKUP(YEAR($A1127),'Festive dates'!$A$2:$J$5,8,FALSE)))</f>
        <v>-20</v>
      </c>
      <c r="R1127" s="9">
        <f>IF(AND($A1127&gt;VLOOKUP(YEAR($A1127),'Festive dates'!$A$2:$J$5,2,FALSE),$A1127&lt;VLOOKUP(YEAR($A1127),'Festive dates'!$A$2:$J$5,3,FALSE)),1,0)</f>
        <v>0</v>
      </c>
      <c r="S1127" s="9">
        <f>IF($A1127=VLOOKUP(YEAR($A1127),'Festive dates'!$A$2:$J$5,2,FALSE),1,0)</f>
        <v>0</v>
      </c>
      <c r="T1127" s="9">
        <f>IF($A1127=VLOOKUP(YEAR($A1127),'Festive dates'!$A$2:$J$5,3,FALSE),1,0)</f>
        <v>0</v>
      </c>
      <c r="U1127" s="9">
        <f>IF($A1127=VLOOKUP(YEAR($A1127),'Festive dates'!$A$2:$J$5,4,FALSE),1,0)</f>
        <v>0</v>
      </c>
      <c r="V1127" s="9">
        <f>IF(AND($A1127&gt;=VLOOKUP(YEAR($A1127),'Festive dates'!$A$2:$J$5,9,FALSE),$A1127&lt;=VLOOKUP(YEAR($A1127),'Festive dates'!$A$2:$J$5,10,FALSE)),1,0)</f>
        <v>0</v>
      </c>
      <c r="W1127" s="9">
        <f>IF($A1127=VLOOKUP(YEAR($A1127),'Festive dates'!$A$2:$J$5,7,FALSE),1,0)</f>
        <v>0</v>
      </c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</row>
    <row r="1128" spans="1:51">
      <c r="A1128" s="8">
        <v>46143</v>
      </c>
      <c r="B1128" s="9">
        <v>0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1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1</v>
      </c>
      <c r="Q1128" s="9">
        <f>MAX(-20,MIN(10,$A1128-VLOOKUP(YEAR($A1128),'Festive dates'!$A$2:$J$5,8,FALSE)))</f>
        <v>-20</v>
      </c>
      <c r="R1128" s="9">
        <f>IF(AND($A1128&gt;VLOOKUP(YEAR($A1128),'Festive dates'!$A$2:$J$5,2,FALSE),$A1128&lt;VLOOKUP(YEAR($A1128),'Festive dates'!$A$2:$J$5,3,FALSE)),1,0)</f>
        <v>0</v>
      </c>
      <c r="S1128" s="9">
        <f>IF($A1128=VLOOKUP(YEAR($A1128),'Festive dates'!$A$2:$J$5,2,FALSE),1,0)</f>
        <v>0</v>
      </c>
      <c r="T1128" s="9">
        <f>IF($A1128=VLOOKUP(YEAR($A1128),'Festive dates'!$A$2:$J$5,3,FALSE),1,0)</f>
        <v>0</v>
      </c>
      <c r="U1128" s="9">
        <f>IF($A1128=VLOOKUP(YEAR($A1128),'Festive dates'!$A$2:$J$5,4,FALSE),1,0)</f>
        <v>0</v>
      </c>
      <c r="V1128" s="9">
        <f>IF(AND($A1128&gt;=VLOOKUP(YEAR($A1128),'Festive dates'!$A$2:$J$5,9,FALSE),$A1128&lt;=VLOOKUP(YEAR($A1128),'Festive dates'!$A$2:$J$5,10,FALSE)),1,0)</f>
        <v>0</v>
      </c>
      <c r="W1128" s="9">
        <f>IF($A1128=VLOOKUP(YEAR($A1128),'Festive dates'!$A$2:$J$5,7,FALSE),1,0)</f>
        <v>0</v>
      </c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</row>
    <row r="1129" spans="1:51">
      <c r="A1129" s="8">
        <v>46144</v>
      </c>
      <c r="B1129" s="9">
        <v>0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f>MAX(-20,MIN(10,$A1129-VLOOKUP(YEAR($A1129),'Festive dates'!$A$2:$J$5,8,FALSE)))</f>
        <v>-20</v>
      </c>
      <c r="R1129" s="9">
        <f>IF(AND($A1129&gt;VLOOKUP(YEAR($A1129),'Festive dates'!$A$2:$J$5,2,FALSE),$A1129&lt;VLOOKUP(YEAR($A1129),'Festive dates'!$A$2:$J$5,3,FALSE)),1,0)</f>
        <v>0</v>
      </c>
      <c r="S1129" s="9">
        <f>IF($A1129=VLOOKUP(YEAR($A1129),'Festive dates'!$A$2:$J$5,2,FALSE),1,0)</f>
        <v>0</v>
      </c>
      <c r="T1129" s="9">
        <f>IF($A1129=VLOOKUP(YEAR($A1129),'Festive dates'!$A$2:$J$5,3,FALSE),1,0)</f>
        <v>0</v>
      </c>
      <c r="U1129" s="9">
        <f>IF($A1129=VLOOKUP(YEAR($A1129),'Festive dates'!$A$2:$J$5,4,FALSE),1,0)</f>
        <v>0</v>
      </c>
      <c r="V1129" s="9">
        <f>IF(AND($A1129&gt;=VLOOKUP(YEAR($A1129),'Festive dates'!$A$2:$J$5,9,FALSE),$A1129&lt;=VLOOKUP(YEAR($A1129),'Festive dates'!$A$2:$J$5,10,FALSE)),1,0)</f>
        <v>0</v>
      </c>
      <c r="W1129" s="9">
        <f>IF($A1129=VLOOKUP(YEAR($A1129),'Festive dates'!$A$2:$J$5,7,FALSE),1,0)</f>
        <v>0</v>
      </c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</row>
    <row r="1130" spans="1:51">
      <c r="A1130" s="8">
        <v>46145</v>
      </c>
      <c r="B1130" s="9">
        <v>0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f>MAX(-20,MIN(10,$A1130-VLOOKUP(YEAR($A1130),'Festive dates'!$A$2:$J$5,8,FALSE)))</f>
        <v>-20</v>
      </c>
      <c r="R1130" s="9">
        <f>IF(AND($A1130&gt;VLOOKUP(YEAR($A1130),'Festive dates'!$A$2:$J$5,2,FALSE),$A1130&lt;VLOOKUP(YEAR($A1130),'Festive dates'!$A$2:$J$5,3,FALSE)),1,0)</f>
        <v>0</v>
      </c>
      <c r="S1130" s="9">
        <f>IF($A1130=VLOOKUP(YEAR($A1130),'Festive dates'!$A$2:$J$5,2,FALSE),1,0)</f>
        <v>0</v>
      </c>
      <c r="T1130" s="9">
        <f>IF($A1130=VLOOKUP(YEAR($A1130),'Festive dates'!$A$2:$J$5,3,FALSE),1,0)</f>
        <v>0</v>
      </c>
      <c r="U1130" s="9">
        <f>IF($A1130=VLOOKUP(YEAR($A1130),'Festive dates'!$A$2:$J$5,4,FALSE),1,0)</f>
        <v>0</v>
      </c>
      <c r="V1130" s="9">
        <f>IF(AND($A1130&gt;=VLOOKUP(YEAR($A1130),'Festive dates'!$A$2:$J$5,9,FALSE),$A1130&lt;=VLOOKUP(YEAR($A1130),'Festive dates'!$A$2:$J$5,10,FALSE)),1,0)</f>
        <v>0</v>
      </c>
      <c r="W1130" s="9">
        <f>IF($A1130=VLOOKUP(YEAR($A1130),'Festive dates'!$A$2:$J$5,7,FALSE),1,0)</f>
        <v>0</v>
      </c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</row>
    <row r="1131" spans="1:51">
      <c r="A1131" s="8">
        <v>46146</v>
      </c>
      <c r="B1131" s="9">
        <v>0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f>MAX(-20,MIN(10,$A1131-VLOOKUP(YEAR($A1131),'Festive dates'!$A$2:$J$5,8,FALSE)))</f>
        <v>-20</v>
      </c>
      <c r="R1131" s="9">
        <f>IF(AND($A1131&gt;VLOOKUP(YEAR($A1131),'Festive dates'!$A$2:$J$5,2,FALSE),$A1131&lt;VLOOKUP(YEAR($A1131),'Festive dates'!$A$2:$J$5,3,FALSE)),1,0)</f>
        <v>0</v>
      </c>
      <c r="S1131" s="9">
        <f>IF($A1131=VLOOKUP(YEAR($A1131),'Festive dates'!$A$2:$J$5,2,FALSE),1,0)</f>
        <v>0</v>
      </c>
      <c r="T1131" s="9">
        <f>IF($A1131=VLOOKUP(YEAR($A1131),'Festive dates'!$A$2:$J$5,3,FALSE),1,0)</f>
        <v>0</v>
      </c>
      <c r="U1131" s="9">
        <f>IF($A1131=VLOOKUP(YEAR($A1131),'Festive dates'!$A$2:$J$5,4,FALSE),1,0)</f>
        <v>0</v>
      </c>
      <c r="V1131" s="9">
        <f>IF(AND($A1131&gt;=VLOOKUP(YEAR($A1131),'Festive dates'!$A$2:$J$5,9,FALSE),$A1131&lt;=VLOOKUP(YEAR($A1131),'Festive dates'!$A$2:$J$5,10,FALSE)),1,0)</f>
        <v>0</v>
      </c>
      <c r="W1131" s="9">
        <f>IF($A1131=VLOOKUP(YEAR($A1131),'Festive dates'!$A$2:$J$5,7,FALSE),1,0)</f>
        <v>0</v>
      </c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</row>
    <row r="1132" spans="1:51">
      <c r="A1132" s="8">
        <v>46147</v>
      </c>
      <c r="B1132" s="9">
        <v>0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f>MAX(-20,MIN(10,$A1132-VLOOKUP(YEAR($A1132),'Festive dates'!$A$2:$J$5,8,FALSE)))</f>
        <v>-20</v>
      </c>
      <c r="R1132" s="9">
        <f>IF(AND($A1132&gt;VLOOKUP(YEAR($A1132),'Festive dates'!$A$2:$J$5,2,FALSE),$A1132&lt;VLOOKUP(YEAR($A1132),'Festive dates'!$A$2:$J$5,3,FALSE)),1,0)</f>
        <v>0</v>
      </c>
      <c r="S1132" s="9">
        <f>IF($A1132=VLOOKUP(YEAR($A1132),'Festive dates'!$A$2:$J$5,2,FALSE),1,0)</f>
        <v>0</v>
      </c>
      <c r="T1132" s="9">
        <f>IF($A1132=VLOOKUP(YEAR($A1132),'Festive dates'!$A$2:$J$5,3,FALSE),1,0)</f>
        <v>0</v>
      </c>
      <c r="U1132" s="9">
        <f>IF($A1132=VLOOKUP(YEAR($A1132),'Festive dates'!$A$2:$J$5,4,FALSE),1,0)</f>
        <v>0</v>
      </c>
      <c r="V1132" s="9">
        <f>IF(AND($A1132&gt;=VLOOKUP(YEAR($A1132),'Festive dates'!$A$2:$J$5,9,FALSE),$A1132&lt;=VLOOKUP(YEAR($A1132),'Festive dates'!$A$2:$J$5,10,FALSE)),1,0)</f>
        <v>0</v>
      </c>
      <c r="W1132" s="9">
        <f>IF($A1132=VLOOKUP(YEAR($A1132),'Festive dates'!$A$2:$J$5,7,FALSE),1,0)</f>
        <v>0</v>
      </c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</row>
    <row r="1133" spans="1:51">
      <c r="A1133" s="8">
        <v>46148</v>
      </c>
      <c r="B1133" s="9">
        <v>0</v>
      </c>
      <c r="C1133" s="9">
        <v>0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1</v>
      </c>
      <c r="Q1133" s="9">
        <f>MAX(-20,MIN(10,$A1133-VLOOKUP(YEAR($A1133),'Festive dates'!$A$2:$J$5,8,FALSE)))</f>
        <v>-20</v>
      </c>
      <c r="R1133" s="9">
        <f>IF(AND($A1133&gt;VLOOKUP(YEAR($A1133),'Festive dates'!$A$2:$J$5,2,FALSE),$A1133&lt;VLOOKUP(YEAR($A1133),'Festive dates'!$A$2:$J$5,3,FALSE)),1,0)</f>
        <v>0</v>
      </c>
      <c r="S1133" s="9">
        <f>IF($A1133=VLOOKUP(YEAR($A1133),'Festive dates'!$A$2:$J$5,2,FALSE),1,0)</f>
        <v>0</v>
      </c>
      <c r="T1133" s="9">
        <f>IF($A1133=VLOOKUP(YEAR($A1133),'Festive dates'!$A$2:$J$5,3,FALSE),1,0)</f>
        <v>0</v>
      </c>
      <c r="U1133" s="9">
        <f>IF($A1133=VLOOKUP(YEAR($A1133),'Festive dates'!$A$2:$J$5,4,FALSE),1,0)</f>
        <v>0</v>
      </c>
      <c r="V1133" s="9">
        <f>IF(AND($A1133&gt;=VLOOKUP(YEAR($A1133),'Festive dates'!$A$2:$J$5,9,FALSE),$A1133&lt;=VLOOKUP(YEAR($A1133),'Festive dates'!$A$2:$J$5,10,FALSE)),1,0)</f>
        <v>0</v>
      </c>
      <c r="W1133" s="9">
        <f>IF($A1133=VLOOKUP(YEAR($A1133),'Festive dates'!$A$2:$J$5,7,FALSE),1,0)</f>
        <v>0</v>
      </c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</row>
    <row r="1134" spans="1:51">
      <c r="A1134" s="8">
        <v>46149</v>
      </c>
      <c r="B1134" s="9">
        <v>0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1</v>
      </c>
      <c r="Q1134" s="9">
        <f>MAX(-20,MIN(10,$A1134-VLOOKUP(YEAR($A1134),'Festive dates'!$A$2:$J$5,8,FALSE)))</f>
        <v>-20</v>
      </c>
      <c r="R1134" s="9">
        <f>IF(AND($A1134&gt;VLOOKUP(YEAR($A1134),'Festive dates'!$A$2:$J$5,2,FALSE),$A1134&lt;VLOOKUP(YEAR($A1134),'Festive dates'!$A$2:$J$5,3,FALSE)),1,0)</f>
        <v>0</v>
      </c>
      <c r="S1134" s="9">
        <f>IF($A1134=VLOOKUP(YEAR($A1134),'Festive dates'!$A$2:$J$5,2,FALSE),1,0)</f>
        <v>0</v>
      </c>
      <c r="T1134" s="9">
        <f>IF($A1134=VLOOKUP(YEAR($A1134),'Festive dates'!$A$2:$J$5,3,FALSE),1,0)</f>
        <v>0</v>
      </c>
      <c r="U1134" s="9">
        <f>IF($A1134=VLOOKUP(YEAR($A1134),'Festive dates'!$A$2:$J$5,4,FALSE),1,0)</f>
        <v>0</v>
      </c>
      <c r="V1134" s="9">
        <f>IF(AND($A1134&gt;=VLOOKUP(YEAR($A1134),'Festive dates'!$A$2:$J$5,9,FALSE),$A1134&lt;=VLOOKUP(YEAR($A1134),'Festive dates'!$A$2:$J$5,10,FALSE)),1,0)</f>
        <v>0</v>
      </c>
      <c r="W1134" s="9">
        <f>IF($A1134=VLOOKUP(YEAR($A1134),'Festive dates'!$A$2:$J$5,7,FALSE),1,0)</f>
        <v>0</v>
      </c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</row>
    <row r="1135" spans="1:51">
      <c r="A1135" s="8">
        <v>46150</v>
      </c>
      <c r="B1135" s="9">
        <v>0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f>MAX(-20,MIN(10,$A1135-VLOOKUP(YEAR($A1135),'Festive dates'!$A$2:$J$5,8,FALSE)))</f>
        <v>-20</v>
      </c>
      <c r="R1135" s="9">
        <f>IF(AND($A1135&gt;VLOOKUP(YEAR($A1135),'Festive dates'!$A$2:$J$5,2,FALSE),$A1135&lt;VLOOKUP(YEAR($A1135),'Festive dates'!$A$2:$J$5,3,FALSE)),1,0)</f>
        <v>0</v>
      </c>
      <c r="S1135" s="9">
        <f>IF($A1135=VLOOKUP(YEAR($A1135),'Festive dates'!$A$2:$J$5,2,FALSE),1,0)</f>
        <v>0</v>
      </c>
      <c r="T1135" s="9">
        <f>IF($A1135=VLOOKUP(YEAR($A1135),'Festive dates'!$A$2:$J$5,3,FALSE),1,0)</f>
        <v>0</v>
      </c>
      <c r="U1135" s="9">
        <f>IF($A1135=VLOOKUP(YEAR($A1135),'Festive dates'!$A$2:$J$5,4,FALSE),1,0)</f>
        <v>0</v>
      </c>
      <c r="V1135" s="9">
        <f>IF(AND($A1135&gt;=VLOOKUP(YEAR($A1135),'Festive dates'!$A$2:$J$5,9,FALSE),$A1135&lt;=VLOOKUP(YEAR($A1135),'Festive dates'!$A$2:$J$5,10,FALSE)),1,0)</f>
        <v>0</v>
      </c>
      <c r="W1135" s="9">
        <f>IF($A1135=VLOOKUP(YEAR($A1135),'Festive dates'!$A$2:$J$5,7,FALSE),1,0)</f>
        <v>0</v>
      </c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</row>
    <row r="1136" spans="1:51">
      <c r="A1136" s="8">
        <v>46151</v>
      </c>
      <c r="B1136" s="9">
        <v>0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f>MAX(-20,MIN(10,$A1136-VLOOKUP(YEAR($A1136),'Festive dates'!$A$2:$J$5,8,FALSE)))</f>
        <v>-20</v>
      </c>
      <c r="R1136" s="9">
        <f>IF(AND($A1136&gt;VLOOKUP(YEAR($A1136),'Festive dates'!$A$2:$J$5,2,FALSE),$A1136&lt;VLOOKUP(YEAR($A1136),'Festive dates'!$A$2:$J$5,3,FALSE)),1,0)</f>
        <v>0</v>
      </c>
      <c r="S1136" s="9">
        <f>IF($A1136=VLOOKUP(YEAR($A1136),'Festive dates'!$A$2:$J$5,2,FALSE),1,0)</f>
        <v>0</v>
      </c>
      <c r="T1136" s="9">
        <f>IF($A1136=VLOOKUP(YEAR($A1136),'Festive dates'!$A$2:$J$5,3,FALSE),1,0)</f>
        <v>0</v>
      </c>
      <c r="U1136" s="9">
        <f>IF($A1136=VLOOKUP(YEAR($A1136),'Festive dates'!$A$2:$J$5,4,FALSE),1,0)</f>
        <v>0</v>
      </c>
      <c r="V1136" s="9">
        <f>IF(AND($A1136&gt;=VLOOKUP(YEAR($A1136),'Festive dates'!$A$2:$J$5,9,FALSE),$A1136&lt;=VLOOKUP(YEAR($A1136),'Festive dates'!$A$2:$J$5,10,FALSE)),1,0)</f>
        <v>0</v>
      </c>
      <c r="W1136" s="9">
        <f>IF($A1136=VLOOKUP(YEAR($A1136),'Festive dates'!$A$2:$J$5,7,FALSE),1,0)</f>
        <v>0</v>
      </c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</row>
    <row r="1137" spans="1:51">
      <c r="A1137" s="8">
        <v>46152</v>
      </c>
      <c r="B1137" s="9">
        <v>0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f>MAX(-20,MIN(10,$A1137-VLOOKUP(YEAR($A1137),'Festive dates'!$A$2:$J$5,8,FALSE)))</f>
        <v>-20</v>
      </c>
      <c r="R1137" s="9">
        <f>IF(AND($A1137&gt;VLOOKUP(YEAR($A1137),'Festive dates'!$A$2:$J$5,2,FALSE),$A1137&lt;VLOOKUP(YEAR($A1137),'Festive dates'!$A$2:$J$5,3,FALSE)),1,0)</f>
        <v>0</v>
      </c>
      <c r="S1137" s="9">
        <f>IF($A1137=VLOOKUP(YEAR($A1137),'Festive dates'!$A$2:$J$5,2,FALSE),1,0)</f>
        <v>0</v>
      </c>
      <c r="T1137" s="9">
        <f>IF($A1137=VLOOKUP(YEAR($A1137),'Festive dates'!$A$2:$J$5,3,FALSE),1,0)</f>
        <v>0</v>
      </c>
      <c r="U1137" s="9">
        <f>IF($A1137=VLOOKUP(YEAR($A1137),'Festive dates'!$A$2:$J$5,4,FALSE),1,0)</f>
        <v>0</v>
      </c>
      <c r="V1137" s="9">
        <f>IF(AND($A1137&gt;=VLOOKUP(YEAR($A1137),'Festive dates'!$A$2:$J$5,9,FALSE),$A1137&lt;=VLOOKUP(YEAR($A1137),'Festive dates'!$A$2:$J$5,10,FALSE)),1,0)</f>
        <v>0</v>
      </c>
      <c r="W1137" s="9">
        <f>IF($A1137=VLOOKUP(YEAR($A1137),'Festive dates'!$A$2:$J$5,7,FALSE),1,0)</f>
        <v>0</v>
      </c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</row>
    <row r="1138" spans="1:51">
      <c r="A1138" s="8">
        <v>46153</v>
      </c>
      <c r="B1138" s="9">
        <v>0</v>
      </c>
      <c r="C1138" s="9">
        <v>0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f>MAX(-20,MIN(10,$A1138-VLOOKUP(YEAR($A1138),'Festive dates'!$A$2:$J$5,8,FALSE)))</f>
        <v>-20</v>
      </c>
      <c r="R1138" s="9">
        <f>IF(AND($A1138&gt;VLOOKUP(YEAR($A1138),'Festive dates'!$A$2:$J$5,2,FALSE),$A1138&lt;VLOOKUP(YEAR($A1138),'Festive dates'!$A$2:$J$5,3,FALSE)),1,0)</f>
        <v>0</v>
      </c>
      <c r="S1138" s="9">
        <f>IF($A1138=VLOOKUP(YEAR($A1138),'Festive dates'!$A$2:$J$5,2,FALSE),1,0)</f>
        <v>0</v>
      </c>
      <c r="T1138" s="9">
        <f>IF($A1138=VLOOKUP(YEAR($A1138),'Festive dates'!$A$2:$J$5,3,FALSE),1,0)</f>
        <v>0</v>
      </c>
      <c r="U1138" s="9">
        <f>IF($A1138=VLOOKUP(YEAR($A1138),'Festive dates'!$A$2:$J$5,4,FALSE),1,0)</f>
        <v>0</v>
      </c>
      <c r="V1138" s="9">
        <f>IF(AND($A1138&gt;=VLOOKUP(YEAR($A1138),'Festive dates'!$A$2:$J$5,9,FALSE),$A1138&lt;=VLOOKUP(YEAR($A1138),'Festive dates'!$A$2:$J$5,10,FALSE)),1,0)</f>
        <v>0</v>
      </c>
      <c r="W1138" s="9">
        <f>IF($A1138=VLOOKUP(YEAR($A1138),'Festive dates'!$A$2:$J$5,7,FALSE),1,0)</f>
        <v>0</v>
      </c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</row>
    <row r="1139" spans="1:51">
      <c r="A1139" s="8">
        <v>46154</v>
      </c>
      <c r="B1139" s="9">
        <v>0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f>MAX(-20,MIN(10,$A1139-VLOOKUP(YEAR($A1139),'Festive dates'!$A$2:$J$5,8,FALSE)))</f>
        <v>-20</v>
      </c>
      <c r="R1139" s="9">
        <f>IF(AND($A1139&gt;VLOOKUP(YEAR($A1139),'Festive dates'!$A$2:$J$5,2,FALSE),$A1139&lt;VLOOKUP(YEAR($A1139),'Festive dates'!$A$2:$J$5,3,FALSE)),1,0)</f>
        <v>0</v>
      </c>
      <c r="S1139" s="9">
        <f>IF($A1139=VLOOKUP(YEAR($A1139),'Festive dates'!$A$2:$J$5,2,FALSE),1,0)</f>
        <v>0</v>
      </c>
      <c r="T1139" s="9">
        <f>IF($A1139=VLOOKUP(YEAR($A1139),'Festive dates'!$A$2:$J$5,3,FALSE),1,0)</f>
        <v>0</v>
      </c>
      <c r="U1139" s="9">
        <f>IF($A1139=VLOOKUP(YEAR($A1139),'Festive dates'!$A$2:$J$5,4,FALSE),1,0)</f>
        <v>0</v>
      </c>
      <c r="V1139" s="9">
        <f>IF(AND($A1139&gt;=VLOOKUP(YEAR($A1139),'Festive dates'!$A$2:$J$5,9,FALSE),$A1139&lt;=VLOOKUP(YEAR($A1139),'Festive dates'!$A$2:$J$5,10,FALSE)),1,0)</f>
        <v>0</v>
      </c>
      <c r="W1139" s="9">
        <f>IF($A1139=VLOOKUP(YEAR($A1139),'Festive dates'!$A$2:$J$5,7,FALSE),1,0)</f>
        <v>0</v>
      </c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</row>
    <row r="1140" spans="1:51">
      <c r="A1140" s="8">
        <v>46155</v>
      </c>
      <c r="B1140" s="9">
        <v>0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f>MAX(-20,MIN(10,$A1140-VLOOKUP(YEAR($A1140),'Festive dates'!$A$2:$J$5,8,FALSE)))</f>
        <v>-20</v>
      </c>
      <c r="R1140" s="9">
        <f>IF(AND($A1140&gt;VLOOKUP(YEAR($A1140),'Festive dates'!$A$2:$J$5,2,FALSE),$A1140&lt;VLOOKUP(YEAR($A1140),'Festive dates'!$A$2:$J$5,3,FALSE)),1,0)</f>
        <v>0</v>
      </c>
      <c r="S1140" s="9">
        <f>IF($A1140=VLOOKUP(YEAR($A1140),'Festive dates'!$A$2:$J$5,2,FALSE),1,0)</f>
        <v>0</v>
      </c>
      <c r="T1140" s="9">
        <f>IF($A1140=VLOOKUP(YEAR($A1140),'Festive dates'!$A$2:$J$5,3,FALSE),1,0)</f>
        <v>0</v>
      </c>
      <c r="U1140" s="9">
        <f>IF($A1140=VLOOKUP(YEAR($A1140),'Festive dates'!$A$2:$J$5,4,FALSE),1,0)</f>
        <v>0</v>
      </c>
      <c r="V1140" s="9">
        <f>IF(AND($A1140&gt;=VLOOKUP(YEAR($A1140),'Festive dates'!$A$2:$J$5,9,FALSE),$A1140&lt;=VLOOKUP(YEAR($A1140),'Festive dates'!$A$2:$J$5,10,FALSE)),1,0)</f>
        <v>0</v>
      </c>
      <c r="W1140" s="9">
        <f>IF($A1140=VLOOKUP(YEAR($A1140),'Festive dates'!$A$2:$J$5,7,FALSE),1,0)</f>
        <v>0</v>
      </c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</row>
    <row r="1141" spans="1:51">
      <c r="A1141" s="8">
        <v>46156</v>
      </c>
      <c r="B1141" s="9">
        <v>0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f>MAX(-20,MIN(10,$A1141-VLOOKUP(YEAR($A1141),'Festive dates'!$A$2:$J$5,8,FALSE)))</f>
        <v>-20</v>
      </c>
      <c r="R1141" s="9">
        <f>IF(AND($A1141&gt;VLOOKUP(YEAR($A1141),'Festive dates'!$A$2:$J$5,2,FALSE),$A1141&lt;VLOOKUP(YEAR($A1141),'Festive dates'!$A$2:$J$5,3,FALSE)),1,0)</f>
        <v>0</v>
      </c>
      <c r="S1141" s="9">
        <f>IF($A1141=VLOOKUP(YEAR($A1141),'Festive dates'!$A$2:$J$5,2,FALSE),1,0)</f>
        <v>0</v>
      </c>
      <c r="T1141" s="9">
        <f>IF($A1141=VLOOKUP(YEAR($A1141),'Festive dates'!$A$2:$J$5,3,FALSE),1,0)</f>
        <v>0</v>
      </c>
      <c r="U1141" s="9">
        <f>IF($A1141=VLOOKUP(YEAR($A1141),'Festive dates'!$A$2:$J$5,4,FALSE),1,0)</f>
        <v>0</v>
      </c>
      <c r="V1141" s="9">
        <f>IF(AND($A1141&gt;=VLOOKUP(YEAR($A1141),'Festive dates'!$A$2:$J$5,9,FALSE),$A1141&lt;=VLOOKUP(YEAR($A1141),'Festive dates'!$A$2:$J$5,10,FALSE)),1,0)</f>
        <v>0</v>
      </c>
      <c r="W1141" s="9">
        <f>IF($A1141=VLOOKUP(YEAR($A1141),'Festive dates'!$A$2:$J$5,7,FALSE),1,0)</f>
        <v>0</v>
      </c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</row>
    <row r="1142" spans="1:51">
      <c r="A1142" s="8">
        <v>46157</v>
      </c>
      <c r="B1142" s="9">
        <v>0</v>
      </c>
      <c r="C1142" s="9">
        <v>0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f>MAX(-20,MIN(10,$A1142-VLOOKUP(YEAR($A1142),'Festive dates'!$A$2:$J$5,8,FALSE)))</f>
        <v>-20</v>
      </c>
      <c r="R1142" s="9">
        <f>IF(AND($A1142&gt;VLOOKUP(YEAR($A1142),'Festive dates'!$A$2:$J$5,2,FALSE),$A1142&lt;VLOOKUP(YEAR($A1142),'Festive dates'!$A$2:$J$5,3,FALSE)),1,0)</f>
        <v>0</v>
      </c>
      <c r="S1142" s="9">
        <f>IF($A1142=VLOOKUP(YEAR($A1142),'Festive dates'!$A$2:$J$5,2,FALSE),1,0)</f>
        <v>0</v>
      </c>
      <c r="T1142" s="9">
        <f>IF($A1142=VLOOKUP(YEAR($A1142),'Festive dates'!$A$2:$J$5,3,FALSE),1,0)</f>
        <v>0</v>
      </c>
      <c r="U1142" s="9">
        <f>IF($A1142=VLOOKUP(YEAR($A1142),'Festive dates'!$A$2:$J$5,4,FALSE),1,0)</f>
        <v>0</v>
      </c>
      <c r="V1142" s="9">
        <f>IF(AND($A1142&gt;=VLOOKUP(YEAR($A1142),'Festive dates'!$A$2:$J$5,9,FALSE),$A1142&lt;=VLOOKUP(YEAR($A1142),'Festive dates'!$A$2:$J$5,10,FALSE)),1,0)</f>
        <v>0</v>
      </c>
      <c r="W1142" s="9">
        <f>IF($A1142=VLOOKUP(YEAR($A1142),'Festive dates'!$A$2:$J$5,7,FALSE),1,0)</f>
        <v>0</v>
      </c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</row>
    <row r="1143" spans="1:51">
      <c r="A1143" s="8">
        <v>46158</v>
      </c>
      <c r="B1143" s="9">
        <v>0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f>MAX(-20,MIN(10,$A1143-VLOOKUP(YEAR($A1143),'Festive dates'!$A$2:$J$5,8,FALSE)))</f>
        <v>-20</v>
      </c>
      <c r="R1143" s="9">
        <f>IF(AND($A1143&gt;VLOOKUP(YEAR($A1143),'Festive dates'!$A$2:$J$5,2,FALSE),$A1143&lt;VLOOKUP(YEAR($A1143),'Festive dates'!$A$2:$J$5,3,FALSE)),1,0)</f>
        <v>0</v>
      </c>
      <c r="S1143" s="9">
        <f>IF($A1143=VLOOKUP(YEAR($A1143),'Festive dates'!$A$2:$J$5,2,FALSE),1,0)</f>
        <v>0</v>
      </c>
      <c r="T1143" s="9">
        <f>IF($A1143=VLOOKUP(YEAR($A1143),'Festive dates'!$A$2:$J$5,3,FALSE),1,0)</f>
        <v>0</v>
      </c>
      <c r="U1143" s="9">
        <f>IF($A1143=VLOOKUP(YEAR($A1143),'Festive dates'!$A$2:$J$5,4,FALSE),1,0)</f>
        <v>0</v>
      </c>
      <c r="V1143" s="9">
        <f>IF(AND($A1143&gt;=VLOOKUP(YEAR($A1143),'Festive dates'!$A$2:$J$5,9,FALSE),$A1143&lt;=VLOOKUP(YEAR($A1143),'Festive dates'!$A$2:$J$5,10,FALSE)),1,0)</f>
        <v>0</v>
      </c>
      <c r="W1143" s="9">
        <f>IF($A1143=VLOOKUP(YEAR($A1143),'Festive dates'!$A$2:$J$5,7,FALSE),1,0)</f>
        <v>0</v>
      </c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</row>
    <row r="1144" spans="1:51">
      <c r="A1144" s="8">
        <v>46159</v>
      </c>
      <c r="B1144" s="9">
        <v>0</v>
      </c>
      <c r="C1144" s="9">
        <v>0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f>MAX(-20,MIN(10,$A1144-VLOOKUP(YEAR($A1144),'Festive dates'!$A$2:$J$5,8,FALSE)))</f>
        <v>-20</v>
      </c>
      <c r="R1144" s="9">
        <f>IF(AND($A1144&gt;VLOOKUP(YEAR($A1144),'Festive dates'!$A$2:$J$5,2,FALSE),$A1144&lt;VLOOKUP(YEAR($A1144),'Festive dates'!$A$2:$J$5,3,FALSE)),1,0)</f>
        <v>0</v>
      </c>
      <c r="S1144" s="9">
        <f>IF($A1144=VLOOKUP(YEAR($A1144),'Festive dates'!$A$2:$J$5,2,FALSE),1,0)</f>
        <v>0</v>
      </c>
      <c r="T1144" s="9">
        <f>IF($A1144=VLOOKUP(YEAR($A1144),'Festive dates'!$A$2:$J$5,3,FALSE),1,0)</f>
        <v>0</v>
      </c>
      <c r="U1144" s="9">
        <f>IF($A1144=VLOOKUP(YEAR($A1144),'Festive dates'!$A$2:$J$5,4,FALSE),1,0)</f>
        <v>0</v>
      </c>
      <c r="V1144" s="9">
        <f>IF(AND($A1144&gt;=VLOOKUP(YEAR($A1144),'Festive dates'!$A$2:$J$5,9,FALSE),$A1144&lt;=VLOOKUP(YEAR($A1144),'Festive dates'!$A$2:$J$5,10,FALSE)),1,0)</f>
        <v>0</v>
      </c>
      <c r="W1144" s="9">
        <f>IF($A1144=VLOOKUP(YEAR($A1144),'Festive dates'!$A$2:$J$5,7,FALSE),1,0)</f>
        <v>0</v>
      </c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</row>
    <row r="1145" spans="1:51">
      <c r="A1145" s="8">
        <v>46160</v>
      </c>
      <c r="B1145" s="9">
        <v>0</v>
      </c>
      <c r="C1145" s="9">
        <v>0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f>MAX(-20,MIN(10,$A1145-VLOOKUP(YEAR($A1145),'Festive dates'!$A$2:$J$5,8,FALSE)))</f>
        <v>-20</v>
      </c>
      <c r="R1145" s="9">
        <f>IF(AND($A1145&gt;VLOOKUP(YEAR($A1145),'Festive dates'!$A$2:$J$5,2,FALSE),$A1145&lt;VLOOKUP(YEAR($A1145),'Festive dates'!$A$2:$J$5,3,FALSE)),1,0)</f>
        <v>0</v>
      </c>
      <c r="S1145" s="9">
        <f>IF($A1145=VLOOKUP(YEAR($A1145),'Festive dates'!$A$2:$J$5,2,FALSE),1,0)</f>
        <v>0</v>
      </c>
      <c r="T1145" s="9">
        <f>IF($A1145=VLOOKUP(YEAR($A1145),'Festive dates'!$A$2:$J$5,3,FALSE),1,0)</f>
        <v>0</v>
      </c>
      <c r="U1145" s="9">
        <f>IF($A1145=VLOOKUP(YEAR($A1145),'Festive dates'!$A$2:$J$5,4,FALSE),1,0)</f>
        <v>0</v>
      </c>
      <c r="V1145" s="9">
        <f>IF(AND($A1145&gt;=VLOOKUP(YEAR($A1145),'Festive dates'!$A$2:$J$5,9,FALSE),$A1145&lt;=VLOOKUP(YEAR($A1145),'Festive dates'!$A$2:$J$5,10,FALSE)),1,0)</f>
        <v>0</v>
      </c>
      <c r="W1145" s="9">
        <f>IF($A1145=VLOOKUP(YEAR($A1145),'Festive dates'!$A$2:$J$5,7,FALSE),1,0)</f>
        <v>0</v>
      </c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</row>
    <row r="1146" spans="1:51">
      <c r="A1146" s="8">
        <v>46161</v>
      </c>
      <c r="B1146" s="9">
        <v>0</v>
      </c>
      <c r="C1146" s="9">
        <v>0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f>MAX(-20,MIN(10,$A1146-VLOOKUP(YEAR($A1146),'Festive dates'!$A$2:$J$5,8,FALSE)))</f>
        <v>-20</v>
      </c>
      <c r="R1146" s="9">
        <f>IF(AND($A1146&gt;VLOOKUP(YEAR($A1146),'Festive dates'!$A$2:$J$5,2,FALSE),$A1146&lt;VLOOKUP(YEAR($A1146),'Festive dates'!$A$2:$J$5,3,FALSE)),1,0)</f>
        <v>0</v>
      </c>
      <c r="S1146" s="9">
        <f>IF($A1146=VLOOKUP(YEAR($A1146),'Festive dates'!$A$2:$J$5,2,FALSE),1,0)</f>
        <v>0</v>
      </c>
      <c r="T1146" s="9">
        <f>IF($A1146=VLOOKUP(YEAR($A1146),'Festive dates'!$A$2:$J$5,3,FALSE),1,0)</f>
        <v>0</v>
      </c>
      <c r="U1146" s="9">
        <f>IF($A1146=VLOOKUP(YEAR($A1146),'Festive dates'!$A$2:$J$5,4,FALSE),1,0)</f>
        <v>0</v>
      </c>
      <c r="V1146" s="9">
        <f>IF(AND($A1146&gt;=VLOOKUP(YEAR($A1146),'Festive dates'!$A$2:$J$5,9,FALSE),$A1146&lt;=VLOOKUP(YEAR($A1146),'Festive dates'!$A$2:$J$5,10,FALSE)),1,0)</f>
        <v>0</v>
      </c>
      <c r="W1146" s="9">
        <f>IF($A1146=VLOOKUP(YEAR($A1146),'Festive dates'!$A$2:$J$5,7,FALSE),1,0)</f>
        <v>0</v>
      </c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</row>
    <row r="1147" spans="1:51">
      <c r="A1147" s="8">
        <v>46162</v>
      </c>
      <c r="B1147" s="9">
        <v>0</v>
      </c>
      <c r="C1147" s="9">
        <v>0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f>MAX(-20,MIN(10,$A1147-VLOOKUP(YEAR($A1147),'Festive dates'!$A$2:$J$5,8,FALSE)))</f>
        <v>-20</v>
      </c>
      <c r="R1147" s="9">
        <f>IF(AND($A1147&gt;VLOOKUP(YEAR($A1147),'Festive dates'!$A$2:$J$5,2,FALSE),$A1147&lt;VLOOKUP(YEAR($A1147),'Festive dates'!$A$2:$J$5,3,FALSE)),1,0)</f>
        <v>0</v>
      </c>
      <c r="S1147" s="9">
        <f>IF($A1147=VLOOKUP(YEAR($A1147),'Festive dates'!$A$2:$J$5,2,FALSE),1,0)</f>
        <v>0</v>
      </c>
      <c r="T1147" s="9">
        <f>IF($A1147=VLOOKUP(YEAR($A1147),'Festive dates'!$A$2:$J$5,3,FALSE),1,0)</f>
        <v>0</v>
      </c>
      <c r="U1147" s="9">
        <f>IF($A1147=VLOOKUP(YEAR($A1147),'Festive dates'!$A$2:$J$5,4,FALSE),1,0)</f>
        <v>0</v>
      </c>
      <c r="V1147" s="9">
        <f>IF(AND($A1147&gt;=VLOOKUP(YEAR($A1147),'Festive dates'!$A$2:$J$5,9,FALSE),$A1147&lt;=VLOOKUP(YEAR($A1147),'Festive dates'!$A$2:$J$5,10,FALSE)),1,0)</f>
        <v>0</v>
      </c>
      <c r="W1147" s="9">
        <f>IF($A1147=VLOOKUP(YEAR($A1147),'Festive dates'!$A$2:$J$5,7,FALSE),1,0)</f>
        <v>0</v>
      </c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</row>
    <row r="1148" spans="1:51">
      <c r="A1148" s="8">
        <v>46163</v>
      </c>
      <c r="B1148" s="9">
        <v>0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f>MAX(-20,MIN(10,$A1148-VLOOKUP(YEAR($A1148),'Festive dates'!$A$2:$J$5,8,FALSE)))</f>
        <v>-20</v>
      </c>
      <c r="R1148" s="9">
        <f>IF(AND($A1148&gt;VLOOKUP(YEAR($A1148),'Festive dates'!$A$2:$J$5,2,FALSE),$A1148&lt;VLOOKUP(YEAR($A1148),'Festive dates'!$A$2:$J$5,3,FALSE)),1,0)</f>
        <v>0</v>
      </c>
      <c r="S1148" s="9">
        <f>IF($A1148=VLOOKUP(YEAR($A1148),'Festive dates'!$A$2:$J$5,2,FALSE),1,0)</f>
        <v>0</v>
      </c>
      <c r="T1148" s="9">
        <f>IF($A1148=VLOOKUP(YEAR($A1148),'Festive dates'!$A$2:$J$5,3,FALSE),1,0)</f>
        <v>0</v>
      </c>
      <c r="U1148" s="9">
        <f>IF($A1148=VLOOKUP(YEAR($A1148),'Festive dates'!$A$2:$J$5,4,FALSE),1,0)</f>
        <v>0</v>
      </c>
      <c r="V1148" s="9">
        <f>IF(AND($A1148&gt;=VLOOKUP(YEAR($A1148),'Festive dates'!$A$2:$J$5,9,FALSE),$A1148&lt;=VLOOKUP(YEAR($A1148),'Festive dates'!$A$2:$J$5,10,FALSE)),1,0)</f>
        <v>0</v>
      </c>
      <c r="W1148" s="9">
        <f>IF($A1148=VLOOKUP(YEAR($A1148),'Festive dates'!$A$2:$J$5,7,FALSE),1,0)</f>
        <v>0</v>
      </c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</row>
    <row r="1149" spans="1:51">
      <c r="A1149" s="8">
        <v>46164</v>
      </c>
      <c r="B1149" s="9">
        <v>0</v>
      </c>
      <c r="C1149" s="9">
        <v>0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f>MAX(-20,MIN(10,$A1149-VLOOKUP(YEAR($A1149),'Festive dates'!$A$2:$J$5,8,FALSE)))</f>
        <v>-20</v>
      </c>
      <c r="R1149" s="9">
        <f>IF(AND($A1149&gt;VLOOKUP(YEAR($A1149),'Festive dates'!$A$2:$J$5,2,FALSE),$A1149&lt;VLOOKUP(YEAR($A1149),'Festive dates'!$A$2:$J$5,3,FALSE)),1,0)</f>
        <v>0</v>
      </c>
      <c r="S1149" s="9">
        <f>IF($A1149=VLOOKUP(YEAR($A1149),'Festive dates'!$A$2:$J$5,2,FALSE),1,0)</f>
        <v>0</v>
      </c>
      <c r="T1149" s="9">
        <f>IF($A1149=VLOOKUP(YEAR($A1149),'Festive dates'!$A$2:$J$5,3,FALSE),1,0)</f>
        <v>0</v>
      </c>
      <c r="U1149" s="9">
        <f>IF($A1149=VLOOKUP(YEAR($A1149),'Festive dates'!$A$2:$J$5,4,FALSE),1,0)</f>
        <v>0</v>
      </c>
      <c r="V1149" s="9">
        <f>IF(AND($A1149&gt;=VLOOKUP(YEAR($A1149),'Festive dates'!$A$2:$J$5,9,FALSE),$A1149&lt;=VLOOKUP(YEAR($A1149),'Festive dates'!$A$2:$J$5,10,FALSE)),1,0)</f>
        <v>0</v>
      </c>
      <c r="W1149" s="9">
        <f>IF($A1149=VLOOKUP(YEAR($A1149),'Festive dates'!$A$2:$J$5,7,FALSE),1,0)</f>
        <v>0</v>
      </c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</row>
    <row r="1150" spans="1:51">
      <c r="A1150" s="8">
        <v>46165</v>
      </c>
      <c r="B1150" s="9">
        <v>0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f>MAX(-20,MIN(10,$A1150-VLOOKUP(YEAR($A1150),'Festive dates'!$A$2:$J$5,8,FALSE)))</f>
        <v>-20</v>
      </c>
      <c r="R1150" s="9">
        <f>IF(AND($A1150&gt;VLOOKUP(YEAR($A1150),'Festive dates'!$A$2:$J$5,2,FALSE),$A1150&lt;VLOOKUP(YEAR($A1150),'Festive dates'!$A$2:$J$5,3,FALSE)),1,0)</f>
        <v>0</v>
      </c>
      <c r="S1150" s="9">
        <f>IF($A1150=VLOOKUP(YEAR($A1150),'Festive dates'!$A$2:$J$5,2,FALSE),1,0)</f>
        <v>0</v>
      </c>
      <c r="T1150" s="9">
        <f>IF($A1150=VLOOKUP(YEAR($A1150),'Festive dates'!$A$2:$J$5,3,FALSE),1,0)</f>
        <v>0</v>
      </c>
      <c r="U1150" s="9">
        <f>IF($A1150=VLOOKUP(YEAR($A1150),'Festive dates'!$A$2:$J$5,4,FALSE),1,0)</f>
        <v>0</v>
      </c>
      <c r="V1150" s="9">
        <f>IF(AND($A1150&gt;=VLOOKUP(YEAR($A1150),'Festive dates'!$A$2:$J$5,9,FALSE),$A1150&lt;=VLOOKUP(YEAR($A1150),'Festive dates'!$A$2:$J$5,10,FALSE)),1,0)</f>
        <v>0</v>
      </c>
      <c r="W1150" s="9">
        <f>IF($A1150=VLOOKUP(YEAR($A1150),'Festive dates'!$A$2:$J$5,7,FALSE),1,0)</f>
        <v>0</v>
      </c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</row>
    <row r="1151" spans="1:51">
      <c r="A1151" s="8">
        <v>46166</v>
      </c>
      <c r="B1151" s="9">
        <v>0</v>
      </c>
      <c r="C1151" s="9">
        <v>0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f>MAX(-20,MIN(10,$A1151-VLOOKUP(YEAR($A1151),'Festive dates'!$A$2:$J$5,8,FALSE)))</f>
        <v>-20</v>
      </c>
      <c r="R1151" s="9">
        <f>IF(AND($A1151&gt;VLOOKUP(YEAR($A1151),'Festive dates'!$A$2:$J$5,2,FALSE),$A1151&lt;VLOOKUP(YEAR($A1151),'Festive dates'!$A$2:$J$5,3,FALSE)),1,0)</f>
        <v>0</v>
      </c>
      <c r="S1151" s="9">
        <f>IF($A1151=VLOOKUP(YEAR($A1151),'Festive dates'!$A$2:$J$5,2,FALSE),1,0)</f>
        <v>0</v>
      </c>
      <c r="T1151" s="9">
        <f>IF($A1151=VLOOKUP(YEAR($A1151),'Festive dates'!$A$2:$J$5,3,FALSE),1,0)</f>
        <v>0</v>
      </c>
      <c r="U1151" s="9">
        <f>IF($A1151=VLOOKUP(YEAR($A1151),'Festive dates'!$A$2:$J$5,4,FALSE),1,0)</f>
        <v>0</v>
      </c>
      <c r="V1151" s="9">
        <f>IF(AND($A1151&gt;=VLOOKUP(YEAR($A1151),'Festive dates'!$A$2:$J$5,9,FALSE),$A1151&lt;=VLOOKUP(YEAR($A1151),'Festive dates'!$A$2:$J$5,10,FALSE)),1,0)</f>
        <v>0</v>
      </c>
      <c r="W1151" s="9">
        <f>IF($A1151=VLOOKUP(YEAR($A1151),'Festive dates'!$A$2:$J$5,7,FALSE),1,0)</f>
        <v>0</v>
      </c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</row>
    <row r="1152" spans="1:51">
      <c r="A1152" s="8">
        <v>46167</v>
      </c>
      <c r="B1152" s="9">
        <v>0</v>
      </c>
      <c r="C1152" s="9">
        <v>0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1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f>MAX(-20,MIN(10,$A1152-VLOOKUP(YEAR($A1152),'Festive dates'!$A$2:$J$5,8,FALSE)))</f>
        <v>-20</v>
      </c>
      <c r="R1152" s="9">
        <f>IF(AND($A1152&gt;VLOOKUP(YEAR($A1152),'Festive dates'!$A$2:$J$5,2,FALSE),$A1152&lt;VLOOKUP(YEAR($A1152),'Festive dates'!$A$2:$J$5,3,FALSE)),1,0)</f>
        <v>0</v>
      </c>
      <c r="S1152" s="9">
        <f>IF($A1152=VLOOKUP(YEAR($A1152),'Festive dates'!$A$2:$J$5,2,FALSE),1,0)</f>
        <v>0</v>
      </c>
      <c r="T1152" s="9">
        <f>IF($A1152=VLOOKUP(YEAR($A1152),'Festive dates'!$A$2:$J$5,3,FALSE),1,0)</f>
        <v>0</v>
      </c>
      <c r="U1152" s="9">
        <f>IF($A1152=VLOOKUP(YEAR($A1152),'Festive dates'!$A$2:$J$5,4,FALSE),1,0)</f>
        <v>0</v>
      </c>
      <c r="V1152" s="9">
        <f>IF(AND($A1152&gt;=VLOOKUP(YEAR($A1152),'Festive dates'!$A$2:$J$5,9,FALSE),$A1152&lt;=VLOOKUP(YEAR($A1152),'Festive dates'!$A$2:$J$5,10,FALSE)),1,0)</f>
        <v>0</v>
      </c>
      <c r="W1152" s="9">
        <f>IF($A1152=VLOOKUP(YEAR($A1152),'Festive dates'!$A$2:$J$5,7,FALSE),1,0)</f>
        <v>0</v>
      </c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</row>
    <row r="1153" spans="1:51">
      <c r="A1153" s="8">
        <v>46168</v>
      </c>
      <c r="B1153" s="9">
        <v>0</v>
      </c>
      <c r="C1153" s="9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f>MAX(-20,MIN(10,$A1153-VLOOKUP(YEAR($A1153),'Festive dates'!$A$2:$J$5,8,FALSE)))</f>
        <v>-20</v>
      </c>
      <c r="R1153" s="9">
        <f>IF(AND($A1153&gt;VLOOKUP(YEAR($A1153),'Festive dates'!$A$2:$J$5,2,FALSE),$A1153&lt;VLOOKUP(YEAR($A1153),'Festive dates'!$A$2:$J$5,3,FALSE)),1,0)</f>
        <v>0</v>
      </c>
      <c r="S1153" s="9">
        <f>IF($A1153=VLOOKUP(YEAR($A1153),'Festive dates'!$A$2:$J$5,2,FALSE),1,0)</f>
        <v>0</v>
      </c>
      <c r="T1153" s="9">
        <f>IF($A1153=VLOOKUP(YEAR($A1153),'Festive dates'!$A$2:$J$5,3,FALSE),1,0)</f>
        <v>0</v>
      </c>
      <c r="U1153" s="9">
        <f>IF($A1153=VLOOKUP(YEAR($A1153),'Festive dates'!$A$2:$J$5,4,FALSE),1,0)</f>
        <v>0</v>
      </c>
      <c r="V1153" s="9">
        <f>IF(AND($A1153&gt;=VLOOKUP(YEAR($A1153),'Festive dates'!$A$2:$J$5,9,FALSE),$A1153&lt;=VLOOKUP(YEAR($A1153),'Festive dates'!$A$2:$J$5,10,FALSE)),1,0)</f>
        <v>0</v>
      </c>
      <c r="W1153" s="9">
        <f>IF($A1153=VLOOKUP(YEAR($A1153),'Festive dates'!$A$2:$J$5,7,FALSE),1,0)</f>
        <v>0</v>
      </c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</row>
    <row r="1154" spans="1:51">
      <c r="A1154" s="8">
        <v>46169</v>
      </c>
      <c r="B1154" s="9">
        <v>0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f>MAX(-20,MIN(10,$A1154-VLOOKUP(YEAR($A1154),'Festive dates'!$A$2:$J$5,8,FALSE)))</f>
        <v>-20</v>
      </c>
      <c r="R1154" s="9">
        <f>IF(AND($A1154&gt;VLOOKUP(YEAR($A1154),'Festive dates'!$A$2:$J$5,2,FALSE),$A1154&lt;VLOOKUP(YEAR($A1154),'Festive dates'!$A$2:$J$5,3,FALSE)),1,0)</f>
        <v>0</v>
      </c>
      <c r="S1154" s="9">
        <f>IF($A1154=VLOOKUP(YEAR($A1154),'Festive dates'!$A$2:$J$5,2,FALSE),1,0)</f>
        <v>0</v>
      </c>
      <c r="T1154" s="9">
        <f>IF($A1154=VLOOKUP(YEAR($A1154),'Festive dates'!$A$2:$J$5,3,FALSE),1,0)</f>
        <v>0</v>
      </c>
      <c r="U1154" s="9">
        <f>IF($A1154=VLOOKUP(YEAR($A1154),'Festive dates'!$A$2:$J$5,4,FALSE),1,0)</f>
        <v>0</v>
      </c>
      <c r="V1154" s="9">
        <f>IF(AND($A1154&gt;=VLOOKUP(YEAR($A1154),'Festive dates'!$A$2:$J$5,9,FALSE),$A1154&lt;=VLOOKUP(YEAR($A1154),'Festive dates'!$A$2:$J$5,10,FALSE)),1,0)</f>
        <v>0</v>
      </c>
      <c r="W1154" s="9">
        <f>IF($A1154=VLOOKUP(YEAR($A1154),'Festive dates'!$A$2:$J$5,7,FALSE),1,0)</f>
        <v>0</v>
      </c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</row>
    <row r="1155" spans="1:51">
      <c r="A1155" s="8">
        <v>46170</v>
      </c>
      <c r="B1155" s="9">
        <v>0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f>MAX(-20,MIN(10,$A1155-VLOOKUP(YEAR($A1155),'Festive dates'!$A$2:$J$5,8,FALSE)))</f>
        <v>-20</v>
      </c>
      <c r="R1155" s="9">
        <f>IF(AND($A1155&gt;VLOOKUP(YEAR($A1155),'Festive dates'!$A$2:$J$5,2,FALSE),$A1155&lt;VLOOKUP(YEAR($A1155),'Festive dates'!$A$2:$J$5,3,FALSE)),1,0)</f>
        <v>0</v>
      </c>
      <c r="S1155" s="9">
        <f>IF($A1155=VLOOKUP(YEAR($A1155),'Festive dates'!$A$2:$J$5,2,FALSE),1,0)</f>
        <v>0</v>
      </c>
      <c r="T1155" s="9">
        <f>IF($A1155=VLOOKUP(YEAR($A1155),'Festive dates'!$A$2:$J$5,3,FALSE),1,0)</f>
        <v>0</v>
      </c>
      <c r="U1155" s="9">
        <f>IF($A1155=VLOOKUP(YEAR($A1155),'Festive dates'!$A$2:$J$5,4,FALSE),1,0)</f>
        <v>0</v>
      </c>
      <c r="V1155" s="9">
        <f>IF(AND($A1155&gt;=VLOOKUP(YEAR($A1155),'Festive dates'!$A$2:$J$5,9,FALSE),$A1155&lt;=VLOOKUP(YEAR($A1155),'Festive dates'!$A$2:$J$5,10,FALSE)),1,0)</f>
        <v>0</v>
      </c>
      <c r="W1155" s="9">
        <f>IF($A1155=VLOOKUP(YEAR($A1155),'Festive dates'!$A$2:$J$5,7,FALSE),1,0)</f>
        <v>0</v>
      </c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</row>
    <row r="1156" spans="1:51">
      <c r="A1156" s="8">
        <v>46171</v>
      </c>
      <c r="B1156" s="9">
        <v>0</v>
      </c>
      <c r="C1156" s="9">
        <v>0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f>MAX(-20,MIN(10,$A1156-VLOOKUP(YEAR($A1156),'Festive dates'!$A$2:$J$5,8,FALSE)))</f>
        <v>-20</v>
      </c>
      <c r="R1156" s="9">
        <f>IF(AND($A1156&gt;VLOOKUP(YEAR($A1156),'Festive dates'!$A$2:$J$5,2,FALSE),$A1156&lt;VLOOKUP(YEAR($A1156),'Festive dates'!$A$2:$J$5,3,FALSE)),1,0)</f>
        <v>0</v>
      </c>
      <c r="S1156" s="9">
        <f>IF($A1156=VLOOKUP(YEAR($A1156),'Festive dates'!$A$2:$J$5,2,FALSE),1,0)</f>
        <v>0</v>
      </c>
      <c r="T1156" s="9">
        <f>IF($A1156=VLOOKUP(YEAR($A1156),'Festive dates'!$A$2:$J$5,3,FALSE),1,0)</f>
        <v>0</v>
      </c>
      <c r="U1156" s="9">
        <f>IF($A1156=VLOOKUP(YEAR($A1156),'Festive dates'!$A$2:$J$5,4,FALSE),1,0)</f>
        <v>0</v>
      </c>
      <c r="V1156" s="9">
        <f>IF(AND($A1156&gt;=VLOOKUP(YEAR($A1156),'Festive dates'!$A$2:$J$5,9,FALSE),$A1156&lt;=VLOOKUP(YEAR($A1156),'Festive dates'!$A$2:$J$5,10,FALSE)),1,0)</f>
        <v>0</v>
      </c>
      <c r="W1156" s="9">
        <f>IF($A1156=VLOOKUP(YEAR($A1156),'Festive dates'!$A$2:$J$5,7,FALSE),1,0)</f>
        <v>0</v>
      </c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</row>
    <row r="1157" spans="1:51">
      <c r="A1157" s="8">
        <v>46172</v>
      </c>
      <c r="B1157" s="9">
        <v>0</v>
      </c>
      <c r="C1157" s="9">
        <v>0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f>MAX(-20,MIN(10,$A1157-VLOOKUP(YEAR($A1157),'Festive dates'!$A$2:$J$5,8,FALSE)))</f>
        <v>-20</v>
      </c>
      <c r="R1157" s="9">
        <f>IF(AND($A1157&gt;VLOOKUP(YEAR($A1157),'Festive dates'!$A$2:$J$5,2,FALSE),$A1157&lt;VLOOKUP(YEAR($A1157),'Festive dates'!$A$2:$J$5,3,FALSE)),1,0)</f>
        <v>0</v>
      </c>
      <c r="S1157" s="9">
        <f>IF($A1157=VLOOKUP(YEAR($A1157),'Festive dates'!$A$2:$J$5,2,FALSE),1,0)</f>
        <v>0</v>
      </c>
      <c r="T1157" s="9">
        <f>IF($A1157=VLOOKUP(YEAR($A1157),'Festive dates'!$A$2:$J$5,3,FALSE),1,0)</f>
        <v>0</v>
      </c>
      <c r="U1157" s="9">
        <f>IF($A1157=VLOOKUP(YEAR($A1157),'Festive dates'!$A$2:$J$5,4,FALSE),1,0)</f>
        <v>0</v>
      </c>
      <c r="V1157" s="9">
        <f>IF(AND($A1157&gt;=VLOOKUP(YEAR($A1157),'Festive dates'!$A$2:$J$5,9,FALSE),$A1157&lt;=VLOOKUP(YEAR($A1157),'Festive dates'!$A$2:$J$5,10,FALSE)),1,0)</f>
        <v>0</v>
      </c>
      <c r="W1157" s="9">
        <f>IF($A1157=VLOOKUP(YEAR($A1157),'Festive dates'!$A$2:$J$5,7,FALSE),1,0)</f>
        <v>0</v>
      </c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</row>
    <row r="1158" spans="1:51">
      <c r="A1158" s="8">
        <v>46173</v>
      </c>
      <c r="B1158" s="9">
        <v>0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f>MAX(-20,MIN(10,$A1158-VLOOKUP(YEAR($A1158),'Festive dates'!$A$2:$J$5,8,FALSE)))</f>
        <v>-20</v>
      </c>
      <c r="R1158" s="9">
        <f>IF(AND($A1158&gt;VLOOKUP(YEAR($A1158),'Festive dates'!$A$2:$J$5,2,FALSE),$A1158&lt;VLOOKUP(YEAR($A1158),'Festive dates'!$A$2:$J$5,3,FALSE)),1,0)</f>
        <v>0</v>
      </c>
      <c r="S1158" s="9">
        <f>IF($A1158=VLOOKUP(YEAR($A1158),'Festive dates'!$A$2:$J$5,2,FALSE),1,0)</f>
        <v>0</v>
      </c>
      <c r="T1158" s="9">
        <f>IF($A1158=VLOOKUP(YEAR($A1158),'Festive dates'!$A$2:$J$5,3,FALSE),1,0)</f>
        <v>0</v>
      </c>
      <c r="U1158" s="9">
        <f>IF($A1158=VLOOKUP(YEAR($A1158),'Festive dates'!$A$2:$J$5,4,FALSE),1,0)</f>
        <v>0</v>
      </c>
      <c r="V1158" s="9">
        <f>IF(AND($A1158&gt;=VLOOKUP(YEAR($A1158),'Festive dates'!$A$2:$J$5,9,FALSE),$A1158&lt;=VLOOKUP(YEAR($A1158),'Festive dates'!$A$2:$J$5,10,FALSE)),1,0)</f>
        <v>0</v>
      </c>
      <c r="W1158" s="9">
        <f>IF($A1158=VLOOKUP(YEAR($A1158),'Festive dates'!$A$2:$J$5,7,FALSE),1,0)</f>
        <v>0</v>
      </c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</row>
    <row r="1159" spans="1:51">
      <c r="A1159" s="8">
        <v>46174</v>
      </c>
      <c r="B1159" s="9">
        <v>0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f>MAX(-20,MIN(10,$A1159-VLOOKUP(YEAR($A1159),'Festive dates'!$A$2:$J$5,8,FALSE)))</f>
        <v>-20</v>
      </c>
      <c r="R1159" s="9">
        <f>IF(AND($A1159&gt;VLOOKUP(YEAR($A1159),'Festive dates'!$A$2:$J$5,2,FALSE),$A1159&lt;VLOOKUP(YEAR($A1159),'Festive dates'!$A$2:$J$5,3,FALSE)),1,0)</f>
        <v>0</v>
      </c>
      <c r="S1159" s="9">
        <f>IF($A1159=VLOOKUP(YEAR($A1159),'Festive dates'!$A$2:$J$5,2,FALSE),1,0)</f>
        <v>0</v>
      </c>
      <c r="T1159" s="9">
        <f>IF($A1159=VLOOKUP(YEAR($A1159),'Festive dates'!$A$2:$J$5,3,FALSE),1,0)</f>
        <v>0</v>
      </c>
      <c r="U1159" s="9">
        <f>IF($A1159=VLOOKUP(YEAR($A1159),'Festive dates'!$A$2:$J$5,4,FALSE),1,0)</f>
        <v>0</v>
      </c>
      <c r="V1159" s="9">
        <f>IF(AND($A1159&gt;=VLOOKUP(YEAR($A1159),'Festive dates'!$A$2:$J$5,9,FALSE),$A1159&lt;=VLOOKUP(YEAR($A1159),'Festive dates'!$A$2:$J$5,10,FALSE)),1,0)</f>
        <v>0</v>
      </c>
      <c r="W1159" s="9">
        <f>IF($A1159=VLOOKUP(YEAR($A1159),'Festive dates'!$A$2:$J$5,7,FALSE),1,0)</f>
        <v>0</v>
      </c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</row>
    <row r="1160" spans="1:51">
      <c r="A1160" s="8">
        <v>46175</v>
      </c>
      <c r="B1160" s="9">
        <v>0</v>
      </c>
      <c r="C1160" s="9">
        <v>0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f>MAX(-20,MIN(10,$A1160-VLOOKUP(YEAR($A1160),'Festive dates'!$A$2:$J$5,8,FALSE)))</f>
        <v>-20</v>
      </c>
      <c r="R1160" s="9">
        <f>IF(AND($A1160&gt;VLOOKUP(YEAR($A1160),'Festive dates'!$A$2:$J$5,2,FALSE),$A1160&lt;VLOOKUP(YEAR($A1160),'Festive dates'!$A$2:$J$5,3,FALSE)),1,0)</f>
        <v>0</v>
      </c>
      <c r="S1160" s="9">
        <f>IF($A1160=VLOOKUP(YEAR($A1160),'Festive dates'!$A$2:$J$5,2,FALSE),1,0)</f>
        <v>0</v>
      </c>
      <c r="T1160" s="9">
        <f>IF($A1160=VLOOKUP(YEAR($A1160),'Festive dates'!$A$2:$J$5,3,FALSE),1,0)</f>
        <v>0</v>
      </c>
      <c r="U1160" s="9">
        <f>IF($A1160=VLOOKUP(YEAR($A1160),'Festive dates'!$A$2:$J$5,4,FALSE),1,0)</f>
        <v>0</v>
      </c>
      <c r="V1160" s="9">
        <f>IF(AND($A1160&gt;=VLOOKUP(YEAR($A1160),'Festive dates'!$A$2:$J$5,9,FALSE),$A1160&lt;=VLOOKUP(YEAR($A1160),'Festive dates'!$A$2:$J$5,10,FALSE)),1,0)</f>
        <v>0</v>
      </c>
      <c r="W1160" s="9">
        <f>IF($A1160=VLOOKUP(YEAR($A1160),'Festive dates'!$A$2:$J$5,7,FALSE),1,0)</f>
        <v>0</v>
      </c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</row>
    <row r="1161" spans="1:51">
      <c r="A1161" s="8">
        <v>46176</v>
      </c>
      <c r="B1161" s="9">
        <v>0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f>MAX(-20,MIN(10,$A1161-VLOOKUP(YEAR($A1161),'Festive dates'!$A$2:$J$5,8,FALSE)))</f>
        <v>-20</v>
      </c>
      <c r="R1161" s="9">
        <f>IF(AND($A1161&gt;VLOOKUP(YEAR($A1161),'Festive dates'!$A$2:$J$5,2,FALSE),$A1161&lt;VLOOKUP(YEAR($A1161),'Festive dates'!$A$2:$J$5,3,FALSE)),1,0)</f>
        <v>0</v>
      </c>
      <c r="S1161" s="9">
        <f>IF($A1161=VLOOKUP(YEAR($A1161),'Festive dates'!$A$2:$J$5,2,FALSE),1,0)</f>
        <v>0</v>
      </c>
      <c r="T1161" s="9">
        <f>IF($A1161=VLOOKUP(YEAR($A1161),'Festive dates'!$A$2:$J$5,3,FALSE),1,0)</f>
        <v>0</v>
      </c>
      <c r="U1161" s="9">
        <f>IF($A1161=VLOOKUP(YEAR($A1161),'Festive dates'!$A$2:$J$5,4,FALSE),1,0)</f>
        <v>0</v>
      </c>
      <c r="V1161" s="9">
        <f>IF(AND($A1161&gt;=VLOOKUP(YEAR($A1161),'Festive dates'!$A$2:$J$5,9,FALSE),$A1161&lt;=VLOOKUP(YEAR($A1161),'Festive dates'!$A$2:$J$5,10,FALSE)),1,0)</f>
        <v>0</v>
      </c>
      <c r="W1161" s="9">
        <f>IF($A1161=VLOOKUP(YEAR($A1161),'Festive dates'!$A$2:$J$5,7,FALSE),1,0)</f>
        <v>0</v>
      </c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</row>
    <row r="1162" spans="1:51">
      <c r="A1162" s="8">
        <v>46177</v>
      </c>
      <c r="B1162" s="9">
        <v>0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f>MAX(-20,MIN(10,$A1162-VLOOKUP(YEAR($A1162),'Festive dates'!$A$2:$J$5,8,FALSE)))</f>
        <v>-20</v>
      </c>
      <c r="R1162" s="9">
        <f>IF(AND($A1162&gt;VLOOKUP(YEAR($A1162),'Festive dates'!$A$2:$J$5,2,FALSE),$A1162&lt;VLOOKUP(YEAR($A1162),'Festive dates'!$A$2:$J$5,3,FALSE)),1,0)</f>
        <v>0</v>
      </c>
      <c r="S1162" s="9">
        <f>IF($A1162=VLOOKUP(YEAR($A1162),'Festive dates'!$A$2:$J$5,2,FALSE),1,0)</f>
        <v>0</v>
      </c>
      <c r="T1162" s="9">
        <f>IF($A1162=VLOOKUP(YEAR($A1162),'Festive dates'!$A$2:$J$5,3,FALSE),1,0)</f>
        <v>0</v>
      </c>
      <c r="U1162" s="9">
        <f>IF($A1162=VLOOKUP(YEAR($A1162),'Festive dates'!$A$2:$J$5,4,FALSE),1,0)</f>
        <v>0</v>
      </c>
      <c r="V1162" s="9">
        <f>IF(AND($A1162&gt;=VLOOKUP(YEAR($A1162),'Festive dates'!$A$2:$J$5,9,FALSE),$A1162&lt;=VLOOKUP(YEAR($A1162),'Festive dates'!$A$2:$J$5,10,FALSE)),1,0)</f>
        <v>0</v>
      </c>
      <c r="W1162" s="9">
        <f>IF($A1162=VLOOKUP(YEAR($A1162),'Festive dates'!$A$2:$J$5,7,FALSE),1,0)</f>
        <v>0</v>
      </c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</row>
    <row r="1163" spans="1:51">
      <c r="A1163" s="8">
        <v>46178</v>
      </c>
      <c r="B1163" s="9">
        <v>0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f>MAX(-20,MIN(10,$A1163-VLOOKUP(YEAR($A1163),'Festive dates'!$A$2:$J$5,8,FALSE)))</f>
        <v>-20</v>
      </c>
      <c r="R1163" s="9">
        <f>IF(AND($A1163&gt;VLOOKUP(YEAR($A1163),'Festive dates'!$A$2:$J$5,2,FALSE),$A1163&lt;VLOOKUP(YEAR($A1163),'Festive dates'!$A$2:$J$5,3,FALSE)),1,0)</f>
        <v>0</v>
      </c>
      <c r="S1163" s="9">
        <f>IF($A1163=VLOOKUP(YEAR($A1163),'Festive dates'!$A$2:$J$5,2,FALSE),1,0)</f>
        <v>0</v>
      </c>
      <c r="T1163" s="9">
        <f>IF($A1163=VLOOKUP(YEAR($A1163),'Festive dates'!$A$2:$J$5,3,FALSE),1,0)</f>
        <v>0</v>
      </c>
      <c r="U1163" s="9">
        <f>IF($A1163=VLOOKUP(YEAR($A1163),'Festive dates'!$A$2:$J$5,4,FALSE),1,0)</f>
        <v>0</v>
      </c>
      <c r="V1163" s="9">
        <f>IF(AND($A1163&gt;=VLOOKUP(YEAR($A1163),'Festive dates'!$A$2:$J$5,9,FALSE),$A1163&lt;=VLOOKUP(YEAR($A1163),'Festive dates'!$A$2:$J$5,10,FALSE)),1,0)</f>
        <v>0</v>
      </c>
      <c r="W1163" s="9">
        <f>IF($A1163=VLOOKUP(YEAR($A1163),'Festive dates'!$A$2:$J$5,7,FALSE),1,0)</f>
        <v>0</v>
      </c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</row>
    <row r="1164" spans="1:51">
      <c r="A1164" s="8">
        <v>46179</v>
      </c>
      <c r="B1164" s="9">
        <v>0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f>MAX(-20,MIN(10,$A1164-VLOOKUP(YEAR($A1164),'Festive dates'!$A$2:$J$5,8,FALSE)))</f>
        <v>-20</v>
      </c>
      <c r="R1164" s="9">
        <f>IF(AND($A1164&gt;VLOOKUP(YEAR($A1164),'Festive dates'!$A$2:$J$5,2,FALSE),$A1164&lt;VLOOKUP(YEAR($A1164),'Festive dates'!$A$2:$J$5,3,FALSE)),1,0)</f>
        <v>0</v>
      </c>
      <c r="S1164" s="9">
        <f>IF($A1164=VLOOKUP(YEAR($A1164),'Festive dates'!$A$2:$J$5,2,FALSE),1,0)</f>
        <v>0</v>
      </c>
      <c r="T1164" s="9">
        <f>IF($A1164=VLOOKUP(YEAR($A1164),'Festive dates'!$A$2:$J$5,3,FALSE),1,0)</f>
        <v>0</v>
      </c>
      <c r="U1164" s="9">
        <f>IF($A1164=VLOOKUP(YEAR($A1164),'Festive dates'!$A$2:$J$5,4,FALSE),1,0)</f>
        <v>0</v>
      </c>
      <c r="V1164" s="9">
        <f>IF(AND($A1164&gt;=VLOOKUP(YEAR($A1164),'Festive dates'!$A$2:$J$5,9,FALSE),$A1164&lt;=VLOOKUP(YEAR($A1164),'Festive dates'!$A$2:$J$5,10,FALSE)),1,0)</f>
        <v>0</v>
      </c>
      <c r="W1164" s="9">
        <f>IF($A1164=VLOOKUP(YEAR($A1164),'Festive dates'!$A$2:$J$5,7,FALSE),1,0)</f>
        <v>0</v>
      </c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</row>
    <row r="1165" spans="1:51">
      <c r="A1165" s="8">
        <v>46180</v>
      </c>
      <c r="B1165" s="9">
        <v>0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f>MAX(-20,MIN(10,$A1165-VLOOKUP(YEAR($A1165),'Festive dates'!$A$2:$J$5,8,FALSE)))</f>
        <v>-20</v>
      </c>
      <c r="R1165" s="9">
        <f>IF(AND($A1165&gt;VLOOKUP(YEAR($A1165),'Festive dates'!$A$2:$J$5,2,FALSE),$A1165&lt;VLOOKUP(YEAR($A1165),'Festive dates'!$A$2:$J$5,3,FALSE)),1,0)</f>
        <v>0</v>
      </c>
      <c r="S1165" s="9">
        <f>IF($A1165=VLOOKUP(YEAR($A1165),'Festive dates'!$A$2:$J$5,2,FALSE),1,0)</f>
        <v>0</v>
      </c>
      <c r="T1165" s="9">
        <f>IF($A1165=VLOOKUP(YEAR($A1165),'Festive dates'!$A$2:$J$5,3,FALSE),1,0)</f>
        <v>0</v>
      </c>
      <c r="U1165" s="9">
        <f>IF($A1165=VLOOKUP(YEAR($A1165),'Festive dates'!$A$2:$J$5,4,FALSE),1,0)</f>
        <v>0</v>
      </c>
      <c r="V1165" s="9">
        <f>IF(AND($A1165&gt;=VLOOKUP(YEAR($A1165),'Festive dates'!$A$2:$J$5,9,FALSE),$A1165&lt;=VLOOKUP(YEAR($A1165),'Festive dates'!$A$2:$J$5,10,FALSE)),1,0)</f>
        <v>0</v>
      </c>
      <c r="W1165" s="9">
        <f>IF($A1165=VLOOKUP(YEAR($A1165),'Festive dates'!$A$2:$J$5,7,FALSE),1,0)</f>
        <v>0</v>
      </c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</row>
    <row r="1166" spans="1:51">
      <c r="A1166" s="8">
        <v>46181</v>
      </c>
      <c r="B1166" s="9">
        <v>0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f>MAX(-20,MIN(10,$A1166-VLOOKUP(YEAR($A1166),'Festive dates'!$A$2:$J$5,8,FALSE)))</f>
        <v>-20</v>
      </c>
      <c r="R1166" s="9">
        <f>IF(AND($A1166&gt;VLOOKUP(YEAR($A1166),'Festive dates'!$A$2:$J$5,2,FALSE),$A1166&lt;VLOOKUP(YEAR($A1166),'Festive dates'!$A$2:$J$5,3,FALSE)),1,0)</f>
        <v>0</v>
      </c>
      <c r="S1166" s="9">
        <f>IF($A1166=VLOOKUP(YEAR($A1166),'Festive dates'!$A$2:$J$5,2,FALSE),1,0)</f>
        <v>0</v>
      </c>
      <c r="T1166" s="9">
        <f>IF($A1166=VLOOKUP(YEAR($A1166),'Festive dates'!$A$2:$J$5,3,FALSE),1,0)</f>
        <v>0</v>
      </c>
      <c r="U1166" s="9">
        <f>IF($A1166=VLOOKUP(YEAR($A1166),'Festive dates'!$A$2:$J$5,4,FALSE),1,0)</f>
        <v>0</v>
      </c>
      <c r="V1166" s="9">
        <f>IF(AND($A1166&gt;=VLOOKUP(YEAR($A1166),'Festive dates'!$A$2:$J$5,9,FALSE),$A1166&lt;=VLOOKUP(YEAR($A1166),'Festive dates'!$A$2:$J$5,10,FALSE)),1,0)</f>
        <v>0</v>
      </c>
      <c r="W1166" s="9">
        <f>IF($A1166=VLOOKUP(YEAR($A1166),'Festive dates'!$A$2:$J$5,7,FALSE),1,0)</f>
        <v>0</v>
      </c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</row>
    <row r="1167" spans="1:51">
      <c r="A1167" s="8">
        <v>46182</v>
      </c>
      <c r="B1167" s="9">
        <v>0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f>MAX(-20,MIN(10,$A1167-VLOOKUP(YEAR($A1167),'Festive dates'!$A$2:$J$5,8,FALSE)))</f>
        <v>-20</v>
      </c>
      <c r="R1167" s="9">
        <f>IF(AND($A1167&gt;VLOOKUP(YEAR($A1167),'Festive dates'!$A$2:$J$5,2,FALSE),$A1167&lt;VLOOKUP(YEAR($A1167),'Festive dates'!$A$2:$J$5,3,FALSE)),1,0)</f>
        <v>0</v>
      </c>
      <c r="S1167" s="9">
        <f>IF($A1167=VLOOKUP(YEAR($A1167),'Festive dates'!$A$2:$J$5,2,FALSE),1,0)</f>
        <v>0</v>
      </c>
      <c r="T1167" s="9">
        <f>IF($A1167=VLOOKUP(YEAR($A1167),'Festive dates'!$A$2:$J$5,3,FALSE),1,0)</f>
        <v>0</v>
      </c>
      <c r="U1167" s="9">
        <f>IF($A1167=VLOOKUP(YEAR($A1167),'Festive dates'!$A$2:$J$5,4,FALSE),1,0)</f>
        <v>0</v>
      </c>
      <c r="V1167" s="9">
        <f>IF(AND($A1167&gt;=VLOOKUP(YEAR($A1167),'Festive dates'!$A$2:$J$5,9,FALSE),$A1167&lt;=VLOOKUP(YEAR($A1167),'Festive dates'!$A$2:$J$5,10,FALSE)),1,0)</f>
        <v>0</v>
      </c>
      <c r="W1167" s="9">
        <f>IF($A1167=VLOOKUP(YEAR($A1167),'Festive dates'!$A$2:$J$5,7,FALSE),1,0)</f>
        <v>0</v>
      </c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</row>
    <row r="1168" spans="1:51">
      <c r="A1168" s="8">
        <v>46183</v>
      </c>
      <c r="B1168" s="9">
        <v>0</v>
      </c>
      <c r="C1168" s="9">
        <v>0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f>MAX(-20,MIN(10,$A1168-VLOOKUP(YEAR($A1168),'Festive dates'!$A$2:$J$5,8,FALSE)))</f>
        <v>-20</v>
      </c>
      <c r="R1168" s="9">
        <f>IF(AND($A1168&gt;VLOOKUP(YEAR($A1168),'Festive dates'!$A$2:$J$5,2,FALSE),$A1168&lt;VLOOKUP(YEAR($A1168),'Festive dates'!$A$2:$J$5,3,FALSE)),1,0)</f>
        <v>0</v>
      </c>
      <c r="S1168" s="9">
        <f>IF($A1168=VLOOKUP(YEAR($A1168),'Festive dates'!$A$2:$J$5,2,FALSE),1,0)</f>
        <v>0</v>
      </c>
      <c r="T1168" s="9">
        <f>IF($A1168=VLOOKUP(YEAR($A1168),'Festive dates'!$A$2:$J$5,3,FALSE),1,0)</f>
        <v>0</v>
      </c>
      <c r="U1168" s="9">
        <f>IF($A1168=VLOOKUP(YEAR($A1168),'Festive dates'!$A$2:$J$5,4,FALSE),1,0)</f>
        <v>0</v>
      </c>
      <c r="V1168" s="9">
        <f>IF(AND($A1168&gt;=VLOOKUP(YEAR($A1168),'Festive dates'!$A$2:$J$5,9,FALSE),$A1168&lt;=VLOOKUP(YEAR($A1168),'Festive dates'!$A$2:$J$5,10,FALSE)),1,0)</f>
        <v>0</v>
      </c>
      <c r="W1168" s="9">
        <f>IF($A1168=VLOOKUP(YEAR($A1168),'Festive dates'!$A$2:$J$5,7,FALSE),1,0)</f>
        <v>0</v>
      </c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</row>
    <row r="1169" spans="1:51">
      <c r="A1169" s="8">
        <v>46184</v>
      </c>
      <c r="B1169" s="9">
        <v>0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f>MAX(-20,MIN(10,$A1169-VLOOKUP(YEAR($A1169),'Festive dates'!$A$2:$J$5,8,FALSE)))</f>
        <v>-20</v>
      </c>
      <c r="R1169" s="9">
        <f>IF(AND($A1169&gt;VLOOKUP(YEAR($A1169),'Festive dates'!$A$2:$J$5,2,FALSE),$A1169&lt;VLOOKUP(YEAR($A1169),'Festive dates'!$A$2:$J$5,3,FALSE)),1,0)</f>
        <v>0</v>
      </c>
      <c r="S1169" s="9">
        <f>IF($A1169=VLOOKUP(YEAR($A1169),'Festive dates'!$A$2:$J$5,2,FALSE),1,0)</f>
        <v>0</v>
      </c>
      <c r="T1169" s="9">
        <f>IF($A1169=VLOOKUP(YEAR($A1169),'Festive dates'!$A$2:$J$5,3,FALSE),1,0)</f>
        <v>0</v>
      </c>
      <c r="U1169" s="9">
        <f>IF($A1169=VLOOKUP(YEAR($A1169),'Festive dates'!$A$2:$J$5,4,FALSE),1,0)</f>
        <v>0</v>
      </c>
      <c r="V1169" s="9">
        <f>IF(AND($A1169&gt;=VLOOKUP(YEAR($A1169),'Festive dates'!$A$2:$J$5,9,FALSE),$A1169&lt;=VLOOKUP(YEAR($A1169),'Festive dates'!$A$2:$J$5,10,FALSE)),1,0)</f>
        <v>0</v>
      </c>
      <c r="W1169" s="9">
        <f>IF($A1169=VLOOKUP(YEAR($A1169),'Festive dates'!$A$2:$J$5,7,FALSE),1,0)</f>
        <v>0</v>
      </c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</row>
    <row r="1170" spans="1:51">
      <c r="A1170" s="8">
        <v>46185</v>
      </c>
      <c r="B1170" s="9">
        <v>0</v>
      </c>
      <c r="C1170" s="9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f>MAX(-20,MIN(10,$A1170-VLOOKUP(YEAR($A1170),'Festive dates'!$A$2:$J$5,8,FALSE)))</f>
        <v>-20</v>
      </c>
      <c r="R1170" s="9">
        <f>IF(AND($A1170&gt;VLOOKUP(YEAR($A1170),'Festive dates'!$A$2:$J$5,2,FALSE),$A1170&lt;VLOOKUP(YEAR($A1170),'Festive dates'!$A$2:$J$5,3,FALSE)),1,0)</f>
        <v>0</v>
      </c>
      <c r="S1170" s="9">
        <f>IF($A1170=VLOOKUP(YEAR($A1170),'Festive dates'!$A$2:$J$5,2,FALSE),1,0)</f>
        <v>0</v>
      </c>
      <c r="T1170" s="9">
        <f>IF($A1170=VLOOKUP(YEAR($A1170),'Festive dates'!$A$2:$J$5,3,FALSE),1,0)</f>
        <v>0</v>
      </c>
      <c r="U1170" s="9">
        <f>IF($A1170=VLOOKUP(YEAR($A1170),'Festive dates'!$A$2:$J$5,4,FALSE),1,0)</f>
        <v>0</v>
      </c>
      <c r="V1170" s="9">
        <f>IF(AND($A1170&gt;=VLOOKUP(YEAR($A1170),'Festive dates'!$A$2:$J$5,9,FALSE),$A1170&lt;=VLOOKUP(YEAR($A1170),'Festive dates'!$A$2:$J$5,10,FALSE)),1,0)</f>
        <v>0</v>
      </c>
      <c r="W1170" s="9">
        <f>IF($A1170=VLOOKUP(YEAR($A1170),'Festive dates'!$A$2:$J$5,7,FALSE),1,0)</f>
        <v>0</v>
      </c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</row>
    <row r="1171" spans="1:51">
      <c r="A1171" s="8">
        <v>46186</v>
      </c>
      <c r="B1171" s="9">
        <v>0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f>MAX(-20,MIN(10,$A1171-VLOOKUP(YEAR($A1171),'Festive dates'!$A$2:$J$5,8,FALSE)))</f>
        <v>-20</v>
      </c>
      <c r="R1171" s="9">
        <f>IF(AND($A1171&gt;VLOOKUP(YEAR($A1171),'Festive dates'!$A$2:$J$5,2,FALSE),$A1171&lt;VLOOKUP(YEAR($A1171),'Festive dates'!$A$2:$J$5,3,FALSE)),1,0)</f>
        <v>0</v>
      </c>
      <c r="S1171" s="9">
        <f>IF($A1171=VLOOKUP(YEAR($A1171),'Festive dates'!$A$2:$J$5,2,FALSE),1,0)</f>
        <v>0</v>
      </c>
      <c r="T1171" s="9">
        <f>IF($A1171=VLOOKUP(YEAR($A1171),'Festive dates'!$A$2:$J$5,3,FALSE),1,0)</f>
        <v>0</v>
      </c>
      <c r="U1171" s="9">
        <f>IF($A1171=VLOOKUP(YEAR($A1171),'Festive dates'!$A$2:$J$5,4,FALSE),1,0)</f>
        <v>0</v>
      </c>
      <c r="V1171" s="9">
        <f>IF(AND($A1171&gt;=VLOOKUP(YEAR($A1171),'Festive dates'!$A$2:$J$5,9,FALSE),$A1171&lt;=VLOOKUP(YEAR($A1171),'Festive dates'!$A$2:$J$5,10,FALSE)),1,0)</f>
        <v>0</v>
      </c>
      <c r="W1171" s="9">
        <f>IF($A1171=VLOOKUP(YEAR($A1171),'Festive dates'!$A$2:$J$5,7,FALSE),1,0)</f>
        <v>0</v>
      </c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</row>
    <row r="1172" spans="1:51">
      <c r="A1172" s="8">
        <v>46187</v>
      </c>
      <c r="B1172" s="9">
        <v>0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1</v>
      </c>
      <c r="Q1172" s="9">
        <f>MAX(-20,MIN(10,$A1172-VLOOKUP(YEAR($A1172),'Festive dates'!$A$2:$J$5,8,FALSE)))</f>
        <v>-20</v>
      </c>
      <c r="R1172" s="9">
        <f>IF(AND($A1172&gt;VLOOKUP(YEAR($A1172),'Festive dates'!$A$2:$J$5,2,FALSE),$A1172&lt;VLOOKUP(YEAR($A1172),'Festive dates'!$A$2:$J$5,3,FALSE)),1,0)</f>
        <v>0</v>
      </c>
      <c r="S1172" s="9">
        <f>IF($A1172=VLOOKUP(YEAR($A1172),'Festive dates'!$A$2:$J$5,2,FALSE),1,0)</f>
        <v>0</v>
      </c>
      <c r="T1172" s="9">
        <f>IF($A1172=VLOOKUP(YEAR($A1172),'Festive dates'!$A$2:$J$5,3,FALSE),1,0)</f>
        <v>0</v>
      </c>
      <c r="U1172" s="9">
        <f>IF($A1172=VLOOKUP(YEAR($A1172),'Festive dates'!$A$2:$J$5,4,FALSE),1,0)</f>
        <v>0</v>
      </c>
      <c r="V1172" s="9">
        <f>IF(AND($A1172&gt;=VLOOKUP(YEAR($A1172),'Festive dates'!$A$2:$J$5,9,FALSE),$A1172&lt;=VLOOKUP(YEAR($A1172),'Festive dates'!$A$2:$J$5,10,FALSE)),1,0)</f>
        <v>0</v>
      </c>
      <c r="W1172" s="9">
        <f>IF($A1172=VLOOKUP(YEAR($A1172),'Festive dates'!$A$2:$J$5,7,FALSE),1,0)</f>
        <v>0</v>
      </c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</row>
    <row r="1173" spans="1:51">
      <c r="A1173" s="8">
        <v>46188</v>
      </c>
      <c r="B1173" s="9">
        <v>0</v>
      </c>
      <c r="C1173" s="9">
        <v>0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1</v>
      </c>
      <c r="Q1173" s="9">
        <f>MAX(-20,MIN(10,$A1173-VLOOKUP(YEAR($A1173),'Festive dates'!$A$2:$J$5,8,FALSE)))</f>
        <v>-20</v>
      </c>
      <c r="R1173" s="9">
        <f>IF(AND($A1173&gt;VLOOKUP(YEAR($A1173),'Festive dates'!$A$2:$J$5,2,FALSE),$A1173&lt;VLOOKUP(YEAR($A1173),'Festive dates'!$A$2:$J$5,3,FALSE)),1,0)</f>
        <v>0</v>
      </c>
      <c r="S1173" s="9">
        <f>IF($A1173=VLOOKUP(YEAR($A1173),'Festive dates'!$A$2:$J$5,2,FALSE),1,0)</f>
        <v>0</v>
      </c>
      <c r="T1173" s="9">
        <f>IF($A1173=VLOOKUP(YEAR($A1173),'Festive dates'!$A$2:$J$5,3,FALSE),1,0)</f>
        <v>0</v>
      </c>
      <c r="U1173" s="9">
        <f>IF($A1173=VLOOKUP(YEAR($A1173),'Festive dates'!$A$2:$J$5,4,FALSE),1,0)</f>
        <v>0</v>
      </c>
      <c r="V1173" s="9">
        <f>IF(AND($A1173&gt;=VLOOKUP(YEAR($A1173),'Festive dates'!$A$2:$J$5,9,FALSE),$A1173&lt;=VLOOKUP(YEAR($A1173),'Festive dates'!$A$2:$J$5,10,FALSE)),1,0)</f>
        <v>0</v>
      </c>
      <c r="W1173" s="9">
        <f>IF($A1173=VLOOKUP(YEAR($A1173),'Festive dates'!$A$2:$J$5,7,FALSE),1,0)</f>
        <v>0</v>
      </c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</row>
    <row r="1174" spans="1:51">
      <c r="A1174" s="8">
        <v>46189</v>
      </c>
      <c r="B1174" s="9">
        <v>0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1</v>
      </c>
      <c r="Q1174" s="9">
        <f>MAX(-20,MIN(10,$A1174-VLOOKUP(YEAR($A1174),'Festive dates'!$A$2:$J$5,8,FALSE)))</f>
        <v>-20</v>
      </c>
      <c r="R1174" s="9">
        <f>IF(AND($A1174&gt;VLOOKUP(YEAR($A1174),'Festive dates'!$A$2:$J$5,2,FALSE),$A1174&lt;VLOOKUP(YEAR($A1174),'Festive dates'!$A$2:$J$5,3,FALSE)),1,0)</f>
        <v>0</v>
      </c>
      <c r="S1174" s="9">
        <f>IF($A1174=VLOOKUP(YEAR($A1174),'Festive dates'!$A$2:$J$5,2,FALSE),1,0)</f>
        <v>0</v>
      </c>
      <c r="T1174" s="9">
        <f>IF($A1174=VLOOKUP(YEAR($A1174),'Festive dates'!$A$2:$J$5,3,FALSE),1,0)</f>
        <v>0</v>
      </c>
      <c r="U1174" s="9">
        <f>IF($A1174=VLOOKUP(YEAR($A1174),'Festive dates'!$A$2:$J$5,4,FALSE),1,0)</f>
        <v>0</v>
      </c>
      <c r="V1174" s="9">
        <f>IF(AND($A1174&gt;=VLOOKUP(YEAR($A1174),'Festive dates'!$A$2:$J$5,9,FALSE),$A1174&lt;=VLOOKUP(YEAR($A1174),'Festive dates'!$A$2:$J$5,10,FALSE)),1,0)</f>
        <v>0</v>
      </c>
      <c r="W1174" s="9">
        <f>IF($A1174=VLOOKUP(YEAR($A1174),'Festive dates'!$A$2:$J$5,7,FALSE),1,0)</f>
        <v>0</v>
      </c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</row>
    <row r="1175" spans="1:51">
      <c r="A1175" s="8">
        <v>46190</v>
      </c>
      <c r="B1175" s="9">
        <v>0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1</v>
      </c>
      <c r="Q1175" s="9">
        <f>MAX(-20,MIN(10,$A1175-VLOOKUP(YEAR($A1175),'Festive dates'!$A$2:$J$5,8,FALSE)))</f>
        <v>-20</v>
      </c>
      <c r="R1175" s="9">
        <f>IF(AND($A1175&gt;VLOOKUP(YEAR($A1175),'Festive dates'!$A$2:$J$5,2,FALSE),$A1175&lt;VLOOKUP(YEAR($A1175),'Festive dates'!$A$2:$J$5,3,FALSE)),1,0)</f>
        <v>0</v>
      </c>
      <c r="S1175" s="9">
        <f>IF($A1175=VLOOKUP(YEAR($A1175),'Festive dates'!$A$2:$J$5,2,FALSE),1,0)</f>
        <v>0</v>
      </c>
      <c r="T1175" s="9">
        <f>IF($A1175=VLOOKUP(YEAR($A1175),'Festive dates'!$A$2:$J$5,3,FALSE),1,0)</f>
        <v>0</v>
      </c>
      <c r="U1175" s="9">
        <f>IF($A1175=VLOOKUP(YEAR($A1175),'Festive dates'!$A$2:$J$5,4,FALSE),1,0)</f>
        <v>0</v>
      </c>
      <c r="V1175" s="9">
        <f>IF(AND($A1175&gt;=VLOOKUP(YEAR($A1175),'Festive dates'!$A$2:$J$5,9,FALSE),$A1175&lt;=VLOOKUP(YEAR($A1175),'Festive dates'!$A$2:$J$5,10,FALSE)),1,0)</f>
        <v>0</v>
      </c>
      <c r="W1175" s="9">
        <f>IF($A1175=VLOOKUP(YEAR($A1175),'Festive dates'!$A$2:$J$5,7,FALSE),1,0)</f>
        <v>0</v>
      </c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</row>
    <row r="1176" spans="1:51">
      <c r="A1176" s="8">
        <v>46191</v>
      </c>
      <c r="B1176" s="9">
        <v>0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1</v>
      </c>
      <c r="Q1176" s="9">
        <f>MAX(-20,MIN(10,$A1176-VLOOKUP(YEAR($A1176),'Festive dates'!$A$2:$J$5,8,FALSE)))</f>
        <v>-20</v>
      </c>
      <c r="R1176" s="9">
        <f>IF(AND($A1176&gt;VLOOKUP(YEAR($A1176),'Festive dates'!$A$2:$J$5,2,FALSE),$A1176&lt;VLOOKUP(YEAR($A1176),'Festive dates'!$A$2:$J$5,3,FALSE)),1,0)</f>
        <v>0</v>
      </c>
      <c r="S1176" s="9">
        <f>IF($A1176=VLOOKUP(YEAR($A1176),'Festive dates'!$A$2:$J$5,2,FALSE),1,0)</f>
        <v>0</v>
      </c>
      <c r="T1176" s="9">
        <f>IF($A1176=VLOOKUP(YEAR($A1176),'Festive dates'!$A$2:$J$5,3,FALSE),1,0)</f>
        <v>0</v>
      </c>
      <c r="U1176" s="9">
        <f>IF($A1176=VLOOKUP(YEAR($A1176),'Festive dates'!$A$2:$J$5,4,FALSE),1,0)</f>
        <v>0</v>
      </c>
      <c r="V1176" s="9">
        <f>IF(AND($A1176&gt;=VLOOKUP(YEAR($A1176),'Festive dates'!$A$2:$J$5,9,FALSE),$A1176&lt;=VLOOKUP(YEAR($A1176),'Festive dates'!$A$2:$J$5,10,FALSE)),1,0)</f>
        <v>0</v>
      </c>
      <c r="W1176" s="9">
        <f>IF($A1176=VLOOKUP(YEAR($A1176),'Festive dates'!$A$2:$J$5,7,FALSE),1,0)</f>
        <v>0</v>
      </c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</row>
    <row r="1177" spans="1:51">
      <c r="A1177" s="8">
        <v>46192</v>
      </c>
      <c r="B1177" s="9">
        <v>0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1</v>
      </c>
      <c r="Q1177" s="9">
        <f>MAX(-20,MIN(10,$A1177-VLOOKUP(YEAR($A1177),'Festive dates'!$A$2:$J$5,8,FALSE)))</f>
        <v>-20</v>
      </c>
      <c r="R1177" s="9">
        <f>IF(AND($A1177&gt;VLOOKUP(YEAR($A1177),'Festive dates'!$A$2:$J$5,2,FALSE),$A1177&lt;VLOOKUP(YEAR($A1177),'Festive dates'!$A$2:$J$5,3,FALSE)),1,0)</f>
        <v>0</v>
      </c>
      <c r="S1177" s="9">
        <f>IF($A1177=VLOOKUP(YEAR($A1177),'Festive dates'!$A$2:$J$5,2,FALSE),1,0)</f>
        <v>0</v>
      </c>
      <c r="T1177" s="9">
        <f>IF($A1177=VLOOKUP(YEAR($A1177),'Festive dates'!$A$2:$J$5,3,FALSE),1,0)</f>
        <v>0</v>
      </c>
      <c r="U1177" s="9">
        <f>IF($A1177=VLOOKUP(YEAR($A1177),'Festive dates'!$A$2:$J$5,4,FALSE),1,0)</f>
        <v>0</v>
      </c>
      <c r="V1177" s="9">
        <f>IF(AND($A1177&gt;=VLOOKUP(YEAR($A1177),'Festive dates'!$A$2:$J$5,9,FALSE),$A1177&lt;=VLOOKUP(YEAR($A1177),'Festive dates'!$A$2:$J$5,10,FALSE)),1,0)</f>
        <v>0</v>
      </c>
      <c r="W1177" s="9">
        <f>IF($A1177=VLOOKUP(YEAR($A1177),'Festive dates'!$A$2:$J$5,7,FALSE),1,0)</f>
        <v>0</v>
      </c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</row>
    <row r="1178" spans="1:51">
      <c r="A1178" s="8">
        <v>46193</v>
      </c>
      <c r="B1178" s="9">
        <v>0</v>
      </c>
      <c r="C1178" s="9">
        <v>0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1</v>
      </c>
      <c r="Q1178" s="9">
        <f>MAX(-20,MIN(10,$A1178-VLOOKUP(YEAR($A1178),'Festive dates'!$A$2:$J$5,8,FALSE)))</f>
        <v>-20</v>
      </c>
      <c r="R1178" s="9">
        <f>IF(AND($A1178&gt;VLOOKUP(YEAR($A1178),'Festive dates'!$A$2:$J$5,2,FALSE),$A1178&lt;VLOOKUP(YEAR($A1178),'Festive dates'!$A$2:$J$5,3,FALSE)),1,0)</f>
        <v>0</v>
      </c>
      <c r="S1178" s="9">
        <f>IF($A1178=VLOOKUP(YEAR($A1178),'Festive dates'!$A$2:$J$5,2,FALSE),1,0)</f>
        <v>0</v>
      </c>
      <c r="T1178" s="9">
        <f>IF($A1178=VLOOKUP(YEAR($A1178),'Festive dates'!$A$2:$J$5,3,FALSE),1,0)</f>
        <v>0</v>
      </c>
      <c r="U1178" s="9">
        <f>IF($A1178=VLOOKUP(YEAR($A1178),'Festive dates'!$A$2:$J$5,4,FALSE),1,0)</f>
        <v>0</v>
      </c>
      <c r="V1178" s="9">
        <f>IF(AND($A1178&gt;=VLOOKUP(YEAR($A1178),'Festive dates'!$A$2:$J$5,9,FALSE),$A1178&lt;=VLOOKUP(YEAR($A1178),'Festive dates'!$A$2:$J$5,10,FALSE)),1,0)</f>
        <v>0</v>
      </c>
      <c r="W1178" s="9">
        <f>IF($A1178=VLOOKUP(YEAR($A1178),'Festive dates'!$A$2:$J$5,7,FALSE),1,0)</f>
        <v>0</v>
      </c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</row>
    <row r="1179" spans="1:51">
      <c r="A1179" s="8">
        <v>46194</v>
      </c>
      <c r="B1179" s="9">
        <v>0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f>MAX(-20,MIN(10,$A1179-VLOOKUP(YEAR($A1179),'Festive dates'!$A$2:$J$5,8,FALSE)))</f>
        <v>-20</v>
      </c>
      <c r="R1179" s="9">
        <f>IF(AND($A1179&gt;VLOOKUP(YEAR($A1179),'Festive dates'!$A$2:$J$5,2,FALSE),$A1179&lt;VLOOKUP(YEAR($A1179),'Festive dates'!$A$2:$J$5,3,FALSE)),1,0)</f>
        <v>0</v>
      </c>
      <c r="S1179" s="9">
        <f>IF($A1179=VLOOKUP(YEAR($A1179),'Festive dates'!$A$2:$J$5,2,FALSE),1,0)</f>
        <v>0</v>
      </c>
      <c r="T1179" s="9">
        <f>IF($A1179=VLOOKUP(YEAR($A1179),'Festive dates'!$A$2:$J$5,3,FALSE),1,0)</f>
        <v>0</v>
      </c>
      <c r="U1179" s="9">
        <f>IF($A1179=VLOOKUP(YEAR($A1179),'Festive dates'!$A$2:$J$5,4,FALSE),1,0)</f>
        <v>0</v>
      </c>
      <c r="V1179" s="9">
        <f>IF(AND($A1179&gt;=VLOOKUP(YEAR($A1179),'Festive dates'!$A$2:$J$5,9,FALSE),$A1179&lt;=VLOOKUP(YEAR($A1179),'Festive dates'!$A$2:$J$5,10,FALSE)),1,0)</f>
        <v>0</v>
      </c>
      <c r="W1179" s="9">
        <f>IF($A1179=VLOOKUP(YEAR($A1179),'Festive dates'!$A$2:$J$5,7,FALSE),1,0)</f>
        <v>0</v>
      </c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</row>
    <row r="1180" spans="1:51">
      <c r="A1180" s="8">
        <v>46195</v>
      </c>
      <c r="B1180" s="9">
        <v>0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1</v>
      </c>
      <c r="Q1180" s="9">
        <f>MAX(-20,MIN(10,$A1180-VLOOKUP(YEAR($A1180),'Festive dates'!$A$2:$J$5,8,FALSE)))</f>
        <v>-20</v>
      </c>
      <c r="R1180" s="9">
        <f>IF(AND($A1180&gt;VLOOKUP(YEAR($A1180),'Festive dates'!$A$2:$J$5,2,FALSE),$A1180&lt;VLOOKUP(YEAR($A1180),'Festive dates'!$A$2:$J$5,3,FALSE)),1,0)</f>
        <v>0</v>
      </c>
      <c r="S1180" s="9">
        <f>IF($A1180=VLOOKUP(YEAR($A1180),'Festive dates'!$A$2:$J$5,2,FALSE),1,0)</f>
        <v>0</v>
      </c>
      <c r="T1180" s="9">
        <f>IF($A1180=VLOOKUP(YEAR($A1180),'Festive dates'!$A$2:$J$5,3,FALSE),1,0)</f>
        <v>0</v>
      </c>
      <c r="U1180" s="9">
        <f>IF($A1180=VLOOKUP(YEAR($A1180),'Festive dates'!$A$2:$J$5,4,FALSE),1,0)</f>
        <v>0</v>
      </c>
      <c r="V1180" s="9">
        <f>IF(AND($A1180&gt;=VLOOKUP(YEAR($A1180),'Festive dates'!$A$2:$J$5,9,FALSE),$A1180&lt;=VLOOKUP(YEAR($A1180),'Festive dates'!$A$2:$J$5,10,FALSE)),1,0)</f>
        <v>0</v>
      </c>
      <c r="W1180" s="9">
        <f>IF($A1180=VLOOKUP(YEAR($A1180),'Festive dates'!$A$2:$J$5,7,FALSE),1,0)</f>
        <v>0</v>
      </c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</row>
    <row r="1181" spans="1:51">
      <c r="A1181" s="8">
        <v>46196</v>
      </c>
      <c r="B1181" s="9">
        <v>0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f>MAX(-20,MIN(10,$A1181-VLOOKUP(YEAR($A1181),'Festive dates'!$A$2:$J$5,8,FALSE)))</f>
        <v>-20</v>
      </c>
      <c r="R1181" s="9">
        <f>IF(AND($A1181&gt;VLOOKUP(YEAR($A1181),'Festive dates'!$A$2:$J$5,2,FALSE),$A1181&lt;VLOOKUP(YEAR($A1181),'Festive dates'!$A$2:$J$5,3,FALSE)),1,0)</f>
        <v>0</v>
      </c>
      <c r="S1181" s="9">
        <f>IF($A1181=VLOOKUP(YEAR($A1181),'Festive dates'!$A$2:$J$5,2,FALSE),1,0)</f>
        <v>0</v>
      </c>
      <c r="T1181" s="9">
        <f>IF($A1181=VLOOKUP(YEAR($A1181),'Festive dates'!$A$2:$J$5,3,FALSE),1,0)</f>
        <v>0</v>
      </c>
      <c r="U1181" s="9">
        <f>IF($A1181=VLOOKUP(YEAR($A1181),'Festive dates'!$A$2:$J$5,4,FALSE),1,0)</f>
        <v>0</v>
      </c>
      <c r="V1181" s="9">
        <f>IF(AND($A1181&gt;=VLOOKUP(YEAR($A1181),'Festive dates'!$A$2:$J$5,9,FALSE),$A1181&lt;=VLOOKUP(YEAR($A1181),'Festive dates'!$A$2:$J$5,10,FALSE)),1,0)</f>
        <v>0</v>
      </c>
      <c r="W1181" s="9">
        <f>IF($A1181=VLOOKUP(YEAR($A1181),'Festive dates'!$A$2:$J$5,7,FALSE),1,0)</f>
        <v>0</v>
      </c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</row>
    <row r="1182" spans="1:51">
      <c r="A1182" s="8">
        <v>46197</v>
      </c>
      <c r="B1182" s="9">
        <v>0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1</v>
      </c>
      <c r="Q1182" s="9">
        <f>MAX(-20,MIN(10,$A1182-VLOOKUP(YEAR($A1182),'Festive dates'!$A$2:$J$5,8,FALSE)))</f>
        <v>-20</v>
      </c>
      <c r="R1182" s="9">
        <f>IF(AND($A1182&gt;VLOOKUP(YEAR($A1182),'Festive dates'!$A$2:$J$5,2,FALSE),$A1182&lt;VLOOKUP(YEAR($A1182),'Festive dates'!$A$2:$J$5,3,FALSE)),1,0)</f>
        <v>0</v>
      </c>
      <c r="S1182" s="9">
        <f>IF($A1182=VLOOKUP(YEAR($A1182),'Festive dates'!$A$2:$J$5,2,FALSE),1,0)</f>
        <v>0</v>
      </c>
      <c r="T1182" s="9">
        <f>IF($A1182=VLOOKUP(YEAR($A1182),'Festive dates'!$A$2:$J$5,3,FALSE),1,0)</f>
        <v>0</v>
      </c>
      <c r="U1182" s="9">
        <f>IF($A1182=VLOOKUP(YEAR($A1182),'Festive dates'!$A$2:$J$5,4,FALSE),1,0)</f>
        <v>0</v>
      </c>
      <c r="V1182" s="9">
        <f>IF(AND($A1182&gt;=VLOOKUP(YEAR($A1182),'Festive dates'!$A$2:$J$5,9,FALSE),$A1182&lt;=VLOOKUP(YEAR($A1182),'Festive dates'!$A$2:$J$5,10,FALSE)),1,0)</f>
        <v>0</v>
      </c>
      <c r="W1182" s="9">
        <f>IF($A1182=VLOOKUP(YEAR($A1182),'Festive dates'!$A$2:$J$5,7,FALSE),1,0)</f>
        <v>0</v>
      </c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</row>
    <row r="1183" spans="1:51">
      <c r="A1183" s="8">
        <v>46198</v>
      </c>
      <c r="B1183" s="9">
        <v>0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f>MAX(-20,MIN(10,$A1183-VLOOKUP(YEAR($A1183),'Festive dates'!$A$2:$J$5,8,FALSE)))</f>
        <v>-20</v>
      </c>
      <c r="R1183" s="9">
        <f>IF(AND($A1183&gt;VLOOKUP(YEAR($A1183),'Festive dates'!$A$2:$J$5,2,FALSE),$A1183&lt;VLOOKUP(YEAR($A1183),'Festive dates'!$A$2:$J$5,3,FALSE)),1,0)</f>
        <v>0</v>
      </c>
      <c r="S1183" s="9">
        <f>IF($A1183=VLOOKUP(YEAR($A1183),'Festive dates'!$A$2:$J$5,2,FALSE),1,0)</f>
        <v>0</v>
      </c>
      <c r="T1183" s="9">
        <f>IF($A1183=VLOOKUP(YEAR($A1183),'Festive dates'!$A$2:$J$5,3,FALSE),1,0)</f>
        <v>0</v>
      </c>
      <c r="U1183" s="9">
        <f>IF($A1183=VLOOKUP(YEAR($A1183),'Festive dates'!$A$2:$J$5,4,FALSE),1,0)</f>
        <v>0</v>
      </c>
      <c r="V1183" s="9">
        <f>IF(AND($A1183&gt;=VLOOKUP(YEAR($A1183),'Festive dates'!$A$2:$J$5,9,FALSE),$A1183&lt;=VLOOKUP(YEAR($A1183),'Festive dates'!$A$2:$J$5,10,FALSE)),1,0)</f>
        <v>0</v>
      </c>
      <c r="W1183" s="9">
        <f>IF($A1183=VLOOKUP(YEAR($A1183),'Festive dates'!$A$2:$J$5,7,FALSE),1,0)</f>
        <v>0</v>
      </c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</row>
    <row r="1184" spans="1:51">
      <c r="A1184" s="8">
        <v>46199</v>
      </c>
      <c r="B1184" s="9">
        <v>0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f>MAX(-20,MIN(10,$A1184-VLOOKUP(YEAR($A1184),'Festive dates'!$A$2:$J$5,8,FALSE)))</f>
        <v>-20</v>
      </c>
      <c r="R1184" s="9">
        <f>IF(AND($A1184&gt;VLOOKUP(YEAR($A1184),'Festive dates'!$A$2:$J$5,2,FALSE),$A1184&lt;VLOOKUP(YEAR($A1184),'Festive dates'!$A$2:$J$5,3,FALSE)),1,0)</f>
        <v>0</v>
      </c>
      <c r="S1184" s="9">
        <f>IF($A1184=VLOOKUP(YEAR($A1184),'Festive dates'!$A$2:$J$5,2,FALSE),1,0)</f>
        <v>0</v>
      </c>
      <c r="T1184" s="9">
        <f>IF($A1184=VLOOKUP(YEAR($A1184),'Festive dates'!$A$2:$J$5,3,FALSE),1,0)</f>
        <v>0</v>
      </c>
      <c r="U1184" s="9">
        <f>IF($A1184=VLOOKUP(YEAR($A1184),'Festive dates'!$A$2:$J$5,4,FALSE),1,0)</f>
        <v>0</v>
      </c>
      <c r="V1184" s="9">
        <f>IF(AND($A1184&gt;=VLOOKUP(YEAR($A1184),'Festive dates'!$A$2:$J$5,9,FALSE),$A1184&lt;=VLOOKUP(YEAR($A1184),'Festive dates'!$A$2:$J$5,10,FALSE)),1,0)</f>
        <v>0</v>
      </c>
      <c r="W1184" s="9">
        <f>IF($A1184=VLOOKUP(YEAR($A1184),'Festive dates'!$A$2:$J$5,7,FALSE),1,0)</f>
        <v>0</v>
      </c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</row>
    <row r="1185" spans="1:51">
      <c r="A1185" s="8">
        <v>46200</v>
      </c>
      <c r="B1185" s="9">
        <v>0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f>MAX(-20,MIN(10,$A1185-VLOOKUP(YEAR($A1185),'Festive dates'!$A$2:$J$5,8,FALSE)))</f>
        <v>-20</v>
      </c>
      <c r="R1185" s="9">
        <f>IF(AND($A1185&gt;VLOOKUP(YEAR($A1185),'Festive dates'!$A$2:$J$5,2,FALSE),$A1185&lt;VLOOKUP(YEAR($A1185),'Festive dates'!$A$2:$J$5,3,FALSE)),1,0)</f>
        <v>0</v>
      </c>
      <c r="S1185" s="9">
        <f>IF($A1185=VLOOKUP(YEAR($A1185),'Festive dates'!$A$2:$J$5,2,FALSE),1,0)</f>
        <v>0</v>
      </c>
      <c r="T1185" s="9">
        <f>IF($A1185=VLOOKUP(YEAR($A1185),'Festive dates'!$A$2:$J$5,3,FALSE),1,0)</f>
        <v>0</v>
      </c>
      <c r="U1185" s="9">
        <f>IF($A1185=VLOOKUP(YEAR($A1185),'Festive dates'!$A$2:$J$5,4,FALSE),1,0)</f>
        <v>0</v>
      </c>
      <c r="V1185" s="9">
        <f>IF(AND($A1185&gt;=VLOOKUP(YEAR($A1185),'Festive dates'!$A$2:$J$5,9,FALSE),$A1185&lt;=VLOOKUP(YEAR($A1185),'Festive dates'!$A$2:$J$5,10,FALSE)),1,0)</f>
        <v>0</v>
      </c>
      <c r="W1185" s="9">
        <f>IF($A1185=VLOOKUP(YEAR($A1185),'Festive dates'!$A$2:$J$5,7,FALSE),1,0)</f>
        <v>0</v>
      </c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</row>
    <row r="1186" spans="1:51">
      <c r="A1186" s="8">
        <v>46201</v>
      </c>
      <c r="B1186" s="9">
        <v>0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f>MAX(-20,MIN(10,$A1186-VLOOKUP(YEAR($A1186),'Festive dates'!$A$2:$J$5,8,FALSE)))</f>
        <v>-20</v>
      </c>
      <c r="R1186" s="9">
        <f>IF(AND($A1186&gt;VLOOKUP(YEAR($A1186),'Festive dates'!$A$2:$J$5,2,FALSE),$A1186&lt;VLOOKUP(YEAR($A1186),'Festive dates'!$A$2:$J$5,3,FALSE)),1,0)</f>
        <v>0</v>
      </c>
      <c r="S1186" s="9">
        <f>IF($A1186=VLOOKUP(YEAR($A1186),'Festive dates'!$A$2:$J$5,2,FALSE),1,0)</f>
        <v>0</v>
      </c>
      <c r="T1186" s="9">
        <f>IF($A1186=VLOOKUP(YEAR($A1186),'Festive dates'!$A$2:$J$5,3,FALSE),1,0)</f>
        <v>0</v>
      </c>
      <c r="U1186" s="9">
        <f>IF($A1186=VLOOKUP(YEAR($A1186),'Festive dates'!$A$2:$J$5,4,FALSE),1,0)</f>
        <v>0</v>
      </c>
      <c r="V1186" s="9">
        <f>IF(AND($A1186&gt;=VLOOKUP(YEAR($A1186),'Festive dates'!$A$2:$J$5,9,FALSE),$A1186&lt;=VLOOKUP(YEAR($A1186),'Festive dates'!$A$2:$J$5,10,FALSE)),1,0)</f>
        <v>0</v>
      </c>
      <c r="W1186" s="9">
        <f>IF($A1186=VLOOKUP(YEAR($A1186),'Festive dates'!$A$2:$J$5,7,FALSE),1,0)</f>
        <v>0</v>
      </c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</row>
    <row r="1187" spans="1:51">
      <c r="A1187" s="8">
        <v>46202</v>
      </c>
      <c r="B1187" s="9">
        <v>0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1</v>
      </c>
      <c r="Q1187" s="9">
        <f>MAX(-20,MIN(10,$A1187-VLOOKUP(YEAR($A1187),'Festive dates'!$A$2:$J$5,8,FALSE)))</f>
        <v>-20</v>
      </c>
      <c r="R1187" s="9">
        <f>IF(AND($A1187&gt;VLOOKUP(YEAR($A1187),'Festive dates'!$A$2:$J$5,2,FALSE),$A1187&lt;VLOOKUP(YEAR($A1187),'Festive dates'!$A$2:$J$5,3,FALSE)),1,0)</f>
        <v>0</v>
      </c>
      <c r="S1187" s="9">
        <f>IF($A1187=VLOOKUP(YEAR($A1187),'Festive dates'!$A$2:$J$5,2,FALSE),1,0)</f>
        <v>0</v>
      </c>
      <c r="T1187" s="9">
        <f>IF($A1187=VLOOKUP(YEAR($A1187),'Festive dates'!$A$2:$J$5,3,FALSE),1,0)</f>
        <v>0</v>
      </c>
      <c r="U1187" s="9">
        <f>IF($A1187=VLOOKUP(YEAR($A1187),'Festive dates'!$A$2:$J$5,4,FALSE),1,0)</f>
        <v>0</v>
      </c>
      <c r="V1187" s="9">
        <f>IF(AND($A1187&gt;=VLOOKUP(YEAR($A1187),'Festive dates'!$A$2:$J$5,9,FALSE),$A1187&lt;=VLOOKUP(YEAR($A1187),'Festive dates'!$A$2:$J$5,10,FALSE)),1,0)</f>
        <v>0</v>
      </c>
      <c r="W1187" s="9">
        <f>IF($A1187=VLOOKUP(YEAR($A1187),'Festive dates'!$A$2:$J$5,7,FALSE),1,0)</f>
        <v>0</v>
      </c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</row>
    <row r="1188" spans="1:51">
      <c r="A1188" s="8">
        <v>46203</v>
      </c>
      <c r="B1188" s="9">
        <v>0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1</v>
      </c>
      <c r="Q1188" s="9">
        <f>MAX(-20,MIN(10,$A1188-VLOOKUP(YEAR($A1188),'Festive dates'!$A$2:$J$5,8,FALSE)))</f>
        <v>-20</v>
      </c>
      <c r="R1188" s="9">
        <f>IF(AND($A1188&gt;VLOOKUP(YEAR($A1188),'Festive dates'!$A$2:$J$5,2,FALSE),$A1188&lt;VLOOKUP(YEAR($A1188),'Festive dates'!$A$2:$J$5,3,FALSE)),1,0)</f>
        <v>0</v>
      </c>
      <c r="S1188" s="9">
        <f>IF($A1188=VLOOKUP(YEAR($A1188),'Festive dates'!$A$2:$J$5,2,FALSE),1,0)</f>
        <v>0</v>
      </c>
      <c r="T1188" s="9">
        <f>IF($A1188=VLOOKUP(YEAR($A1188),'Festive dates'!$A$2:$J$5,3,FALSE),1,0)</f>
        <v>0</v>
      </c>
      <c r="U1188" s="9">
        <f>IF($A1188=VLOOKUP(YEAR($A1188),'Festive dates'!$A$2:$J$5,4,FALSE),1,0)</f>
        <v>0</v>
      </c>
      <c r="V1188" s="9">
        <f>IF(AND($A1188&gt;=VLOOKUP(YEAR($A1188),'Festive dates'!$A$2:$J$5,9,FALSE),$A1188&lt;=VLOOKUP(YEAR($A1188),'Festive dates'!$A$2:$J$5,10,FALSE)),1,0)</f>
        <v>0</v>
      </c>
      <c r="W1188" s="9">
        <f>IF($A1188=VLOOKUP(YEAR($A1188),'Festive dates'!$A$2:$J$5,7,FALSE),1,0)</f>
        <v>0</v>
      </c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</row>
    <row r="1189" spans="1:51">
      <c r="A1189" s="8">
        <v>46204</v>
      </c>
      <c r="B1189" s="9">
        <v>0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f>MAX(-20,MIN(10,$A1189-VLOOKUP(YEAR($A1189),'Festive dates'!$A$2:$J$5,8,FALSE)))</f>
        <v>-20</v>
      </c>
      <c r="R1189" s="9">
        <f>IF(AND($A1189&gt;VLOOKUP(YEAR($A1189),'Festive dates'!$A$2:$J$5,2,FALSE),$A1189&lt;VLOOKUP(YEAR($A1189),'Festive dates'!$A$2:$J$5,3,FALSE)),1,0)</f>
        <v>0</v>
      </c>
      <c r="S1189" s="9">
        <f>IF($A1189=VLOOKUP(YEAR($A1189),'Festive dates'!$A$2:$J$5,2,FALSE),1,0)</f>
        <v>0</v>
      </c>
      <c r="T1189" s="9">
        <f>IF($A1189=VLOOKUP(YEAR($A1189),'Festive dates'!$A$2:$J$5,3,FALSE),1,0)</f>
        <v>0</v>
      </c>
      <c r="U1189" s="9">
        <f>IF($A1189=VLOOKUP(YEAR($A1189),'Festive dates'!$A$2:$J$5,4,FALSE),1,0)</f>
        <v>0</v>
      </c>
      <c r="V1189" s="9">
        <f>IF(AND($A1189&gt;=VLOOKUP(YEAR($A1189),'Festive dates'!$A$2:$J$5,9,FALSE),$A1189&lt;=VLOOKUP(YEAR($A1189),'Festive dates'!$A$2:$J$5,10,FALSE)),1,0)</f>
        <v>0</v>
      </c>
      <c r="W1189" s="9">
        <f>IF($A1189=VLOOKUP(YEAR($A1189),'Festive dates'!$A$2:$J$5,7,FALSE),1,0)</f>
        <v>0</v>
      </c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</row>
    <row r="1190" spans="1:51">
      <c r="A1190" s="8">
        <v>46205</v>
      </c>
      <c r="B1190" s="9">
        <v>0</v>
      </c>
      <c r="C1190" s="9">
        <v>0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f>MAX(-20,MIN(10,$A1190-VLOOKUP(YEAR($A1190),'Festive dates'!$A$2:$J$5,8,FALSE)))</f>
        <v>-20</v>
      </c>
      <c r="R1190" s="9">
        <f>IF(AND($A1190&gt;VLOOKUP(YEAR($A1190),'Festive dates'!$A$2:$J$5,2,FALSE),$A1190&lt;VLOOKUP(YEAR($A1190),'Festive dates'!$A$2:$J$5,3,FALSE)),1,0)</f>
        <v>0</v>
      </c>
      <c r="S1190" s="9">
        <f>IF($A1190=VLOOKUP(YEAR($A1190),'Festive dates'!$A$2:$J$5,2,FALSE),1,0)</f>
        <v>0</v>
      </c>
      <c r="T1190" s="9">
        <f>IF($A1190=VLOOKUP(YEAR($A1190),'Festive dates'!$A$2:$J$5,3,FALSE),1,0)</f>
        <v>0</v>
      </c>
      <c r="U1190" s="9">
        <f>IF($A1190=VLOOKUP(YEAR($A1190),'Festive dates'!$A$2:$J$5,4,FALSE),1,0)</f>
        <v>0</v>
      </c>
      <c r="V1190" s="9">
        <f>IF(AND($A1190&gt;=VLOOKUP(YEAR($A1190),'Festive dates'!$A$2:$J$5,9,FALSE),$A1190&lt;=VLOOKUP(YEAR($A1190),'Festive dates'!$A$2:$J$5,10,FALSE)),1,0)</f>
        <v>0</v>
      </c>
      <c r="W1190" s="9">
        <f>IF($A1190=VLOOKUP(YEAR($A1190),'Festive dates'!$A$2:$J$5,7,FALSE),1,0)</f>
        <v>0</v>
      </c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</row>
    <row r="1191" spans="1:51">
      <c r="A1191" s="8">
        <v>46206</v>
      </c>
      <c r="B1191" s="9">
        <v>0</v>
      </c>
      <c r="C1191" s="9">
        <v>0</v>
      </c>
      <c r="D1191" s="9">
        <v>0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f>MAX(-20,MIN(10,$A1191-VLOOKUP(YEAR($A1191),'Festive dates'!$A$2:$J$5,8,FALSE)))</f>
        <v>-20</v>
      </c>
      <c r="R1191" s="9">
        <f>IF(AND($A1191&gt;VLOOKUP(YEAR($A1191),'Festive dates'!$A$2:$J$5,2,FALSE),$A1191&lt;VLOOKUP(YEAR($A1191),'Festive dates'!$A$2:$J$5,3,FALSE)),1,0)</f>
        <v>0</v>
      </c>
      <c r="S1191" s="9">
        <f>IF($A1191=VLOOKUP(YEAR($A1191),'Festive dates'!$A$2:$J$5,2,FALSE),1,0)</f>
        <v>0</v>
      </c>
      <c r="T1191" s="9">
        <f>IF($A1191=VLOOKUP(YEAR($A1191),'Festive dates'!$A$2:$J$5,3,FALSE),1,0)</f>
        <v>0</v>
      </c>
      <c r="U1191" s="9">
        <f>IF($A1191=VLOOKUP(YEAR($A1191),'Festive dates'!$A$2:$J$5,4,FALSE),1,0)</f>
        <v>0</v>
      </c>
      <c r="V1191" s="9">
        <f>IF(AND($A1191&gt;=VLOOKUP(YEAR($A1191),'Festive dates'!$A$2:$J$5,9,FALSE),$A1191&lt;=VLOOKUP(YEAR($A1191),'Festive dates'!$A$2:$J$5,10,FALSE)),1,0)</f>
        <v>0</v>
      </c>
      <c r="W1191" s="9">
        <f>IF($A1191=VLOOKUP(YEAR($A1191),'Festive dates'!$A$2:$J$5,7,FALSE),1,0)</f>
        <v>0</v>
      </c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</row>
    <row r="1192" spans="1:51">
      <c r="A1192" s="8">
        <v>46207</v>
      </c>
      <c r="B1192" s="9">
        <v>0</v>
      </c>
      <c r="C1192" s="9">
        <v>0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1</v>
      </c>
      <c r="Q1192" s="9">
        <f>MAX(-20,MIN(10,$A1192-VLOOKUP(YEAR($A1192),'Festive dates'!$A$2:$J$5,8,FALSE)))</f>
        <v>-20</v>
      </c>
      <c r="R1192" s="9">
        <f>IF(AND($A1192&gt;VLOOKUP(YEAR($A1192),'Festive dates'!$A$2:$J$5,2,FALSE),$A1192&lt;VLOOKUP(YEAR($A1192),'Festive dates'!$A$2:$J$5,3,FALSE)),1,0)</f>
        <v>0</v>
      </c>
      <c r="S1192" s="9">
        <f>IF($A1192=VLOOKUP(YEAR($A1192),'Festive dates'!$A$2:$J$5,2,FALSE),1,0)</f>
        <v>0</v>
      </c>
      <c r="T1192" s="9">
        <f>IF($A1192=VLOOKUP(YEAR($A1192),'Festive dates'!$A$2:$J$5,3,FALSE),1,0)</f>
        <v>0</v>
      </c>
      <c r="U1192" s="9">
        <f>IF($A1192=VLOOKUP(YEAR($A1192),'Festive dates'!$A$2:$J$5,4,FALSE),1,0)</f>
        <v>0</v>
      </c>
      <c r="V1192" s="9">
        <f>IF(AND($A1192&gt;=VLOOKUP(YEAR($A1192),'Festive dates'!$A$2:$J$5,9,FALSE),$A1192&lt;=VLOOKUP(YEAR($A1192),'Festive dates'!$A$2:$J$5,10,FALSE)),1,0)</f>
        <v>0</v>
      </c>
      <c r="W1192" s="9">
        <f>IF($A1192=VLOOKUP(YEAR($A1192),'Festive dates'!$A$2:$J$5,7,FALSE),1,0)</f>
        <v>0</v>
      </c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</row>
    <row r="1193" spans="1:51">
      <c r="A1193" s="8">
        <v>46208</v>
      </c>
      <c r="B1193" s="9">
        <v>0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1</v>
      </c>
      <c r="Q1193" s="9">
        <f>MAX(-20,MIN(10,$A1193-VLOOKUP(YEAR($A1193),'Festive dates'!$A$2:$J$5,8,FALSE)))</f>
        <v>-20</v>
      </c>
      <c r="R1193" s="9">
        <f>IF(AND($A1193&gt;VLOOKUP(YEAR($A1193),'Festive dates'!$A$2:$J$5,2,FALSE),$A1193&lt;VLOOKUP(YEAR($A1193),'Festive dates'!$A$2:$J$5,3,FALSE)),1,0)</f>
        <v>0</v>
      </c>
      <c r="S1193" s="9">
        <f>IF($A1193=VLOOKUP(YEAR($A1193),'Festive dates'!$A$2:$J$5,2,FALSE),1,0)</f>
        <v>0</v>
      </c>
      <c r="T1193" s="9">
        <f>IF($A1193=VLOOKUP(YEAR($A1193),'Festive dates'!$A$2:$J$5,3,FALSE),1,0)</f>
        <v>0</v>
      </c>
      <c r="U1193" s="9">
        <f>IF($A1193=VLOOKUP(YEAR($A1193),'Festive dates'!$A$2:$J$5,4,FALSE),1,0)</f>
        <v>0</v>
      </c>
      <c r="V1193" s="9">
        <f>IF(AND($A1193&gt;=VLOOKUP(YEAR($A1193),'Festive dates'!$A$2:$J$5,9,FALSE),$A1193&lt;=VLOOKUP(YEAR($A1193),'Festive dates'!$A$2:$J$5,10,FALSE)),1,0)</f>
        <v>0</v>
      </c>
      <c r="W1193" s="9">
        <f>IF($A1193=VLOOKUP(YEAR($A1193),'Festive dates'!$A$2:$J$5,7,FALSE),1,0)</f>
        <v>0</v>
      </c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</row>
    <row r="1194" spans="1:51">
      <c r="A1194" s="8">
        <v>46209</v>
      </c>
      <c r="B1194" s="9">
        <v>0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f>MAX(-20,MIN(10,$A1194-VLOOKUP(YEAR($A1194),'Festive dates'!$A$2:$J$5,8,FALSE)))</f>
        <v>-20</v>
      </c>
      <c r="R1194" s="9">
        <f>IF(AND($A1194&gt;VLOOKUP(YEAR($A1194),'Festive dates'!$A$2:$J$5,2,FALSE),$A1194&lt;VLOOKUP(YEAR($A1194),'Festive dates'!$A$2:$J$5,3,FALSE)),1,0)</f>
        <v>0</v>
      </c>
      <c r="S1194" s="9">
        <f>IF($A1194=VLOOKUP(YEAR($A1194),'Festive dates'!$A$2:$J$5,2,FALSE),1,0)</f>
        <v>0</v>
      </c>
      <c r="T1194" s="9">
        <f>IF($A1194=VLOOKUP(YEAR($A1194),'Festive dates'!$A$2:$J$5,3,FALSE),1,0)</f>
        <v>0</v>
      </c>
      <c r="U1194" s="9">
        <f>IF($A1194=VLOOKUP(YEAR($A1194),'Festive dates'!$A$2:$J$5,4,FALSE),1,0)</f>
        <v>0</v>
      </c>
      <c r="V1194" s="9">
        <f>IF(AND($A1194&gt;=VLOOKUP(YEAR($A1194),'Festive dates'!$A$2:$J$5,9,FALSE),$A1194&lt;=VLOOKUP(YEAR($A1194),'Festive dates'!$A$2:$J$5,10,FALSE)),1,0)</f>
        <v>0</v>
      </c>
      <c r="W1194" s="9">
        <f>IF($A1194=VLOOKUP(YEAR($A1194),'Festive dates'!$A$2:$J$5,7,FALSE),1,0)</f>
        <v>0</v>
      </c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</row>
    <row r="1195" spans="1:51">
      <c r="A1195" s="8">
        <v>46210</v>
      </c>
      <c r="B1195" s="9">
        <v>0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f>MAX(-20,MIN(10,$A1195-VLOOKUP(YEAR($A1195),'Festive dates'!$A$2:$J$5,8,FALSE)))</f>
        <v>-20</v>
      </c>
      <c r="R1195" s="9">
        <f>IF(AND($A1195&gt;VLOOKUP(YEAR($A1195),'Festive dates'!$A$2:$J$5,2,FALSE),$A1195&lt;VLOOKUP(YEAR($A1195),'Festive dates'!$A$2:$J$5,3,FALSE)),1,0)</f>
        <v>0</v>
      </c>
      <c r="S1195" s="9">
        <f>IF($A1195=VLOOKUP(YEAR($A1195),'Festive dates'!$A$2:$J$5,2,FALSE),1,0)</f>
        <v>0</v>
      </c>
      <c r="T1195" s="9">
        <f>IF($A1195=VLOOKUP(YEAR($A1195),'Festive dates'!$A$2:$J$5,3,FALSE),1,0)</f>
        <v>0</v>
      </c>
      <c r="U1195" s="9">
        <f>IF($A1195=VLOOKUP(YEAR($A1195),'Festive dates'!$A$2:$J$5,4,FALSE),1,0)</f>
        <v>0</v>
      </c>
      <c r="V1195" s="9">
        <f>IF(AND($A1195&gt;=VLOOKUP(YEAR($A1195),'Festive dates'!$A$2:$J$5,9,FALSE),$A1195&lt;=VLOOKUP(YEAR($A1195),'Festive dates'!$A$2:$J$5,10,FALSE)),1,0)</f>
        <v>0</v>
      </c>
      <c r="W1195" s="9">
        <f>IF($A1195=VLOOKUP(YEAR($A1195),'Festive dates'!$A$2:$J$5,7,FALSE),1,0)</f>
        <v>0</v>
      </c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</row>
    <row r="1196" spans="1:51">
      <c r="A1196" s="8">
        <v>46211</v>
      </c>
      <c r="B1196" s="9">
        <v>0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f>MAX(-20,MIN(10,$A1196-VLOOKUP(YEAR($A1196),'Festive dates'!$A$2:$J$5,8,FALSE)))</f>
        <v>-20</v>
      </c>
      <c r="R1196" s="9">
        <f>IF(AND($A1196&gt;VLOOKUP(YEAR($A1196),'Festive dates'!$A$2:$J$5,2,FALSE),$A1196&lt;VLOOKUP(YEAR($A1196),'Festive dates'!$A$2:$J$5,3,FALSE)),1,0)</f>
        <v>0</v>
      </c>
      <c r="S1196" s="9">
        <f>IF($A1196=VLOOKUP(YEAR($A1196),'Festive dates'!$A$2:$J$5,2,FALSE),1,0)</f>
        <v>0</v>
      </c>
      <c r="T1196" s="9">
        <f>IF($A1196=VLOOKUP(YEAR($A1196),'Festive dates'!$A$2:$J$5,3,FALSE),1,0)</f>
        <v>0</v>
      </c>
      <c r="U1196" s="9">
        <f>IF($A1196=VLOOKUP(YEAR($A1196),'Festive dates'!$A$2:$J$5,4,FALSE),1,0)</f>
        <v>0</v>
      </c>
      <c r="V1196" s="9">
        <f>IF(AND($A1196&gt;=VLOOKUP(YEAR($A1196),'Festive dates'!$A$2:$J$5,9,FALSE),$A1196&lt;=VLOOKUP(YEAR($A1196),'Festive dates'!$A$2:$J$5,10,FALSE)),1,0)</f>
        <v>0</v>
      </c>
      <c r="W1196" s="9">
        <f>IF($A1196=VLOOKUP(YEAR($A1196),'Festive dates'!$A$2:$J$5,7,FALSE),1,0)</f>
        <v>0</v>
      </c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</row>
    <row r="1197" spans="1:51">
      <c r="A1197" s="8">
        <v>46212</v>
      </c>
      <c r="B1197" s="9">
        <v>0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f>MAX(-20,MIN(10,$A1197-VLOOKUP(YEAR($A1197),'Festive dates'!$A$2:$J$5,8,FALSE)))</f>
        <v>-20</v>
      </c>
      <c r="R1197" s="9">
        <f>IF(AND($A1197&gt;VLOOKUP(YEAR($A1197),'Festive dates'!$A$2:$J$5,2,FALSE),$A1197&lt;VLOOKUP(YEAR($A1197),'Festive dates'!$A$2:$J$5,3,FALSE)),1,0)</f>
        <v>0</v>
      </c>
      <c r="S1197" s="9">
        <f>IF($A1197=VLOOKUP(YEAR($A1197),'Festive dates'!$A$2:$J$5,2,FALSE),1,0)</f>
        <v>0</v>
      </c>
      <c r="T1197" s="9">
        <f>IF($A1197=VLOOKUP(YEAR($A1197),'Festive dates'!$A$2:$J$5,3,FALSE),1,0)</f>
        <v>0</v>
      </c>
      <c r="U1197" s="9">
        <f>IF($A1197=VLOOKUP(YEAR($A1197),'Festive dates'!$A$2:$J$5,4,FALSE),1,0)</f>
        <v>0</v>
      </c>
      <c r="V1197" s="9">
        <f>IF(AND($A1197&gt;=VLOOKUP(YEAR($A1197),'Festive dates'!$A$2:$J$5,9,FALSE),$A1197&lt;=VLOOKUP(YEAR($A1197),'Festive dates'!$A$2:$J$5,10,FALSE)),1,0)</f>
        <v>0</v>
      </c>
      <c r="W1197" s="9">
        <f>IF($A1197=VLOOKUP(YEAR($A1197),'Festive dates'!$A$2:$J$5,7,FALSE),1,0)</f>
        <v>0</v>
      </c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</row>
    <row r="1198" spans="1:51">
      <c r="A1198" s="8">
        <v>46213</v>
      </c>
      <c r="B1198" s="9">
        <v>0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f>MAX(-20,MIN(10,$A1198-VLOOKUP(YEAR($A1198),'Festive dates'!$A$2:$J$5,8,FALSE)))</f>
        <v>-20</v>
      </c>
      <c r="R1198" s="9">
        <f>IF(AND($A1198&gt;VLOOKUP(YEAR($A1198),'Festive dates'!$A$2:$J$5,2,FALSE),$A1198&lt;VLOOKUP(YEAR($A1198),'Festive dates'!$A$2:$J$5,3,FALSE)),1,0)</f>
        <v>0</v>
      </c>
      <c r="S1198" s="9">
        <f>IF($A1198=VLOOKUP(YEAR($A1198),'Festive dates'!$A$2:$J$5,2,FALSE),1,0)</f>
        <v>0</v>
      </c>
      <c r="T1198" s="9">
        <f>IF($A1198=VLOOKUP(YEAR($A1198),'Festive dates'!$A$2:$J$5,3,FALSE),1,0)</f>
        <v>0</v>
      </c>
      <c r="U1198" s="9">
        <f>IF($A1198=VLOOKUP(YEAR($A1198),'Festive dates'!$A$2:$J$5,4,FALSE),1,0)</f>
        <v>0</v>
      </c>
      <c r="V1198" s="9">
        <f>IF(AND($A1198&gt;=VLOOKUP(YEAR($A1198),'Festive dates'!$A$2:$J$5,9,FALSE),$A1198&lt;=VLOOKUP(YEAR($A1198),'Festive dates'!$A$2:$J$5,10,FALSE)),1,0)</f>
        <v>0</v>
      </c>
      <c r="W1198" s="9">
        <f>IF($A1198=VLOOKUP(YEAR($A1198),'Festive dates'!$A$2:$J$5,7,FALSE),1,0)</f>
        <v>0</v>
      </c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</row>
    <row r="1199" spans="1:51">
      <c r="A1199" s="8">
        <v>46214</v>
      </c>
      <c r="B1199" s="9">
        <v>0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f>MAX(-20,MIN(10,$A1199-VLOOKUP(YEAR($A1199),'Festive dates'!$A$2:$J$5,8,FALSE)))</f>
        <v>-20</v>
      </c>
      <c r="R1199" s="9">
        <f>IF(AND($A1199&gt;VLOOKUP(YEAR($A1199),'Festive dates'!$A$2:$J$5,2,FALSE),$A1199&lt;VLOOKUP(YEAR($A1199),'Festive dates'!$A$2:$J$5,3,FALSE)),1,0)</f>
        <v>0</v>
      </c>
      <c r="S1199" s="9">
        <f>IF($A1199=VLOOKUP(YEAR($A1199),'Festive dates'!$A$2:$J$5,2,FALSE),1,0)</f>
        <v>0</v>
      </c>
      <c r="T1199" s="9">
        <f>IF($A1199=VLOOKUP(YEAR($A1199),'Festive dates'!$A$2:$J$5,3,FALSE),1,0)</f>
        <v>0</v>
      </c>
      <c r="U1199" s="9">
        <f>IF($A1199=VLOOKUP(YEAR($A1199),'Festive dates'!$A$2:$J$5,4,FALSE),1,0)</f>
        <v>0</v>
      </c>
      <c r="V1199" s="9">
        <f>IF(AND($A1199&gt;=VLOOKUP(YEAR($A1199),'Festive dates'!$A$2:$J$5,9,FALSE),$A1199&lt;=VLOOKUP(YEAR($A1199),'Festive dates'!$A$2:$J$5,10,FALSE)),1,0)</f>
        <v>0</v>
      </c>
      <c r="W1199" s="9">
        <f>IF($A1199=VLOOKUP(YEAR($A1199),'Festive dates'!$A$2:$J$5,7,FALSE),1,0)</f>
        <v>0</v>
      </c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</row>
    <row r="1200" spans="1:51">
      <c r="A1200" s="8">
        <v>46215</v>
      </c>
      <c r="B1200" s="9">
        <v>0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f>MAX(-20,MIN(10,$A1200-VLOOKUP(YEAR($A1200),'Festive dates'!$A$2:$J$5,8,FALSE)))</f>
        <v>-20</v>
      </c>
      <c r="R1200" s="9">
        <f>IF(AND($A1200&gt;VLOOKUP(YEAR($A1200),'Festive dates'!$A$2:$J$5,2,FALSE),$A1200&lt;VLOOKUP(YEAR($A1200),'Festive dates'!$A$2:$J$5,3,FALSE)),1,0)</f>
        <v>0</v>
      </c>
      <c r="S1200" s="9">
        <f>IF($A1200=VLOOKUP(YEAR($A1200),'Festive dates'!$A$2:$J$5,2,FALSE),1,0)</f>
        <v>0</v>
      </c>
      <c r="T1200" s="9">
        <f>IF($A1200=VLOOKUP(YEAR($A1200),'Festive dates'!$A$2:$J$5,3,FALSE),1,0)</f>
        <v>0</v>
      </c>
      <c r="U1200" s="9">
        <f>IF($A1200=VLOOKUP(YEAR($A1200),'Festive dates'!$A$2:$J$5,4,FALSE),1,0)</f>
        <v>0</v>
      </c>
      <c r="V1200" s="9">
        <f>IF(AND($A1200&gt;=VLOOKUP(YEAR($A1200),'Festive dates'!$A$2:$J$5,9,FALSE),$A1200&lt;=VLOOKUP(YEAR($A1200),'Festive dates'!$A$2:$J$5,10,FALSE)),1,0)</f>
        <v>0</v>
      </c>
      <c r="W1200" s="9">
        <f>IF($A1200=VLOOKUP(YEAR($A1200),'Festive dates'!$A$2:$J$5,7,FALSE),1,0)</f>
        <v>0</v>
      </c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</row>
    <row r="1201" spans="1:51">
      <c r="A1201" s="8">
        <v>46216</v>
      </c>
      <c r="B1201" s="9">
        <v>0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f>MAX(-20,MIN(10,$A1201-VLOOKUP(YEAR($A1201),'Festive dates'!$A$2:$J$5,8,FALSE)))</f>
        <v>-20</v>
      </c>
      <c r="R1201" s="9">
        <f>IF(AND($A1201&gt;VLOOKUP(YEAR($A1201),'Festive dates'!$A$2:$J$5,2,FALSE),$A1201&lt;VLOOKUP(YEAR($A1201),'Festive dates'!$A$2:$J$5,3,FALSE)),1,0)</f>
        <v>0</v>
      </c>
      <c r="S1201" s="9">
        <f>IF($A1201=VLOOKUP(YEAR($A1201),'Festive dates'!$A$2:$J$5,2,FALSE),1,0)</f>
        <v>0</v>
      </c>
      <c r="T1201" s="9">
        <f>IF($A1201=VLOOKUP(YEAR($A1201),'Festive dates'!$A$2:$J$5,3,FALSE),1,0)</f>
        <v>0</v>
      </c>
      <c r="U1201" s="9">
        <f>IF($A1201=VLOOKUP(YEAR($A1201),'Festive dates'!$A$2:$J$5,4,FALSE),1,0)</f>
        <v>0</v>
      </c>
      <c r="V1201" s="9">
        <f>IF(AND($A1201&gt;=VLOOKUP(YEAR($A1201),'Festive dates'!$A$2:$J$5,9,FALSE),$A1201&lt;=VLOOKUP(YEAR($A1201),'Festive dates'!$A$2:$J$5,10,FALSE)),1,0)</f>
        <v>0</v>
      </c>
      <c r="W1201" s="9">
        <f>IF($A1201=VLOOKUP(YEAR($A1201),'Festive dates'!$A$2:$J$5,7,FALSE),1,0)</f>
        <v>0</v>
      </c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</row>
    <row r="1202" spans="1:51">
      <c r="A1202" s="8">
        <v>46217</v>
      </c>
      <c r="B1202" s="9">
        <v>0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f>MAX(-20,MIN(10,$A1202-VLOOKUP(YEAR($A1202),'Festive dates'!$A$2:$J$5,8,FALSE)))</f>
        <v>-20</v>
      </c>
      <c r="R1202" s="9">
        <f>IF(AND($A1202&gt;VLOOKUP(YEAR($A1202),'Festive dates'!$A$2:$J$5,2,FALSE),$A1202&lt;VLOOKUP(YEAR($A1202),'Festive dates'!$A$2:$J$5,3,FALSE)),1,0)</f>
        <v>0</v>
      </c>
      <c r="S1202" s="9">
        <f>IF($A1202=VLOOKUP(YEAR($A1202),'Festive dates'!$A$2:$J$5,2,FALSE),1,0)</f>
        <v>0</v>
      </c>
      <c r="T1202" s="9">
        <f>IF($A1202=VLOOKUP(YEAR($A1202),'Festive dates'!$A$2:$J$5,3,FALSE),1,0)</f>
        <v>0</v>
      </c>
      <c r="U1202" s="9">
        <f>IF($A1202=VLOOKUP(YEAR($A1202),'Festive dates'!$A$2:$J$5,4,FALSE),1,0)</f>
        <v>0</v>
      </c>
      <c r="V1202" s="9">
        <f>IF(AND($A1202&gt;=VLOOKUP(YEAR($A1202),'Festive dates'!$A$2:$J$5,9,FALSE),$A1202&lt;=VLOOKUP(YEAR($A1202),'Festive dates'!$A$2:$J$5,10,FALSE)),1,0)</f>
        <v>0</v>
      </c>
      <c r="W1202" s="9">
        <f>IF($A1202=VLOOKUP(YEAR($A1202),'Festive dates'!$A$2:$J$5,7,FALSE),1,0)</f>
        <v>0</v>
      </c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</row>
    <row r="1203" spans="1:51">
      <c r="A1203" s="8">
        <v>46218</v>
      </c>
      <c r="B1203" s="9">
        <v>0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f>MAX(-20,MIN(10,$A1203-VLOOKUP(YEAR($A1203),'Festive dates'!$A$2:$J$5,8,FALSE)))</f>
        <v>-20</v>
      </c>
      <c r="R1203" s="9">
        <f>IF(AND($A1203&gt;VLOOKUP(YEAR($A1203),'Festive dates'!$A$2:$J$5,2,FALSE),$A1203&lt;VLOOKUP(YEAR($A1203),'Festive dates'!$A$2:$J$5,3,FALSE)),1,0)</f>
        <v>0</v>
      </c>
      <c r="S1203" s="9">
        <f>IF($A1203=VLOOKUP(YEAR($A1203),'Festive dates'!$A$2:$J$5,2,FALSE),1,0)</f>
        <v>0</v>
      </c>
      <c r="T1203" s="9">
        <f>IF($A1203=VLOOKUP(YEAR($A1203),'Festive dates'!$A$2:$J$5,3,FALSE),1,0)</f>
        <v>0</v>
      </c>
      <c r="U1203" s="9">
        <f>IF($A1203=VLOOKUP(YEAR($A1203),'Festive dates'!$A$2:$J$5,4,FALSE),1,0)</f>
        <v>0</v>
      </c>
      <c r="V1203" s="9">
        <f>IF(AND($A1203&gt;=VLOOKUP(YEAR($A1203),'Festive dates'!$A$2:$J$5,9,FALSE),$A1203&lt;=VLOOKUP(YEAR($A1203),'Festive dates'!$A$2:$J$5,10,FALSE)),1,0)</f>
        <v>0</v>
      </c>
      <c r="W1203" s="9">
        <f>IF($A1203=VLOOKUP(YEAR($A1203),'Festive dates'!$A$2:$J$5,7,FALSE),1,0)</f>
        <v>0</v>
      </c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</row>
    <row r="1204" spans="1:51">
      <c r="A1204" s="8">
        <v>46219</v>
      </c>
      <c r="B1204" s="9">
        <v>0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1</v>
      </c>
      <c r="M1204" s="9">
        <v>0</v>
      </c>
      <c r="N1204" s="9">
        <v>0</v>
      </c>
      <c r="O1204" s="9">
        <v>0</v>
      </c>
      <c r="P1204" s="9">
        <v>0</v>
      </c>
      <c r="Q1204" s="9">
        <f>MAX(-20,MIN(10,$A1204-VLOOKUP(YEAR($A1204),'Festive dates'!$A$2:$J$5,8,FALSE)))</f>
        <v>-20</v>
      </c>
      <c r="R1204" s="9">
        <f>IF(AND($A1204&gt;VLOOKUP(YEAR($A1204),'Festive dates'!$A$2:$J$5,2,FALSE),$A1204&lt;VLOOKUP(YEAR($A1204),'Festive dates'!$A$2:$J$5,3,FALSE)),1,0)</f>
        <v>0</v>
      </c>
      <c r="S1204" s="9">
        <f>IF($A1204=VLOOKUP(YEAR($A1204),'Festive dates'!$A$2:$J$5,2,FALSE),1,0)</f>
        <v>0</v>
      </c>
      <c r="T1204" s="9">
        <f>IF($A1204=VLOOKUP(YEAR($A1204),'Festive dates'!$A$2:$J$5,3,FALSE),1,0)</f>
        <v>0</v>
      </c>
      <c r="U1204" s="9">
        <f>IF($A1204=VLOOKUP(YEAR($A1204),'Festive dates'!$A$2:$J$5,4,FALSE),1,0)</f>
        <v>0</v>
      </c>
      <c r="V1204" s="9">
        <f>IF(AND($A1204&gt;=VLOOKUP(YEAR($A1204),'Festive dates'!$A$2:$J$5,9,FALSE),$A1204&lt;=VLOOKUP(YEAR($A1204),'Festive dates'!$A$2:$J$5,10,FALSE)),1,0)</f>
        <v>0</v>
      </c>
      <c r="W1204" s="9">
        <f>IF($A1204=VLOOKUP(YEAR($A1204),'Festive dates'!$A$2:$J$5,7,FALSE),1,0)</f>
        <v>0</v>
      </c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</row>
    <row r="1205" spans="1:51">
      <c r="A1205" s="8">
        <v>46220</v>
      </c>
      <c r="B1205" s="9">
        <v>0</v>
      </c>
      <c r="C1205" s="9">
        <v>0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f>MAX(-20,MIN(10,$A1205-VLOOKUP(YEAR($A1205),'Festive dates'!$A$2:$J$5,8,FALSE)))</f>
        <v>-20</v>
      </c>
      <c r="R1205" s="9">
        <f>IF(AND($A1205&gt;VLOOKUP(YEAR($A1205),'Festive dates'!$A$2:$J$5,2,FALSE),$A1205&lt;VLOOKUP(YEAR($A1205),'Festive dates'!$A$2:$J$5,3,FALSE)),1,0)</f>
        <v>0</v>
      </c>
      <c r="S1205" s="9">
        <f>IF($A1205=VLOOKUP(YEAR($A1205),'Festive dates'!$A$2:$J$5,2,FALSE),1,0)</f>
        <v>0</v>
      </c>
      <c r="T1205" s="9">
        <f>IF($A1205=VLOOKUP(YEAR($A1205),'Festive dates'!$A$2:$J$5,3,FALSE),1,0)</f>
        <v>0</v>
      </c>
      <c r="U1205" s="9">
        <f>IF($A1205=VLOOKUP(YEAR($A1205),'Festive dates'!$A$2:$J$5,4,FALSE),1,0)</f>
        <v>0</v>
      </c>
      <c r="V1205" s="9">
        <f>IF(AND($A1205&gt;=VLOOKUP(YEAR($A1205),'Festive dates'!$A$2:$J$5,9,FALSE),$A1205&lt;=VLOOKUP(YEAR($A1205),'Festive dates'!$A$2:$J$5,10,FALSE)),1,0)</f>
        <v>0</v>
      </c>
      <c r="W1205" s="9">
        <f>IF($A1205=VLOOKUP(YEAR($A1205),'Festive dates'!$A$2:$J$5,7,FALSE),1,0)</f>
        <v>0</v>
      </c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</row>
    <row r="1206" spans="1:51">
      <c r="A1206" s="8">
        <v>46221</v>
      </c>
      <c r="B1206" s="9">
        <v>0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f>MAX(-20,MIN(10,$A1206-VLOOKUP(YEAR($A1206),'Festive dates'!$A$2:$J$5,8,FALSE)))</f>
        <v>-20</v>
      </c>
      <c r="R1206" s="9">
        <f>IF(AND($A1206&gt;VLOOKUP(YEAR($A1206),'Festive dates'!$A$2:$J$5,2,FALSE),$A1206&lt;VLOOKUP(YEAR($A1206),'Festive dates'!$A$2:$J$5,3,FALSE)),1,0)</f>
        <v>0</v>
      </c>
      <c r="S1206" s="9">
        <f>IF($A1206=VLOOKUP(YEAR($A1206),'Festive dates'!$A$2:$J$5,2,FALSE),1,0)</f>
        <v>0</v>
      </c>
      <c r="T1206" s="9">
        <f>IF($A1206=VLOOKUP(YEAR($A1206),'Festive dates'!$A$2:$J$5,3,FALSE),1,0)</f>
        <v>0</v>
      </c>
      <c r="U1206" s="9">
        <f>IF($A1206=VLOOKUP(YEAR($A1206),'Festive dates'!$A$2:$J$5,4,FALSE),1,0)</f>
        <v>0</v>
      </c>
      <c r="V1206" s="9">
        <f>IF(AND($A1206&gt;=VLOOKUP(YEAR($A1206),'Festive dates'!$A$2:$J$5,9,FALSE),$A1206&lt;=VLOOKUP(YEAR($A1206),'Festive dates'!$A$2:$J$5,10,FALSE)),1,0)</f>
        <v>0</v>
      </c>
      <c r="W1206" s="9">
        <f>IF($A1206=VLOOKUP(YEAR($A1206),'Festive dates'!$A$2:$J$5,7,FALSE),1,0)</f>
        <v>0</v>
      </c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</row>
    <row r="1207" spans="1:51">
      <c r="A1207" s="8">
        <v>46222</v>
      </c>
      <c r="B1207" s="9">
        <v>0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f>MAX(-20,MIN(10,$A1207-VLOOKUP(YEAR($A1207),'Festive dates'!$A$2:$J$5,8,FALSE)))</f>
        <v>-20</v>
      </c>
      <c r="R1207" s="9">
        <f>IF(AND($A1207&gt;VLOOKUP(YEAR($A1207),'Festive dates'!$A$2:$J$5,2,FALSE),$A1207&lt;VLOOKUP(YEAR($A1207),'Festive dates'!$A$2:$J$5,3,FALSE)),1,0)</f>
        <v>0</v>
      </c>
      <c r="S1207" s="9">
        <f>IF($A1207=VLOOKUP(YEAR($A1207),'Festive dates'!$A$2:$J$5,2,FALSE),1,0)</f>
        <v>0</v>
      </c>
      <c r="T1207" s="9">
        <f>IF($A1207=VLOOKUP(YEAR($A1207),'Festive dates'!$A$2:$J$5,3,FALSE),1,0)</f>
        <v>0</v>
      </c>
      <c r="U1207" s="9">
        <f>IF($A1207=VLOOKUP(YEAR($A1207),'Festive dates'!$A$2:$J$5,4,FALSE),1,0)</f>
        <v>0</v>
      </c>
      <c r="V1207" s="9">
        <f>IF(AND($A1207&gt;=VLOOKUP(YEAR($A1207),'Festive dates'!$A$2:$J$5,9,FALSE),$A1207&lt;=VLOOKUP(YEAR($A1207),'Festive dates'!$A$2:$J$5,10,FALSE)),1,0)</f>
        <v>0</v>
      </c>
      <c r="W1207" s="9">
        <f>IF($A1207=VLOOKUP(YEAR($A1207),'Festive dates'!$A$2:$J$5,7,FALSE),1,0)</f>
        <v>0</v>
      </c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</row>
    <row r="1208" spans="1:51">
      <c r="A1208" s="8">
        <v>46223</v>
      </c>
      <c r="B1208" s="9">
        <v>0</v>
      </c>
      <c r="C1208" s="9">
        <v>0</v>
      </c>
      <c r="D1208" s="9">
        <v>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f>MAX(-20,MIN(10,$A1208-VLOOKUP(YEAR($A1208),'Festive dates'!$A$2:$J$5,8,FALSE)))</f>
        <v>-20</v>
      </c>
      <c r="R1208" s="9">
        <f>IF(AND($A1208&gt;VLOOKUP(YEAR($A1208),'Festive dates'!$A$2:$J$5,2,FALSE),$A1208&lt;VLOOKUP(YEAR($A1208),'Festive dates'!$A$2:$J$5,3,FALSE)),1,0)</f>
        <v>0</v>
      </c>
      <c r="S1208" s="9">
        <f>IF($A1208=VLOOKUP(YEAR($A1208),'Festive dates'!$A$2:$J$5,2,FALSE),1,0)</f>
        <v>0</v>
      </c>
      <c r="T1208" s="9">
        <f>IF($A1208=VLOOKUP(YEAR($A1208),'Festive dates'!$A$2:$J$5,3,FALSE),1,0)</f>
        <v>0</v>
      </c>
      <c r="U1208" s="9">
        <f>IF($A1208=VLOOKUP(YEAR($A1208),'Festive dates'!$A$2:$J$5,4,FALSE),1,0)</f>
        <v>0</v>
      </c>
      <c r="V1208" s="9">
        <f>IF(AND($A1208&gt;=VLOOKUP(YEAR($A1208),'Festive dates'!$A$2:$J$5,9,FALSE),$A1208&lt;=VLOOKUP(YEAR($A1208),'Festive dates'!$A$2:$J$5,10,FALSE)),1,0)</f>
        <v>0</v>
      </c>
      <c r="W1208" s="9">
        <f>IF($A1208=VLOOKUP(YEAR($A1208),'Festive dates'!$A$2:$J$5,7,FALSE),1,0)</f>
        <v>0</v>
      </c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</row>
    <row r="1209" spans="1:51">
      <c r="A1209" s="8">
        <v>46224</v>
      </c>
      <c r="B1209" s="9">
        <v>0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f>MAX(-20,MIN(10,$A1209-VLOOKUP(YEAR($A1209),'Festive dates'!$A$2:$J$5,8,FALSE)))</f>
        <v>-20</v>
      </c>
      <c r="R1209" s="9">
        <f>IF(AND($A1209&gt;VLOOKUP(YEAR($A1209),'Festive dates'!$A$2:$J$5,2,FALSE),$A1209&lt;VLOOKUP(YEAR($A1209),'Festive dates'!$A$2:$J$5,3,FALSE)),1,0)</f>
        <v>0</v>
      </c>
      <c r="S1209" s="9">
        <f>IF($A1209=VLOOKUP(YEAR($A1209),'Festive dates'!$A$2:$J$5,2,FALSE),1,0)</f>
        <v>0</v>
      </c>
      <c r="T1209" s="9">
        <f>IF($A1209=VLOOKUP(YEAR($A1209),'Festive dates'!$A$2:$J$5,3,FALSE),1,0)</f>
        <v>0</v>
      </c>
      <c r="U1209" s="9">
        <f>IF($A1209=VLOOKUP(YEAR($A1209),'Festive dates'!$A$2:$J$5,4,FALSE),1,0)</f>
        <v>0</v>
      </c>
      <c r="V1209" s="9">
        <f>IF(AND($A1209&gt;=VLOOKUP(YEAR($A1209),'Festive dates'!$A$2:$J$5,9,FALSE),$A1209&lt;=VLOOKUP(YEAR($A1209),'Festive dates'!$A$2:$J$5,10,FALSE)),1,0)</f>
        <v>0</v>
      </c>
      <c r="W1209" s="9">
        <f>IF($A1209=VLOOKUP(YEAR($A1209),'Festive dates'!$A$2:$J$5,7,FALSE),1,0)</f>
        <v>0</v>
      </c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</row>
    <row r="1210" spans="1:51">
      <c r="A1210" s="8">
        <v>46225</v>
      </c>
      <c r="B1210" s="9">
        <v>0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f>MAX(-20,MIN(10,$A1210-VLOOKUP(YEAR($A1210),'Festive dates'!$A$2:$J$5,8,FALSE)))</f>
        <v>-20</v>
      </c>
      <c r="R1210" s="9">
        <f>IF(AND($A1210&gt;VLOOKUP(YEAR($A1210),'Festive dates'!$A$2:$J$5,2,FALSE),$A1210&lt;VLOOKUP(YEAR($A1210),'Festive dates'!$A$2:$J$5,3,FALSE)),1,0)</f>
        <v>0</v>
      </c>
      <c r="S1210" s="9">
        <f>IF($A1210=VLOOKUP(YEAR($A1210),'Festive dates'!$A$2:$J$5,2,FALSE),1,0)</f>
        <v>0</v>
      </c>
      <c r="T1210" s="9">
        <f>IF($A1210=VLOOKUP(YEAR($A1210),'Festive dates'!$A$2:$J$5,3,FALSE),1,0)</f>
        <v>0</v>
      </c>
      <c r="U1210" s="9">
        <f>IF($A1210=VLOOKUP(YEAR($A1210),'Festive dates'!$A$2:$J$5,4,FALSE),1,0)</f>
        <v>0</v>
      </c>
      <c r="V1210" s="9">
        <f>IF(AND($A1210&gt;=VLOOKUP(YEAR($A1210),'Festive dates'!$A$2:$J$5,9,FALSE),$A1210&lt;=VLOOKUP(YEAR($A1210),'Festive dates'!$A$2:$J$5,10,FALSE)),1,0)</f>
        <v>0</v>
      </c>
      <c r="W1210" s="9">
        <f>IF($A1210=VLOOKUP(YEAR($A1210),'Festive dates'!$A$2:$J$5,7,FALSE),1,0)</f>
        <v>0</v>
      </c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</row>
    <row r="1211" spans="1:51">
      <c r="A1211" s="8">
        <v>46226</v>
      </c>
      <c r="B1211" s="9">
        <v>0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f>MAX(-20,MIN(10,$A1211-VLOOKUP(YEAR($A1211),'Festive dates'!$A$2:$J$5,8,FALSE)))</f>
        <v>-20</v>
      </c>
      <c r="R1211" s="9">
        <f>IF(AND($A1211&gt;VLOOKUP(YEAR($A1211),'Festive dates'!$A$2:$J$5,2,FALSE),$A1211&lt;VLOOKUP(YEAR($A1211),'Festive dates'!$A$2:$J$5,3,FALSE)),1,0)</f>
        <v>0</v>
      </c>
      <c r="S1211" s="9">
        <f>IF($A1211=VLOOKUP(YEAR($A1211),'Festive dates'!$A$2:$J$5,2,FALSE),1,0)</f>
        <v>0</v>
      </c>
      <c r="T1211" s="9">
        <f>IF($A1211=VLOOKUP(YEAR($A1211),'Festive dates'!$A$2:$J$5,3,FALSE),1,0)</f>
        <v>0</v>
      </c>
      <c r="U1211" s="9">
        <f>IF($A1211=VLOOKUP(YEAR($A1211),'Festive dates'!$A$2:$J$5,4,FALSE),1,0)</f>
        <v>0</v>
      </c>
      <c r="V1211" s="9">
        <f>IF(AND($A1211&gt;=VLOOKUP(YEAR($A1211),'Festive dates'!$A$2:$J$5,9,FALSE),$A1211&lt;=VLOOKUP(YEAR($A1211),'Festive dates'!$A$2:$J$5,10,FALSE)),1,0)</f>
        <v>0</v>
      </c>
      <c r="W1211" s="9">
        <f>IF($A1211=VLOOKUP(YEAR($A1211),'Festive dates'!$A$2:$J$5,7,FALSE),1,0)</f>
        <v>0</v>
      </c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</row>
    <row r="1212" spans="1:51">
      <c r="A1212" s="8">
        <v>46227</v>
      </c>
      <c r="B1212" s="9">
        <v>0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f>MAX(-20,MIN(10,$A1212-VLOOKUP(YEAR($A1212),'Festive dates'!$A$2:$J$5,8,FALSE)))</f>
        <v>-20</v>
      </c>
      <c r="R1212" s="9">
        <f>IF(AND($A1212&gt;VLOOKUP(YEAR($A1212),'Festive dates'!$A$2:$J$5,2,FALSE),$A1212&lt;VLOOKUP(YEAR($A1212),'Festive dates'!$A$2:$J$5,3,FALSE)),1,0)</f>
        <v>0</v>
      </c>
      <c r="S1212" s="9">
        <f>IF($A1212=VLOOKUP(YEAR($A1212),'Festive dates'!$A$2:$J$5,2,FALSE),1,0)</f>
        <v>0</v>
      </c>
      <c r="T1212" s="9">
        <f>IF($A1212=VLOOKUP(YEAR($A1212),'Festive dates'!$A$2:$J$5,3,FALSE),1,0)</f>
        <v>0</v>
      </c>
      <c r="U1212" s="9">
        <f>IF($A1212=VLOOKUP(YEAR($A1212),'Festive dates'!$A$2:$J$5,4,FALSE),1,0)</f>
        <v>0</v>
      </c>
      <c r="V1212" s="9">
        <f>IF(AND($A1212&gt;=VLOOKUP(YEAR($A1212),'Festive dates'!$A$2:$J$5,9,FALSE),$A1212&lt;=VLOOKUP(YEAR($A1212),'Festive dates'!$A$2:$J$5,10,FALSE)),1,0)</f>
        <v>0</v>
      </c>
      <c r="W1212" s="9">
        <f>IF($A1212=VLOOKUP(YEAR($A1212),'Festive dates'!$A$2:$J$5,7,FALSE),1,0)</f>
        <v>0</v>
      </c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</row>
    <row r="1213" spans="1:51">
      <c r="A1213" s="8">
        <v>46228</v>
      </c>
      <c r="B1213" s="9">
        <v>0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f>MAX(-20,MIN(10,$A1213-VLOOKUP(YEAR($A1213),'Festive dates'!$A$2:$J$5,8,FALSE)))</f>
        <v>-20</v>
      </c>
      <c r="R1213" s="9">
        <f>IF(AND($A1213&gt;VLOOKUP(YEAR($A1213),'Festive dates'!$A$2:$J$5,2,FALSE),$A1213&lt;VLOOKUP(YEAR($A1213),'Festive dates'!$A$2:$J$5,3,FALSE)),1,0)</f>
        <v>0</v>
      </c>
      <c r="S1213" s="9">
        <f>IF($A1213=VLOOKUP(YEAR($A1213),'Festive dates'!$A$2:$J$5,2,FALSE),1,0)</f>
        <v>0</v>
      </c>
      <c r="T1213" s="9">
        <f>IF($A1213=VLOOKUP(YEAR($A1213),'Festive dates'!$A$2:$J$5,3,FALSE),1,0)</f>
        <v>0</v>
      </c>
      <c r="U1213" s="9">
        <f>IF($A1213=VLOOKUP(YEAR($A1213),'Festive dates'!$A$2:$J$5,4,FALSE),1,0)</f>
        <v>0</v>
      </c>
      <c r="V1213" s="9">
        <f>IF(AND($A1213&gt;=VLOOKUP(YEAR($A1213),'Festive dates'!$A$2:$J$5,9,FALSE),$A1213&lt;=VLOOKUP(YEAR($A1213),'Festive dates'!$A$2:$J$5,10,FALSE)),1,0)</f>
        <v>0</v>
      </c>
      <c r="W1213" s="9">
        <f>IF($A1213=VLOOKUP(YEAR($A1213),'Festive dates'!$A$2:$J$5,7,FALSE),1,0)</f>
        <v>0</v>
      </c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</row>
    <row r="1214" spans="1:51">
      <c r="A1214" s="8">
        <v>46229</v>
      </c>
      <c r="B1214" s="9">
        <v>0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f>MAX(-20,MIN(10,$A1214-VLOOKUP(YEAR($A1214),'Festive dates'!$A$2:$J$5,8,FALSE)))</f>
        <v>-20</v>
      </c>
      <c r="R1214" s="9">
        <f>IF(AND($A1214&gt;VLOOKUP(YEAR($A1214),'Festive dates'!$A$2:$J$5,2,FALSE),$A1214&lt;VLOOKUP(YEAR($A1214),'Festive dates'!$A$2:$J$5,3,FALSE)),1,0)</f>
        <v>0</v>
      </c>
      <c r="S1214" s="9">
        <f>IF($A1214=VLOOKUP(YEAR($A1214),'Festive dates'!$A$2:$J$5,2,FALSE),1,0)</f>
        <v>0</v>
      </c>
      <c r="T1214" s="9">
        <f>IF($A1214=VLOOKUP(YEAR($A1214),'Festive dates'!$A$2:$J$5,3,FALSE),1,0)</f>
        <v>0</v>
      </c>
      <c r="U1214" s="9">
        <f>IF($A1214=VLOOKUP(YEAR($A1214),'Festive dates'!$A$2:$J$5,4,FALSE),1,0)</f>
        <v>0</v>
      </c>
      <c r="V1214" s="9">
        <f>IF(AND($A1214&gt;=VLOOKUP(YEAR($A1214),'Festive dates'!$A$2:$J$5,9,FALSE),$A1214&lt;=VLOOKUP(YEAR($A1214),'Festive dates'!$A$2:$J$5,10,FALSE)),1,0)</f>
        <v>0</v>
      </c>
      <c r="W1214" s="9">
        <f>IF($A1214=VLOOKUP(YEAR($A1214),'Festive dates'!$A$2:$J$5,7,FALSE),1,0)</f>
        <v>0</v>
      </c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</row>
    <row r="1215" spans="1:51">
      <c r="A1215" s="8">
        <v>46230</v>
      </c>
      <c r="B1215" s="9">
        <v>0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f>MAX(-20,MIN(10,$A1215-VLOOKUP(YEAR($A1215),'Festive dates'!$A$2:$J$5,8,FALSE)))</f>
        <v>-20</v>
      </c>
      <c r="R1215" s="9">
        <f>IF(AND($A1215&gt;VLOOKUP(YEAR($A1215),'Festive dates'!$A$2:$J$5,2,FALSE),$A1215&lt;VLOOKUP(YEAR($A1215),'Festive dates'!$A$2:$J$5,3,FALSE)),1,0)</f>
        <v>0</v>
      </c>
      <c r="S1215" s="9">
        <f>IF($A1215=VLOOKUP(YEAR($A1215),'Festive dates'!$A$2:$J$5,2,FALSE),1,0)</f>
        <v>0</v>
      </c>
      <c r="T1215" s="9">
        <f>IF($A1215=VLOOKUP(YEAR($A1215),'Festive dates'!$A$2:$J$5,3,FALSE),1,0)</f>
        <v>0</v>
      </c>
      <c r="U1215" s="9">
        <f>IF($A1215=VLOOKUP(YEAR($A1215),'Festive dates'!$A$2:$J$5,4,FALSE),1,0)</f>
        <v>0</v>
      </c>
      <c r="V1215" s="9">
        <f>IF(AND($A1215&gt;=VLOOKUP(YEAR($A1215),'Festive dates'!$A$2:$J$5,9,FALSE),$A1215&lt;=VLOOKUP(YEAR($A1215),'Festive dates'!$A$2:$J$5,10,FALSE)),1,0)</f>
        <v>0</v>
      </c>
      <c r="W1215" s="9">
        <f>IF($A1215=VLOOKUP(YEAR($A1215),'Festive dates'!$A$2:$J$5,7,FALSE),1,0)</f>
        <v>0</v>
      </c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</row>
    <row r="1216" spans="1:51">
      <c r="A1216" s="8">
        <v>46231</v>
      </c>
      <c r="B1216" s="9">
        <v>0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f>MAX(-20,MIN(10,$A1216-VLOOKUP(YEAR($A1216),'Festive dates'!$A$2:$J$5,8,FALSE)))</f>
        <v>-20</v>
      </c>
      <c r="R1216" s="9">
        <f>IF(AND($A1216&gt;VLOOKUP(YEAR($A1216),'Festive dates'!$A$2:$J$5,2,FALSE),$A1216&lt;VLOOKUP(YEAR($A1216),'Festive dates'!$A$2:$J$5,3,FALSE)),1,0)</f>
        <v>0</v>
      </c>
      <c r="S1216" s="9">
        <f>IF($A1216=VLOOKUP(YEAR($A1216),'Festive dates'!$A$2:$J$5,2,FALSE),1,0)</f>
        <v>0</v>
      </c>
      <c r="T1216" s="9">
        <f>IF($A1216=VLOOKUP(YEAR($A1216),'Festive dates'!$A$2:$J$5,3,FALSE),1,0)</f>
        <v>0</v>
      </c>
      <c r="U1216" s="9">
        <f>IF($A1216=VLOOKUP(YEAR($A1216),'Festive dates'!$A$2:$J$5,4,FALSE),1,0)</f>
        <v>0</v>
      </c>
      <c r="V1216" s="9">
        <f>IF(AND($A1216&gt;=VLOOKUP(YEAR($A1216),'Festive dates'!$A$2:$J$5,9,FALSE),$A1216&lt;=VLOOKUP(YEAR($A1216),'Festive dates'!$A$2:$J$5,10,FALSE)),1,0)</f>
        <v>0</v>
      </c>
      <c r="W1216" s="9">
        <f>IF($A1216=VLOOKUP(YEAR($A1216),'Festive dates'!$A$2:$J$5,7,FALSE),1,0)</f>
        <v>0</v>
      </c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</row>
    <row r="1217" spans="1:51">
      <c r="A1217" s="8">
        <v>46232</v>
      </c>
      <c r="B1217" s="9">
        <v>0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1</v>
      </c>
      <c r="N1217" s="9">
        <v>0</v>
      </c>
      <c r="O1217" s="9">
        <v>0</v>
      </c>
      <c r="P1217" s="9">
        <v>0</v>
      </c>
      <c r="Q1217" s="9">
        <f>MAX(-20,MIN(10,$A1217-VLOOKUP(YEAR($A1217),'Festive dates'!$A$2:$J$5,8,FALSE)))</f>
        <v>-20</v>
      </c>
      <c r="R1217" s="9">
        <f>IF(AND($A1217&gt;VLOOKUP(YEAR($A1217),'Festive dates'!$A$2:$J$5,2,FALSE),$A1217&lt;VLOOKUP(YEAR($A1217),'Festive dates'!$A$2:$J$5,3,FALSE)),1,0)</f>
        <v>0</v>
      </c>
      <c r="S1217" s="9">
        <f>IF($A1217=VLOOKUP(YEAR($A1217),'Festive dates'!$A$2:$J$5,2,FALSE),1,0)</f>
        <v>0</v>
      </c>
      <c r="T1217" s="9">
        <f>IF($A1217=VLOOKUP(YEAR($A1217),'Festive dates'!$A$2:$J$5,3,FALSE),1,0)</f>
        <v>0</v>
      </c>
      <c r="U1217" s="9">
        <f>IF($A1217=VLOOKUP(YEAR($A1217),'Festive dates'!$A$2:$J$5,4,FALSE),1,0)</f>
        <v>0</v>
      </c>
      <c r="V1217" s="9">
        <f>IF(AND($A1217&gt;=VLOOKUP(YEAR($A1217),'Festive dates'!$A$2:$J$5,9,FALSE),$A1217&lt;=VLOOKUP(YEAR($A1217),'Festive dates'!$A$2:$J$5,10,FALSE)),1,0)</f>
        <v>0</v>
      </c>
      <c r="W1217" s="9">
        <f>IF($A1217=VLOOKUP(YEAR($A1217),'Festive dates'!$A$2:$J$5,7,FALSE),1,0)</f>
        <v>0</v>
      </c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</row>
    <row r="1218" spans="1:51">
      <c r="A1218" s="8">
        <v>46233</v>
      </c>
      <c r="B1218" s="9">
        <v>0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f>MAX(-20,MIN(10,$A1218-VLOOKUP(YEAR($A1218),'Festive dates'!$A$2:$J$5,8,FALSE)))</f>
        <v>-20</v>
      </c>
      <c r="R1218" s="9">
        <f>IF(AND($A1218&gt;VLOOKUP(YEAR($A1218),'Festive dates'!$A$2:$J$5,2,FALSE),$A1218&lt;VLOOKUP(YEAR($A1218),'Festive dates'!$A$2:$J$5,3,FALSE)),1,0)</f>
        <v>0</v>
      </c>
      <c r="S1218" s="9">
        <f>IF($A1218=VLOOKUP(YEAR($A1218),'Festive dates'!$A$2:$J$5,2,FALSE),1,0)</f>
        <v>0</v>
      </c>
      <c r="T1218" s="9">
        <f>IF($A1218=VLOOKUP(YEAR($A1218),'Festive dates'!$A$2:$J$5,3,FALSE),1,0)</f>
        <v>0</v>
      </c>
      <c r="U1218" s="9">
        <f>IF($A1218=VLOOKUP(YEAR($A1218),'Festive dates'!$A$2:$J$5,4,FALSE),1,0)</f>
        <v>0</v>
      </c>
      <c r="V1218" s="9">
        <f>IF(AND($A1218&gt;=VLOOKUP(YEAR($A1218),'Festive dates'!$A$2:$J$5,9,FALSE),$A1218&lt;=VLOOKUP(YEAR($A1218),'Festive dates'!$A$2:$J$5,10,FALSE)),1,0)</f>
        <v>0</v>
      </c>
      <c r="W1218" s="9">
        <f>IF($A1218=VLOOKUP(YEAR($A1218),'Festive dates'!$A$2:$J$5,7,FALSE),1,0)</f>
        <v>0</v>
      </c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</row>
    <row r="1219" spans="1:51">
      <c r="A1219" s="8">
        <v>46234</v>
      </c>
      <c r="B1219" s="9">
        <v>0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f>MAX(-20,MIN(10,$A1219-VLOOKUP(YEAR($A1219),'Festive dates'!$A$2:$J$5,8,FALSE)))</f>
        <v>-20</v>
      </c>
      <c r="R1219" s="9">
        <f>IF(AND($A1219&gt;VLOOKUP(YEAR($A1219),'Festive dates'!$A$2:$J$5,2,FALSE),$A1219&lt;VLOOKUP(YEAR($A1219),'Festive dates'!$A$2:$J$5,3,FALSE)),1,0)</f>
        <v>0</v>
      </c>
      <c r="S1219" s="9">
        <f>IF($A1219=VLOOKUP(YEAR($A1219),'Festive dates'!$A$2:$J$5,2,FALSE),1,0)</f>
        <v>0</v>
      </c>
      <c r="T1219" s="9">
        <f>IF($A1219=VLOOKUP(YEAR($A1219),'Festive dates'!$A$2:$J$5,3,FALSE),1,0)</f>
        <v>0</v>
      </c>
      <c r="U1219" s="9">
        <f>IF($A1219=VLOOKUP(YEAR($A1219),'Festive dates'!$A$2:$J$5,4,FALSE),1,0)</f>
        <v>0</v>
      </c>
      <c r="V1219" s="9">
        <f>IF(AND($A1219&gt;=VLOOKUP(YEAR($A1219),'Festive dates'!$A$2:$J$5,9,FALSE),$A1219&lt;=VLOOKUP(YEAR($A1219),'Festive dates'!$A$2:$J$5,10,FALSE)),1,0)</f>
        <v>0</v>
      </c>
      <c r="W1219" s="9">
        <f>IF($A1219=VLOOKUP(YEAR($A1219),'Festive dates'!$A$2:$J$5,7,FALSE),1,0)</f>
        <v>0</v>
      </c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</row>
    <row r="1220" spans="1:51">
      <c r="A1220" s="8">
        <v>46235</v>
      </c>
      <c r="B1220" s="9">
        <v>0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f>MAX(-20,MIN(10,$A1220-VLOOKUP(YEAR($A1220),'Festive dates'!$A$2:$J$5,8,FALSE)))</f>
        <v>-20</v>
      </c>
      <c r="R1220" s="9">
        <f>IF(AND($A1220&gt;VLOOKUP(YEAR($A1220),'Festive dates'!$A$2:$J$5,2,FALSE),$A1220&lt;VLOOKUP(YEAR($A1220),'Festive dates'!$A$2:$J$5,3,FALSE)),1,0)</f>
        <v>0</v>
      </c>
      <c r="S1220" s="9">
        <f>IF($A1220=VLOOKUP(YEAR($A1220),'Festive dates'!$A$2:$J$5,2,FALSE),1,0)</f>
        <v>0</v>
      </c>
      <c r="T1220" s="9">
        <f>IF($A1220=VLOOKUP(YEAR($A1220),'Festive dates'!$A$2:$J$5,3,FALSE),1,0)</f>
        <v>0</v>
      </c>
      <c r="U1220" s="9">
        <f>IF($A1220=VLOOKUP(YEAR($A1220),'Festive dates'!$A$2:$J$5,4,FALSE),1,0)</f>
        <v>0</v>
      </c>
      <c r="V1220" s="9">
        <f>IF(AND($A1220&gt;=VLOOKUP(YEAR($A1220),'Festive dates'!$A$2:$J$5,9,FALSE),$A1220&lt;=VLOOKUP(YEAR($A1220),'Festive dates'!$A$2:$J$5,10,FALSE)),1,0)</f>
        <v>0</v>
      </c>
      <c r="W1220" s="9">
        <f>IF($A1220=VLOOKUP(YEAR($A1220),'Festive dates'!$A$2:$J$5,7,FALSE),1,0)</f>
        <v>0</v>
      </c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</row>
    <row r="1221" spans="1:51">
      <c r="A1221" s="8">
        <v>46236</v>
      </c>
      <c r="B1221" s="9">
        <v>0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f>MAX(-20,MIN(10,$A1221-VLOOKUP(YEAR($A1221),'Festive dates'!$A$2:$J$5,8,FALSE)))</f>
        <v>-20</v>
      </c>
      <c r="R1221" s="9">
        <f>IF(AND($A1221&gt;VLOOKUP(YEAR($A1221),'Festive dates'!$A$2:$J$5,2,FALSE),$A1221&lt;VLOOKUP(YEAR($A1221),'Festive dates'!$A$2:$J$5,3,FALSE)),1,0)</f>
        <v>0</v>
      </c>
      <c r="S1221" s="9">
        <f>IF($A1221=VLOOKUP(YEAR($A1221),'Festive dates'!$A$2:$J$5,2,FALSE),1,0)</f>
        <v>0</v>
      </c>
      <c r="T1221" s="9">
        <f>IF($A1221=VLOOKUP(YEAR($A1221),'Festive dates'!$A$2:$J$5,3,FALSE),1,0)</f>
        <v>0</v>
      </c>
      <c r="U1221" s="9">
        <f>IF($A1221=VLOOKUP(YEAR($A1221),'Festive dates'!$A$2:$J$5,4,FALSE),1,0)</f>
        <v>0</v>
      </c>
      <c r="V1221" s="9">
        <f>IF(AND($A1221&gt;=VLOOKUP(YEAR($A1221),'Festive dates'!$A$2:$J$5,9,FALSE),$A1221&lt;=VLOOKUP(YEAR($A1221),'Festive dates'!$A$2:$J$5,10,FALSE)),1,0)</f>
        <v>0</v>
      </c>
      <c r="W1221" s="9">
        <f>IF($A1221=VLOOKUP(YEAR($A1221),'Festive dates'!$A$2:$J$5,7,FALSE),1,0)</f>
        <v>0</v>
      </c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</row>
    <row r="1222" spans="1:51">
      <c r="A1222" s="8">
        <v>46237</v>
      </c>
      <c r="B1222" s="9">
        <v>0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f>MAX(-20,MIN(10,$A1222-VLOOKUP(YEAR($A1222),'Festive dates'!$A$2:$J$5,8,FALSE)))</f>
        <v>-20</v>
      </c>
      <c r="R1222" s="9">
        <f>IF(AND($A1222&gt;VLOOKUP(YEAR($A1222),'Festive dates'!$A$2:$J$5,2,FALSE),$A1222&lt;VLOOKUP(YEAR($A1222),'Festive dates'!$A$2:$J$5,3,FALSE)),1,0)</f>
        <v>0</v>
      </c>
      <c r="S1222" s="9">
        <f>IF($A1222=VLOOKUP(YEAR($A1222),'Festive dates'!$A$2:$J$5,2,FALSE),1,0)</f>
        <v>0</v>
      </c>
      <c r="T1222" s="9">
        <f>IF($A1222=VLOOKUP(YEAR($A1222),'Festive dates'!$A$2:$J$5,3,FALSE),1,0)</f>
        <v>0</v>
      </c>
      <c r="U1222" s="9">
        <f>IF($A1222=VLOOKUP(YEAR($A1222),'Festive dates'!$A$2:$J$5,4,FALSE),1,0)</f>
        <v>0</v>
      </c>
      <c r="V1222" s="9">
        <f>IF(AND($A1222&gt;=VLOOKUP(YEAR($A1222),'Festive dates'!$A$2:$J$5,9,FALSE),$A1222&lt;=VLOOKUP(YEAR($A1222),'Festive dates'!$A$2:$J$5,10,FALSE)),1,0)</f>
        <v>0</v>
      </c>
      <c r="W1222" s="9">
        <f>IF($A1222=VLOOKUP(YEAR($A1222),'Festive dates'!$A$2:$J$5,7,FALSE),1,0)</f>
        <v>0</v>
      </c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</row>
    <row r="1223" spans="1:51">
      <c r="A1223" s="8">
        <v>46238</v>
      </c>
      <c r="B1223" s="9">
        <v>0</v>
      </c>
      <c r="C1223" s="9">
        <v>0</v>
      </c>
      <c r="D1223" s="9">
        <v>0</v>
      </c>
      <c r="E1223" s="9">
        <v>0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f>MAX(-20,MIN(10,$A1223-VLOOKUP(YEAR($A1223),'Festive dates'!$A$2:$J$5,8,FALSE)))</f>
        <v>-20</v>
      </c>
      <c r="R1223" s="9">
        <f>IF(AND($A1223&gt;VLOOKUP(YEAR($A1223),'Festive dates'!$A$2:$J$5,2,FALSE),$A1223&lt;VLOOKUP(YEAR($A1223),'Festive dates'!$A$2:$J$5,3,FALSE)),1,0)</f>
        <v>0</v>
      </c>
      <c r="S1223" s="9">
        <f>IF($A1223=VLOOKUP(YEAR($A1223),'Festive dates'!$A$2:$J$5,2,FALSE),1,0)</f>
        <v>0</v>
      </c>
      <c r="T1223" s="9">
        <f>IF($A1223=VLOOKUP(YEAR($A1223),'Festive dates'!$A$2:$J$5,3,FALSE),1,0)</f>
        <v>0</v>
      </c>
      <c r="U1223" s="9">
        <f>IF($A1223=VLOOKUP(YEAR($A1223),'Festive dates'!$A$2:$J$5,4,FALSE),1,0)</f>
        <v>0</v>
      </c>
      <c r="V1223" s="9">
        <f>IF(AND($A1223&gt;=VLOOKUP(YEAR($A1223),'Festive dates'!$A$2:$J$5,9,FALSE),$A1223&lt;=VLOOKUP(YEAR($A1223),'Festive dates'!$A$2:$J$5,10,FALSE)),1,0)</f>
        <v>0</v>
      </c>
      <c r="W1223" s="9">
        <f>IF($A1223=VLOOKUP(YEAR($A1223),'Festive dates'!$A$2:$J$5,7,FALSE),1,0)</f>
        <v>0</v>
      </c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</row>
    <row r="1224" spans="1:51">
      <c r="A1224" s="8">
        <v>46239</v>
      </c>
      <c r="B1224" s="9">
        <v>0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f>MAX(-20,MIN(10,$A1224-VLOOKUP(YEAR($A1224),'Festive dates'!$A$2:$J$5,8,FALSE)))</f>
        <v>-20</v>
      </c>
      <c r="R1224" s="9">
        <f>IF(AND($A1224&gt;VLOOKUP(YEAR($A1224),'Festive dates'!$A$2:$J$5,2,FALSE),$A1224&lt;VLOOKUP(YEAR($A1224),'Festive dates'!$A$2:$J$5,3,FALSE)),1,0)</f>
        <v>0</v>
      </c>
      <c r="S1224" s="9">
        <f>IF($A1224=VLOOKUP(YEAR($A1224),'Festive dates'!$A$2:$J$5,2,FALSE),1,0)</f>
        <v>0</v>
      </c>
      <c r="T1224" s="9">
        <f>IF($A1224=VLOOKUP(YEAR($A1224),'Festive dates'!$A$2:$J$5,3,FALSE),1,0)</f>
        <v>0</v>
      </c>
      <c r="U1224" s="9">
        <f>IF($A1224=VLOOKUP(YEAR($A1224),'Festive dates'!$A$2:$J$5,4,FALSE),1,0)</f>
        <v>0</v>
      </c>
      <c r="V1224" s="9">
        <f>IF(AND($A1224&gt;=VLOOKUP(YEAR($A1224),'Festive dates'!$A$2:$J$5,9,FALSE),$A1224&lt;=VLOOKUP(YEAR($A1224),'Festive dates'!$A$2:$J$5,10,FALSE)),1,0)</f>
        <v>0</v>
      </c>
      <c r="W1224" s="9">
        <f>IF($A1224=VLOOKUP(YEAR($A1224),'Festive dates'!$A$2:$J$5,7,FALSE),1,0)</f>
        <v>0</v>
      </c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</row>
    <row r="1225" spans="1:51">
      <c r="A1225" s="8">
        <v>46240</v>
      </c>
      <c r="B1225" s="9">
        <v>0</v>
      </c>
      <c r="C1225" s="9">
        <v>0</v>
      </c>
      <c r="D1225" s="9">
        <v>0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f>MAX(-20,MIN(10,$A1225-VLOOKUP(YEAR($A1225),'Festive dates'!$A$2:$J$5,8,FALSE)))</f>
        <v>-20</v>
      </c>
      <c r="R1225" s="9">
        <f>IF(AND($A1225&gt;VLOOKUP(YEAR($A1225),'Festive dates'!$A$2:$J$5,2,FALSE),$A1225&lt;VLOOKUP(YEAR($A1225),'Festive dates'!$A$2:$J$5,3,FALSE)),1,0)</f>
        <v>0</v>
      </c>
      <c r="S1225" s="9">
        <f>IF($A1225=VLOOKUP(YEAR($A1225),'Festive dates'!$A$2:$J$5,2,FALSE),1,0)</f>
        <v>0</v>
      </c>
      <c r="T1225" s="9">
        <f>IF($A1225=VLOOKUP(YEAR($A1225),'Festive dates'!$A$2:$J$5,3,FALSE),1,0)</f>
        <v>0</v>
      </c>
      <c r="U1225" s="9">
        <f>IF($A1225=VLOOKUP(YEAR($A1225),'Festive dates'!$A$2:$J$5,4,FALSE),1,0)</f>
        <v>0</v>
      </c>
      <c r="V1225" s="9">
        <f>IF(AND($A1225&gt;=VLOOKUP(YEAR($A1225),'Festive dates'!$A$2:$J$5,9,FALSE),$A1225&lt;=VLOOKUP(YEAR($A1225),'Festive dates'!$A$2:$J$5,10,FALSE)),1,0)</f>
        <v>0</v>
      </c>
      <c r="W1225" s="9">
        <f>IF($A1225=VLOOKUP(YEAR($A1225),'Festive dates'!$A$2:$J$5,7,FALSE),1,0)</f>
        <v>0</v>
      </c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</row>
    <row r="1226" spans="1:51">
      <c r="A1226" s="8">
        <v>46241</v>
      </c>
      <c r="B1226" s="9">
        <v>0</v>
      </c>
      <c r="C1226" s="9">
        <v>0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f>MAX(-20,MIN(10,$A1226-VLOOKUP(YEAR($A1226),'Festive dates'!$A$2:$J$5,8,FALSE)))</f>
        <v>-20</v>
      </c>
      <c r="R1226" s="9">
        <f>IF(AND($A1226&gt;VLOOKUP(YEAR($A1226),'Festive dates'!$A$2:$J$5,2,FALSE),$A1226&lt;VLOOKUP(YEAR($A1226),'Festive dates'!$A$2:$J$5,3,FALSE)),1,0)</f>
        <v>0</v>
      </c>
      <c r="S1226" s="9">
        <f>IF($A1226=VLOOKUP(YEAR($A1226),'Festive dates'!$A$2:$J$5,2,FALSE),1,0)</f>
        <v>0</v>
      </c>
      <c r="T1226" s="9">
        <f>IF($A1226=VLOOKUP(YEAR($A1226),'Festive dates'!$A$2:$J$5,3,FALSE),1,0)</f>
        <v>0</v>
      </c>
      <c r="U1226" s="9">
        <f>IF($A1226=VLOOKUP(YEAR($A1226),'Festive dates'!$A$2:$J$5,4,FALSE),1,0)</f>
        <v>0</v>
      </c>
      <c r="V1226" s="9">
        <f>IF(AND($A1226&gt;=VLOOKUP(YEAR($A1226),'Festive dates'!$A$2:$J$5,9,FALSE),$A1226&lt;=VLOOKUP(YEAR($A1226),'Festive dates'!$A$2:$J$5,10,FALSE)),1,0)</f>
        <v>0</v>
      </c>
      <c r="W1226" s="9">
        <f>IF($A1226=VLOOKUP(YEAR($A1226),'Festive dates'!$A$2:$J$5,7,FALSE),1,0)</f>
        <v>0</v>
      </c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</row>
    <row r="1227" spans="1:51">
      <c r="A1227" s="8">
        <v>46242</v>
      </c>
      <c r="B1227" s="9">
        <v>0</v>
      </c>
      <c r="C1227" s="9">
        <v>0</v>
      </c>
      <c r="D1227" s="9">
        <v>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f>MAX(-20,MIN(10,$A1227-VLOOKUP(YEAR($A1227),'Festive dates'!$A$2:$J$5,8,FALSE)))</f>
        <v>-20</v>
      </c>
      <c r="R1227" s="9">
        <f>IF(AND($A1227&gt;VLOOKUP(YEAR($A1227),'Festive dates'!$A$2:$J$5,2,FALSE),$A1227&lt;VLOOKUP(YEAR($A1227),'Festive dates'!$A$2:$J$5,3,FALSE)),1,0)</f>
        <v>0</v>
      </c>
      <c r="S1227" s="9">
        <f>IF($A1227=VLOOKUP(YEAR($A1227),'Festive dates'!$A$2:$J$5,2,FALSE),1,0)</f>
        <v>0</v>
      </c>
      <c r="T1227" s="9">
        <f>IF($A1227=VLOOKUP(YEAR($A1227),'Festive dates'!$A$2:$J$5,3,FALSE),1,0)</f>
        <v>0</v>
      </c>
      <c r="U1227" s="9">
        <f>IF($A1227=VLOOKUP(YEAR($A1227),'Festive dates'!$A$2:$J$5,4,FALSE),1,0)</f>
        <v>0</v>
      </c>
      <c r="V1227" s="9">
        <f>IF(AND($A1227&gt;=VLOOKUP(YEAR($A1227),'Festive dates'!$A$2:$J$5,9,FALSE),$A1227&lt;=VLOOKUP(YEAR($A1227),'Festive dates'!$A$2:$J$5,10,FALSE)),1,0)</f>
        <v>0</v>
      </c>
      <c r="W1227" s="9">
        <f>IF($A1227=VLOOKUP(YEAR($A1227),'Festive dates'!$A$2:$J$5,7,FALSE),1,0)</f>
        <v>0</v>
      </c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</row>
    <row r="1228" spans="1:51">
      <c r="A1228" s="8">
        <v>46243</v>
      </c>
      <c r="B1228" s="9">
        <v>0</v>
      </c>
      <c r="C1228" s="9">
        <v>0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f>MAX(-20,MIN(10,$A1228-VLOOKUP(YEAR($A1228),'Festive dates'!$A$2:$J$5,8,FALSE)))</f>
        <v>-20</v>
      </c>
      <c r="R1228" s="9">
        <f>IF(AND($A1228&gt;VLOOKUP(YEAR($A1228),'Festive dates'!$A$2:$J$5,2,FALSE),$A1228&lt;VLOOKUP(YEAR($A1228),'Festive dates'!$A$2:$J$5,3,FALSE)),1,0)</f>
        <v>0</v>
      </c>
      <c r="S1228" s="9">
        <f>IF($A1228=VLOOKUP(YEAR($A1228),'Festive dates'!$A$2:$J$5,2,FALSE),1,0)</f>
        <v>0</v>
      </c>
      <c r="T1228" s="9">
        <f>IF($A1228=VLOOKUP(YEAR($A1228),'Festive dates'!$A$2:$J$5,3,FALSE),1,0)</f>
        <v>0</v>
      </c>
      <c r="U1228" s="9">
        <f>IF($A1228=VLOOKUP(YEAR($A1228),'Festive dates'!$A$2:$J$5,4,FALSE),1,0)</f>
        <v>0</v>
      </c>
      <c r="V1228" s="9">
        <f>IF(AND($A1228&gt;=VLOOKUP(YEAR($A1228),'Festive dates'!$A$2:$J$5,9,FALSE),$A1228&lt;=VLOOKUP(YEAR($A1228),'Festive dates'!$A$2:$J$5,10,FALSE)),1,0)</f>
        <v>0</v>
      </c>
      <c r="W1228" s="9">
        <f>IF($A1228=VLOOKUP(YEAR($A1228),'Festive dates'!$A$2:$J$5,7,FALSE),1,0)</f>
        <v>0</v>
      </c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</row>
    <row r="1229" spans="1:51">
      <c r="A1229" s="8">
        <v>46244</v>
      </c>
      <c r="B1229" s="9">
        <v>0</v>
      </c>
      <c r="C1229" s="9">
        <v>0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f>MAX(-20,MIN(10,$A1229-VLOOKUP(YEAR($A1229),'Festive dates'!$A$2:$J$5,8,FALSE)))</f>
        <v>-20</v>
      </c>
      <c r="R1229" s="9">
        <f>IF(AND($A1229&gt;VLOOKUP(YEAR($A1229),'Festive dates'!$A$2:$J$5,2,FALSE),$A1229&lt;VLOOKUP(YEAR($A1229),'Festive dates'!$A$2:$J$5,3,FALSE)),1,0)</f>
        <v>0</v>
      </c>
      <c r="S1229" s="9">
        <f>IF($A1229=VLOOKUP(YEAR($A1229),'Festive dates'!$A$2:$J$5,2,FALSE),1,0)</f>
        <v>0</v>
      </c>
      <c r="T1229" s="9">
        <f>IF($A1229=VLOOKUP(YEAR($A1229),'Festive dates'!$A$2:$J$5,3,FALSE),1,0)</f>
        <v>0</v>
      </c>
      <c r="U1229" s="9">
        <f>IF($A1229=VLOOKUP(YEAR($A1229),'Festive dates'!$A$2:$J$5,4,FALSE),1,0)</f>
        <v>0</v>
      </c>
      <c r="V1229" s="9">
        <f>IF(AND($A1229&gt;=VLOOKUP(YEAR($A1229),'Festive dates'!$A$2:$J$5,9,FALSE),$A1229&lt;=VLOOKUP(YEAR($A1229),'Festive dates'!$A$2:$J$5,10,FALSE)),1,0)</f>
        <v>0</v>
      </c>
      <c r="W1229" s="9">
        <f>IF($A1229=VLOOKUP(YEAR($A1229),'Festive dates'!$A$2:$J$5,7,FALSE),1,0)</f>
        <v>0</v>
      </c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</row>
    <row r="1230" spans="1:51">
      <c r="A1230" s="8">
        <v>46245</v>
      </c>
      <c r="B1230" s="9">
        <v>0</v>
      </c>
      <c r="C1230" s="9">
        <v>0</v>
      </c>
      <c r="D1230" s="9">
        <v>0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f>MAX(-20,MIN(10,$A1230-VLOOKUP(YEAR($A1230),'Festive dates'!$A$2:$J$5,8,FALSE)))</f>
        <v>-20</v>
      </c>
      <c r="R1230" s="9">
        <f>IF(AND($A1230&gt;VLOOKUP(YEAR($A1230),'Festive dates'!$A$2:$J$5,2,FALSE),$A1230&lt;VLOOKUP(YEAR($A1230),'Festive dates'!$A$2:$J$5,3,FALSE)),1,0)</f>
        <v>0</v>
      </c>
      <c r="S1230" s="9">
        <f>IF($A1230=VLOOKUP(YEAR($A1230),'Festive dates'!$A$2:$J$5,2,FALSE),1,0)</f>
        <v>0</v>
      </c>
      <c r="T1230" s="9">
        <f>IF($A1230=VLOOKUP(YEAR($A1230),'Festive dates'!$A$2:$J$5,3,FALSE),1,0)</f>
        <v>0</v>
      </c>
      <c r="U1230" s="9">
        <f>IF($A1230=VLOOKUP(YEAR($A1230),'Festive dates'!$A$2:$J$5,4,FALSE),1,0)</f>
        <v>0</v>
      </c>
      <c r="V1230" s="9">
        <f>IF(AND($A1230&gt;=VLOOKUP(YEAR($A1230),'Festive dates'!$A$2:$J$5,9,FALSE),$A1230&lt;=VLOOKUP(YEAR($A1230),'Festive dates'!$A$2:$J$5,10,FALSE)),1,0)</f>
        <v>0</v>
      </c>
      <c r="W1230" s="9">
        <f>IF($A1230=VLOOKUP(YEAR($A1230),'Festive dates'!$A$2:$J$5,7,FALSE),1,0)</f>
        <v>0</v>
      </c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</row>
    <row r="1231" spans="1:51">
      <c r="A1231" s="8">
        <v>46246</v>
      </c>
      <c r="B1231" s="9">
        <v>0</v>
      </c>
      <c r="C1231" s="9">
        <v>0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f>MAX(-20,MIN(10,$A1231-VLOOKUP(YEAR($A1231),'Festive dates'!$A$2:$J$5,8,FALSE)))</f>
        <v>-20</v>
      </c>
      <c r="R1231" s="9">
        <f>IF(AND($A1231&gt;VLOOKUP(YEAR($A1231),'Festive dates'!$A$2:$J$5,2,FALSE),$A1231&lt;VLOOKUP(YEAR($A1231),'Festive dates'!$A$2:$J$5,3,FALSE)),1,0)</f>
        <v>0</v>
      </c>
      <c r="S1231" s="9">
        <f>IF($A1231=VLOOKUP(YEAR($A1231),'Festive dates'!$A$2:$J$5,2,FALSE),1,0)</f>
        <v>0</v>
      </c>
      <c r="T1231" s="9">
        <f>IF($A1231=VLOOKUP(YEAR($A1231),'Festive dates'!$A$2:$J$5,3,FALSE),1,0)</f>
        <v>0</v>
      </c>
      <c r="U1231" s="9">
        <f>IF($A1231=VLOOKUP(YEAR($A1231),'Festive dates'!$A$2:$J$5,4,FALSE),1,0)</f>
        <v>0</v>
      </c>
      <c r="V1231" s="9">
        <f>IF(AND($A1231&gt;=VLOOKUP(YEAR($A1231),'Festive dates'!$A$2:$J$5,9,FALSE),$A1231&lt;=VLOOKUP(YEAR($A1231),'Festive dates'!$A$2:$J$5,10,FALSE)),1,0)</f>
        <v>0</v>
      </c>
      <c r="W1231" s="9">
        <f>IF($A1231=VLOOKUP(YEAR($A1231),'Festive dates'!$A$2:$J$5,7,FALSE),1,0)</f>
        <v>0</v>
      </c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</row>
    <row r="1232" spans="1:51">
      <c r="A1232" s="8">
        <v>46247</v>
      </c>
      <c r="B1232" s="9">
        <v>0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f>MAX(-20,MIN(10,$A1232-VLOOKUP(YEAR($A1232),'Festive dates'!$A$2:$J$5,8,FALSE)))</f>
        <v>-20</v>
      </c>
      <c r="R1232" s="9">
        <f>IF(AND($A1232&gt;VLOOKUP(YEAR($A1232),'Festive dates'!$A$2:$J$5,2,FALSE),$A1232&lt;VLOOKUP(YEAR($A1232),'Festive dates'!$A$2:$J$5,3,FALSE)),1,0)</f>
        <v>0</v>
      </c>
      <c r="S1232" s="9">
        <f>IF($A1232=VLOOKUP(YEAR($A1232),'Festive dates'!$A$2:$J$5,2,FALSE),1,0)</f>
        <v>0</v>
      </c>
      <c r="T1232" s="9">
        <f>IF($A1232=VLOOKUP(YEAR($A1232),'Festive dates'!$A$2:$J$5,3,FALSE),1,0)</f>
        <v>0</v>
      </c>
      <c r="U1232" s="9">
        <f>IF($A1232=VLOOKUP(YEAR($A1232),'Festive dates'!$A$2:$J$5,4,FALSE),1,0)</f>
        <v>0</v>
      </c>
      <c r="V1232" s="9">
        <f>IF(AND($A1232&gt;=VLOOKUP(YEAR($A1232),'Festive dates'!$A$2:$J$5,9,FALSE),$A1232&lt;=VLOOKUP(YEAR($A1232),'Festive dates'!$A$2:$J$5,10,FALSE)),1,0)</f>
        <v>0</v>
      </c>
      <c r="W1232" s="9">
        <f>IF($A1232=VLOOKUP(YEAR($A1232),'Festive dates'!$A$2:$J$5,7,FALSE),1,0)</f>
        <v>0</v>
      </c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</row>
    <row r="1233" spans="1:51">
      <c r="A1233" s="8">
        <v>46248</v>
      </c>
      <c r="B1233" s="9">
        <v>0</v>
      </c>
      <c r="C1233" s="9">
        <v>0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f>MAX(-20,MIN(10,$A1233-VLOOKUP(YEAR($A1233),'Festive dates'!$A$2:$J$5,8,FALSE)))</f>
        <v>-20</v>
      </c>
      <c r="R1233" s="9">
        <f>IF(AND($A1233&gt;VLOOKUP(YEAR($A1233),'Festive dates'!$A$2:$J$5,2,FALSE),$A1233&lt;VLOOKUP(YEAR($A1233),'Festive dates'!$A$2:$J$5,3,FALSE)),1,0)</f>
        <v>0</v>
      </c>
      <c r="S1233" s="9">
        <f>IF($A1233=VLOOKUP(YEAR($A1233),'Festive dates'!$A$2:$J$5,2,FALSE),1,0)</f>
        <v>0</v>
      </c>
      <c r="T1233" s="9">
        <f>IF($A1233=VLOOKUP(YEAR($A1233),'Festive dates'!$A$2:$J$5,3,FALSE),1,0)</f>
        <v>0</v>
      </c>
      <c r="U1233" s="9">
        <f>IF($A1233=VLOOKUP(YEAR($A1233),'Festive dates'!$A$2:$J$5,4,FALSE),1,0)</f>
        <v>0</v>
      </c>
      <c r="V1233" s="9">
        <f>IF(AND($A1233&gt;=VLOOKUP(YEAR($A1233),'Festive dates'!$A$2:$J$5,9,FALSE),$A1233&lt;=VLOOKUP(YEAR($A1233),'Festive dates'!$A$2:$J$5,10,FALSE)),1,0)</f>
        <v>0</v>
      </c>
      <c r="W1233" s="9">
        <f>IF($A1233=VLOOKUP(YEAR($A1233),'Festive dates'!$A$2:$J$5,7,FALSE),1,0)</f>
        <v>0</v>
      </c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</row>
    <row r="1234" spans="1:51">
      <c r="A1234" s="8">
        <v>46249</v>
      </c>
      <c r="B1234" s="9">
        <v>0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f>MAX(-20,MIN(10,$A1234-VLOOKUP(YEAR($A1234),'Festive dates'!$A$2:$J$5,8,FALSE)))</f>
        <v>-20</v>
      </c>
      <c r="R1234" s="9">
        <f>IF(AND($A1234&gt;VLOOKUP(YEAR($A1234),'Festive dates'!$A$2:$J$5,2,FALSE),$A1234&lt;VLOOKUP(YEAR($A1234),'Festive dates'!$A$2:$J$5,3,FALSE)),1,0)</f>
        <v>0</v>
      </c>
      <c r="S1234" s="9">
        <f>IF($A1234=VLOOKUP(YEAR($A1234),'Festive dates'!$A$2:$J$5,2,FALSE),1,0)</f>
        <v>0</v>
      </c>
      <c r="T1234" s="9">
        <f>IF($A1234=VLOOKUP(YEAR($A1234),'Festive dates'!$A$2:$J$5,3,FALSE),1,0)</f>
        <v>0</v>
      </c>
      <c r="U1234" s="9">
        <f>IF($A1234=VLOOKUP(YEAR($A1234),'Festive dates'!$A$2:$J$5,4,FALSE),1,0)</f>
        <v>0</v>
      </c>
      <c r="V1234" s="9">
        <f>IF(AND($A1234&gt;=VLOOKUP(YEAR($A1234),'Festive dates'!$A$2:$J$5,9,FALSE),$A1234&lt;=VLOOKUP(YEAR($A1234),'Festive dates'!$A$2:$J$5,10,FALSE)),1,0)</f>
        <v>0</v>
      </c>
      <c r="W1234" s="9">
        <f>IF($A1234=VLOOKUP(YEAR($A1234),'Festive dates'!$A$2:$J$5,7,FALSE),1,0)</f>
        <v>0</v>
      </c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</row>
    <row r="1235" spans="1:51">
      <c r="A1235" s="8">
        <v>46250</v>
      </c>
      <c r="B1235" s="9">
        <v>0</v>
      </c>
      <c r="C1235" s="9">
        <v>0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f>MAX(-20,MIN(10,$A1235-VLOOKUP(YEAR($A1235),'Festive dates'!$A$2:$J$5,8,FALSE)))</f>
        <v>-20</v>
      </c>
      <c r="R1235" s="9">
        <f>IF(AND($A1235&gt;VLOOKUP(YEAR($A1235),'Festive dates'!$A$2:$J$5,2,FALSE),$A1235&lt;VLOOKUP(YEAR($A1235),'Festive dates'!$A$2:$J$5,3,FALSE)),1,0)</f>
        <v>0</v>
      </c>
      <c r="S1235" s="9">
        <f>IF($A1235=VLOOKUP(YEAR($A1235),'Festive dates'!$A$2:$J$5,2,FALSE),1,0)</f>
        <v>0</v>
      </c>
      <c r="T1235" s="9">
        <f>IF($A1235=VLOOKUP(YEAR($A1235),'Festive dates'!$A$2:$J$5,3,FALSE),1,0)</f>
        <v>0</v>
      </c>
      <c r="U1235" s="9">
        <f>IF($A1235=VLOOKUP(YEAR($A1235),'Festive dates'!$A$2:$J$5,4,FALSE),1,0)</f>
        <v>0</v>
      </c>
      <c r="V1235" s="9">
        <f>IF(AND($A1235&gt;=VLOOKUP(YEAR($A1235),'Festive dates'!$A$2:$J$5,9,FALSE),$A1235&lt;=VLOOKUP(YEAR($A1235),'Festive dates'!$A$2:$J$5,10,FALSE)),1,0)</f>
        <v>0</v>
      </c>
      <c r="W1235" s="9">
        <f>IF($A1235=VLOOKUP(YEAR($A1235),'Festive dates'!$A$2:$J$5,7,FALSE),1,0)</f>
        <v>0</v>
      </c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</row>
    <row r="1236" spans="1:51">
      <c r="A1236" s="8">
        <v>46251</v>
      </c>
      <c r="B1236" s="9">
        <v>0</v>
      </c>
      <c r="C1236" s="9">
        <v>0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1</v>
      </c>
      <c r="O1236" s="9">
        <v>0</v>
      </c>
      <c r="P1236" s="9">
        <v>0</v>
      </c>
      <c r="Q1236" s="9">
        <f>MAX(-20,MIN(10,$A1236-VLOOKUP(YEAR($A1236),'Festive dates'!$A$2:$J$5,8,FALSE)))</f>
        <v>-20</v>
      </c>
      <c r="R1236" s="9">
        <f>IF(AND($A1236&gt;VLOOKUP(YEAR($A1236),'Festive dates'!$A$2:$J$5,2,FALSE),$A1236&lt;VLOOKUP(YEAR($A1236),'Festive dates'!$A$2:$J$5,3,FALSE)),1,0)</f>
        <v>0</v>
      </c>
      <c r="S1236" s="9">
        <f>IF($A1236=VLOOKUP(YEAR($A1236),'Festive dates'!$A$2:$J$5,2,FALSE),1,0)</f>
        <v>0</v>
      </c>
      <c r="T1236" s="9">
        <f>IF($A1236=VLOOKUP(YEAR($A1236),'Festive dates'!$A$2:$J$5,3,FALSE),1,0)</f>
        <v>0</v>
      </c>
      <c r="U1236" s="9">
        <f>IF($A1236=VLOOKUP(YEAR($A1236),'Festive dates'!$A$2:$J$5,4,FALSE),1,0)</f>
        <v>0</v>
      </c>
      <c r="V1236" s="9">
        <f>IF(AND($A1236&gt;=VLOOKUP(YEAR($A1236),'Festive dates'!$A$2:$J$5,9,FALSE),$A1236&lt;=VLOOKUP(YEAR($A1236),'Festive dates'!$A$2:$J$5,10,FALSE)),1,0)</f>
        <v>0</v>
      </c>
      <c r="W1236" s="9">
        <f>IF($A1236=VLOOKUP(YEAR($A1236),'Festive dates'!$A$2:$J$5,7,FALSE),1,0)</f>
        <v>0</v>
      </c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</row>
    <row r="1237" spans="1:51">
      <c r="A1237" s="8">
        <v>46252</v>
      </c>
      <c r="B1237" s="9">
        <v>0</v>
      </c>
      <c r="C1237" s="9">
        <v>0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f>MAX(-20,MIN(10,$A1237-VLOOKUP(YEAR($A1237),'Festive dates'!$A$2:$J$5,8,FALSE)))</f>
        <v>-20</v>
      </c>
      <c r="R1237" s="9">
        <f>IF(AND($A1237&gt;VLOOKUP(YEAR($A1237),'Festive dates'!$A$2:$J$5,2,FALSE),$A1237&lt;VLOOKUP(YEAR($A1237),'Festive dates'!$A$2:$J$5,3,FALSE)),1,0)</f>
        <v>0</v>
      </c>
      <c r="S1237" s="9">
        <f>IF($A1237=VLOOKUP(YEAR($A1237),'Festive dates'!$A$2:$J$5,2,FALSE),1,0)</f>
        <v>0</v>
      </c>
      <c r="T1237" s="9">
        <f>IF($A1237=VLOOKUP(YEAR($A1237),'Festive dates'!$A$2:$J$5,3,FALSE),1,0)</f>
        <v>0</v>
      </c>
      <c r="U1237" s="9">
        <f>IF($A1237=VLOOKUP(YEAR($A1237),'Festive dates'!$A$2:$J$5,4,FALSE),1,0)</f>
        <v>0</v>
      </c>
      <c r="V1237" s="9">
        <f>IF(AND($A1237&gt;=VLOOKUP(YEAR($A1237),'Festive dates'!$A$2:$J$5,9,FALSE),$A1237&lt;=VLOOKUP(YEAR($A1237),'Festive dates'!$A$2:$J$5,10,FALSE)),1,0)</f>
        <v>0</v>
      </c>
      <c r="W1237" s="9">
        <f>IF($A1237=VLOOKUP(YEAR($A1237),'Festive dates'!$A$2:$J$5,7,FALSE),1,0)</f>
        <v>0</v>
      </c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</row>
    <row r="1238" spans="1:51">
      <c r="A1238" s="8">
        <v>46253</v>
      </c>
      <c r="B1238" s="9">
        <v>0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f>MAX(-20,MIN(10,$A1238-VLOOKUP(YEAR($A1238),'Festive dates'!$A$2:$J$5,8,FALSE)))</f>
        <v>-20</v>
      </c>
      <c r="R1238" s="9">
        <f>IF(AND($A1238&gt;VLOOKUP(YEAR($A1238),'Festive dates'!$A$2:$J$5,2,FALSE),$A1238&lt;VLOOKUP(YEAR($A1238),'Festive dates'!$A$2:$J$5,3,FALSE)),1,0)</f>
        <v>0</v>
      </c>
      <c r="S1238" s="9">
        <f>IF($A1238=VLOOKUP(YEAR($A1238),'Festive dates'!$A$2:$J$5,2,FALSE),1,0)</f>
        <v>0</v>
      </c>
      <c r="T1238" s="9">
        <f>IF($A1238=VLOOKUP(YEAR($A1238),'Festive dates'!$A$2:$J$5,3,FALSE),1,0)</f>
        <v>0</v>
      </c>
      <c r="U1238" s="9">
        <f>IF($A1238=VLOOKUP(YEAR($A1238),'Festive dates'!$A$2:$J$5,4,FALSE),1,0)</f>
        <v>0</v>
      </c>
      <c r="V1238" s="9">
        <f>IF(AND($A1238&gt;=VLOOKUP(YEAR($A1238),'Festive dates'!$A$2:$J$5,9,FALSE),$A1238&lt;=VLOOKUP(YEAR($A1238),'Festive dates'!$A$2:$J$5,10,FALSE)),1,0)</f>
        <v>0</v>
      </c>
      <c r="W1238" s="9">
        <f>IF($A1238=VLOOKUP(YEAR($A1238),'Festive dates'!$A$2:$J$5,7,FALSE),1,0)</f>
        <v>0</v>
      </c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</row>
    <row r="1239" spans="1:51">
      <c r="A1239" s="8">
        <v>46254</v>
      </c>
      <c r="B1239" s="9">
        <v>0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f>MAX(-20,MIN(10,$A1239-VLOOKUP(YEAR($A1239),'Festive dates'!$A$2:$J$5,8,FALSE)))</f>
        <v>-20</v>
      </c>
      <c r="R1239" s="9">
        <f>IF(AND($A1239&gt;VLOOKUP(YEAR($A1239),'Festive dates'!$A$2:$J$5,2,FALSE),$A1239&lt;VLOOKUP(YEAR($A1239),'Festive dates'!$A$2:$J$5,3,FALSE)),1,0)</f>
        <v>0</v>
      </c>
      <c r="S1239" s="9">
        <f>IF($A1239=VLOOKUP(YEAR($A1239),'Festive dates'!$A$2:$J$5,2,FALSE),1,0)</f>
        <v>0</v>
      </c>
      <c r="T1239" s="9">
        <f>IF($A1239=VLOOKUP(YEAR($A1239),'Festive dates'!$A$2:$J$5,3,FALSE),1,0)</f>
        <v>0</v>
      </c>
      <c r="U1239" s="9">
        <f>IF($A1239=VLOOKUP(YEAR($A1239),'Festive dates'!$A$2:$J$5,4,FALSE),1,0)</f>
        <v>0</v>
      </c>
      <c r="V1239" s="9">
        <f>IF(AND($A1239&gt;=VLOOKUP(YEAR($A1239),'Festive dates'!$A$2:$J$5,9,FALSE),$A1239&lt;=VLOOKUP(YEAR($A1239),'Festive dates'!$A$2:$J$5,10,FALSE)),1,0)</f>
        <v>0</v>
      </c>
      <c r="W1239" s="9">
        <f>IF($A1239=VLOOKUP(YEAR($A1239),'Festive dates'!$A$2:$J$5,7,FALSE),1,0)</f>
        <v>0</v>
      </c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</row>
    <row r="1240" spans="1:51">
      <c r="A1240" s="8">
        <v>46255</v>
      </c>
      <c r="B1240" s="9">
        <v>0</v>
      </c>
      <c r="C1240" s="9">
        <v>0</v>
      </c>
      <c r="D1240" s="9">
        <v>0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f>MAX(-20,MIN(10,$A1240-VLOOKUP(YEAR($A1240),'Festive dates'!$A$2:$J$5,8,FALSE)))</f>
        <v>-20</v>
      </c>
      <c r="R1240" s="9">
        <f>IF(AND($A1240&gt;VLOOKUP(YEAR($A1240),'Festive dates'!$A$2:$J$5,2,FALSE),$A1240&lt;VLOOKUP(YEAR($A1240),'Festive dates'!$A$2:$J$5,3,FALSE)),1,0)</f>
        <v>0</v>
      </c>
      <c r="S1240" s="9">
        <f>IF($A1240=VLOOKUP(YEAR($A1240),'Festive dates'!$A$2:$J$5,2,FALSE),1,0)</f>
        <v>0</v>
      </c>
      <c r="T1240" s="9">
        <f>IF($A1240=VLOOKUP(YEAR($A1240),'Festive dates'!$A$2:$J$5,3,FALSE),1,0)</f>
        <v>0</v>
      </c>
      <c r="U1240" s="9">
        <f>IF($A1240=VLOOKUP(YEAR($A1240),'Festive dates'!$A$2:$J$5,4,FALSE),1,0)</f>
        <v>0</v>
      </c>
      <c r="V1240" s="9">
        <f>IF(AND($A1240&gt;=VLOOKUP(YEAR($A1240),'Festive dates'!$A$2:$J$5,9,FALSE),$A1240&lt;=VLOOKUP(YEAR($A1240),'Festive dates'!$A$2:$J$5,10,FALSE)),1,0)</f>
        <v>0</v>
      </c>
      <c r="W1240" s="9">
        <f>IF($A1240=VLOOKUP(YEAR($A1240),'Festive dates'!$A$2:$J$5,7,FALSE),1,0)</f>
        <v>0</v>
      </c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</row>
    <row r="1241" spans="1:51">
      <c r="A1241" s="8">
        <v>46256</v>
      </c>
      <c r="B1241" s="9">
        <v>0</v>
      </c>
      <c r="C1241" s="9">
        <v>0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f>MAX(-20,MIN(10,$A1241-VLOOKUP(YEAR($A1241),'Festive dates'!$A$2:$J$5,8,FALSE)))</f>
        <v>-20</v>
      </c>
      <c r="R1241" s="9">
        <f>IF(AND($A1241&gt;VLOOKUP(YEAR($A1241),'Festive dates'!$A$2:$J$5,2,FALSE),$A1241&lt;VLOOKUP(YEAR($A1241),'Festive dates'!$A$2:$J$5,3,FALSE)),1,0)</f>
        <v>0</v>
      </c>
      <c r="S1241" s="9">
        <f>IF($A1241=VLOOKUP(YEAR($A1241),'Festive dates'!$A$2:$J$5,2,FALSE),1,0)</f>
        <v>0</v>
      </c>
      <c r="T1241" s="9">
        <f>IF($A1241=VLOOKUP(YEAR($A1241),'Festive dates'!$A$2:$J$5,3,FALSE),1,0)</f>
        <v>0</v>
      </c>
      <c r="U1241" s="9">
        <f>IF($A1241=VLOOKUP(YEAR($A1241),'Festive dates'!$A$2:$J$5,4,FALSE),1,0)</f>
        <v>0</v>
      </c>
      <c r="V1241" s="9">
        <f>IF(AND($A1241&gt;=VLOOKUP(YEAR($A1241),'Festive dates'!$A$2:$J$5,9,FALSE),$A1241&lt;=VLOOKUP(YEAR($A1241),'Festive dates'!$A$2:$J$5,10,FALSE)),1,0)</f>
        <v>0</v>
      </c>
      <c r="W1241" s="9">
        <f>IF($A1241=VLOOKUP(YEAR($A1241),'Festive dates'!$A$2:$J$5,7,FALSE),1,0)</f>
        <v>0</v>
      </c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</row>
    <row r="1242" spans="1:51">
      <c r="A1242" s="8">
        <v>46257</v>
      </c>
      <c r="B1242" s="9">
        <v>0</v>
      </c>
      <c r="C1242" s="9">
        <v>0</v>
      </c>
      <c r="D1242" s="9">
        <v>0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f>MAX(-20,MIN(10,$A1242-VLOOKUP(YEAR($A1242),'Festive dates'!$A$2:$J$5,8,FALSE)))</f>
        <v>-20</v>
      </c>
      <c r="R1242" s="9">
        <f>IF(AND($A1242&gt;VLOOKUP(YEAR($A1242),'Festive dates'!$A$2:$J$5,2,FALSE),$A1242&lt;VLOOKUP(YEAR($A1242),'Festive dates'!$A$2:$J$5,3,FALSE)),1,0)</f>
        <v>0</v>
      </c>
      <c r="S1242" s="9">
        <f>IF($A1242=VLOOKUP(YEAR($A1242),'Festive dates'!$A$2:$J$5,2,FALSE),1,0)</f>
        <v>0</v>
      </c>
      <c r="T1242" s="9">
        <f>IF($A1242=VLOOKUP(YEAR($A1242),'Festive dates'!$A$2:$J$5,3,FALSE),1,0)</f>
        <v>0</v>
      </c>
      <c r="U1242" s="9">
        <f>IF($A1242=VLOOKUP(YEAR($A1242),'Festive dates'!$A$2:$J$5,4,FALSE),1,0)</f>
        <v>0</v>
      </c>
      <c r="V1242" s="9">
        <f>IF(AND($A1242&gt;=VLOOKUP(YEAR($A1242),'Festive dates'!$A$2:$J$5,9,FALSE),$A1242&lt;=VLOOKUP(YEAR($A1242),'Festive dates'!$A$2:$J$5,10,FALSE)),1,0)</f>
        <v>0</v>
      </c>
      <c r="W1242" s="9">
        <f>IF($A1242=VLOOKUP(YEAR($A1242),'Festive dates'!$A$2:$J$5,7,FALSE),1,0)</f>
        <v>0</v>
      </c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</row>
    <row r="1243" spans="1:51">
      <c r="A1243" s="8">
        <v>46258</v>
      </c>
      <c r="B1243" s="9">
        <v>0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f>MAX(-20,MIN(10,$A1243-VLOOKUP(YEAR($A1243),'Festive dates'!$A$2:$J$5,8,FALSE)))</f>
        <v>-20</v>
      </c>
      <c r="R1243" s="9">
        <f>IF(AND($A1243&gt;VLOOKUP(YEAR($A1243),'Festive dates'!$A$2:$J$5,2,FALSE),$A1243&lt;VLOOKUP(YEAR($A1243),'Festive dates'!$A$2:$J$5,3,FALSE)),1,0)</f>
        <v>0</v>
      </c>
      <c r="S1243" s="9">
        <f>IF($A1243=VLOOKUP(YEAR($A1243),'Festive dates'!$A$2:$J$5,2,FALSE),1,0)</f>
        <v>0</v>
      </c>
      <c r="T1243" s="9">
        <f>IF($A1243=VLOOKUP(YEAR($A1243),'Festive dates'!$A$2:$J$5,3,FALSE),1,0)</f>
        <v>0</v>
      </c>
      <c r="U1243" s="9">
        <f>IF($A1243=VLOOKUP(YEAR($A1243),'Festive dates'!$A$2:$J$5,4,FALSE),1,0)</f>
        <v>0</v>
      </c>
      <c r="V1243" s="9">
        <f>IF(AND($A1243&gt;=VLOOKUP(YEAR($A1243),'Festive dates'!$A$2:$J$5,9,FALSE),$A1243&lt;=VLOOKUP(YEAR($A1243),'Festive dates'!$A$2:$J$5,10,FALSE)),1,0)</f>
        <v>0</v>
      </c>
      <c r="W1243" s="9">
        <f>IF($A1243=VLOOKUP(YEAR($A1243),'Festive dates'!$A$2:$J$5,7,FALSE),1,0)</f>
        <v>0</v>
      </c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</row>
    <row r="1244" spans="1:51">
      <c r="A1244" s="8">
        <v>46259</v>
      </c>
      <c r="B1244" s="9">
        <v>0</v>
      </c>
      <c r="C1244" s="9">
        <v>0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f>MAX(-20,MIN(10,$A1244-VLOOKUP(YEAR($A1244),'Festive dates'!$A$2:$J$5,8,FALSE)))</f>
        <v>-20</v>
      </c>
      <c r="R1244" s="9">
        <f>IF(AND($A1244&gt;VLOOKUP(YEAR($A1244),'Festive dates'!$A$2:$J$5,2,FALSE),$A1244&lt;VLOOKUP(YEAR($A1244),'Festive dates'!$A$2:$J$5,3,FALSE)),1,0)</f>
        <v>0</v>
      </c>
      <c r="S1244" s="9">
        <f>IF($A1244=VLOOKUP(YEAR($A1244),'Festive dates'!$A$2:$J$5,2,FALSE),1,0)</f>
        <v>0</v>
      </c>
      <c r="T1244" s="9">
        <f>IF($A1244=VLOOKUP(YEAR($A1244),'Festive dates'!$A$2:$J$5,3,FALSE),1,0)</f>
        <v>0</v>
      </c>
      <c r="U1244" s="9">
        <f>IF($A1244=VLOOKUP(YEAR($A1244),'Festive dates'!$A$2:$J$5,4,FALSE),1,0)</f>
        <v>0</v>
      </c>
      <c r="V1244" s="9">
        <f>IF(AND($A1244&gt;=VLOOKUP(YEAR($A1244),'Festive dates'!$A$2:$J$5,9,FALSE),$A1244&lt;=VLOOKUP(YEAR($A1244),'Festive dates'!$A$2:$J$5,10,FALSE)),1,0)</f>
        <v>0</v>
      </c>
      <c r="W1244" s="9">
        <f>IF($A1244=VLOOKUP(YEAR($A1244),'Festive dates'!$A$2:$J$5,7,FALSE),1,0)</f>
        <v>0</v>
      </c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</row>
    <row r="1245" spans="1:51">
      <c r="A1245" s="8">
        <v>46260</v>
      </c>
      <c r="B1245" s="9">
        <v>0</v>
      </c>
      <c r="C1245" s="9">
        <v>0</v>
      </c>
      <c r="D1245" s="9">
        <v>0</v>
      </c>
      <c r="E1245" s="9">
        <v>0</v>
      </c>
      <c r="F1245" s="9">
        <v>0</v>
      </c>
      <c r="G1245" s="9">
        <v>1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f>MAX(-20,MIN(10,$A1245-VLOOKUP(YEAR($A1245),'Festive dates'!$A$2:$J$5,8,FALSE)))</f>
        <v>-20</v>
      </c>
      <c r="R1245" s="9">
        <f>IF(AND($A1245&gt;VLOOKUP(YEAR($A1245),'Festive dates'!$A$2:$J$5,2,FALSE),$A1245&lt;VLOOKUP(YEAR($A1245),'Festive dates'!$A$2:$J$5,3,FALSE)),1,0)</f>
        <v>0</v>
      </c>
      <c r="S1245" s="9">
        <f>IF($A1245=VLOOKUP(YEAR($A1245),'Festive dates'!$A$2:$J$5,2,FALSE),1,0)</f>
        <v>0</v>
      </c>
      <c r="T1245" s="9">
        <f>IF($A1245=VLOOKUP(YEAR($A1245),'Festive dates'!$A$2:$J$5,3,FALSE),1,0)</f>
        <v>0</v>
      </c>
      <c r="U1245" s="9">
        <f>IF($A1245=VLOOKUP(YEAR($A1245),'Festive dates'!$A$2:$J$5,4,FALSE),1,0)</f>
        <v>0</v>
      </c>
      <c r="V1245" s="9">
        <f>IF(AND($A1245&gt;=VLOOKUP(YEAR($A1245),'Festive dates'!$A$2:$J$5,9,FALSE),$A1245&lt;=VLOOKUP(YEAR($A1245),'Festive dates'!$A$2:$J$5,10,FALSE)),1,0)</f>
        <v>0</v>
      </c>
      <c r="W1245" s="9">
        <f>IF($A1245=VLOOKUP(YEAR($A1245),'Festive dates'!$A$2:$J$5,7,FALSE),1,0)</f>
        <v>0</v>
      </c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</row>
    <row r="1246" spans="1:51">
      <c r="A1246" s="8">
        <v>46261</v>
      </c>
      <c r="B1246" s="9">
        <v>0</v>
      </c>
      <c r="C1246" s="9">
        <v>0</v>
      </c>
      <c r="D1246" s="9">
        <v>0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f>MAX(-20,MIN(10,$A1246-VLOOKUP(YEAR($A1246),'Festive dates'!$A$2:$J$5,8,FALSE)))</f>
        <v>-20</v>
      </c>
      <c r="R1246" s="9">
        <f>IF(AND($A1246&gt;VLOOKUP(YEAR($A1246),'Festive dates'!$A$2:$J$5,2,FALSE),$A1246&lt;VLOOKUP(YEAR($A1246),'Festive dates'!$A$2:$J$5,3,FALSE)),1,0)</f>
        <v>0</v>
      </c>
      <c r="S1246" s="9">
        <f>IF($A1246=VLOOKUP(YEAR($A1246),'Festive dates'!$A$2:$J$5,2,FALSE),1,0)</f>
        <v>0</v>
      </c>
      <c r="T1246" s="9">
        <f>IF($A1246=VLOOKUP(YEAR($A1246),'Festive dates'!$A$2:$J$5,3,FALSE),1,0)</f>
        <v>0</v>
      </c>
      <c r="U1246" s="9">
        <f>IF($A1246=VLOOKUP(YEAR($A1246),'Festive dates'!$A$2:$J$5,4,FALSE),1,0)</f>
        <v>0</v>
      </c>
      <c r="V1246" s="9">
        <f>IF(AND($A1246&gt;=VLOOKUP(YEAR($A1246),'Festive dates'!$A$2:$J$5,9,FALSE),$A1246&lt;=VLOOKUP(YEAR($A1246),'Festive dates'!$A$2:$J$5,10,FALSE)),1,0)</f>
        <v>0</v>
      </c>
      <c r="W1246" s="9">
        <f>IF($A1246=VLOOKUP(YEAR($A1246),'Festive dates'!$A$2:$J$5,7,FALSE),1,0)</f>
        <v>0</v>
      </c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</row>
    <row r="1247" spans="1:51">
      <c r="A1247" s="8">
        <v>46262</v>
      </c>
      <c r="B1247" s="9">
        <v>0</v>
      </c>
      <c r="C1247" s="9">
        <v>0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1</v>
      </c>
      <c r="P1247" s="9">
        <v>0</v>
      </c>
      <c r="Q1247" s="9">
        <f>MAX(-20,MIN(10,$A1247-VLOOKUP(YEAR($A1247),'Festive dates'!$A$2:$J$5,8,FALSE)))</f>
        <v>-20</v>
      </c>
      <c r="R1247" s="9">
        <f>IF(AND($A1247&gt;VLOOKUP(YEAR($A1247),'Festive dates'!$A$2:$J$5,2,FALSE),$A1247&lt;VLOOKUP(YEAR($A1247),'Festive dates'!$A$2:$J$5,3,FALSE)),1,0)</f>
        <v>0</v>
      </c>
      <c r="S1247" s="9">
        <f>IF($A1247=VLOOKUP(YEAR($A1247),'Festive dates'!$A$2:$J$5,2,FALSE),1,0)</f>
        <v>0</v>
      </c>
      <c r="T1247" s="9">
        <f>IF($A1247=VLOOKUP(YEAR($A1247),'Festive dates'!$A$2:$J$5,3,FALSE),1,0)</f>
        <v>0</v>
      </c>
      <c r="U1247" s="9">
        <f>IF($A1247=VLOOKUP(YEAR($A1247),'Festive dates'!$A$2:$J$5,4,FALSE),1,0)</f>
        <v>0</v>
      </c>
      <c r="V1247" s="9">
        <f>IF(AND($A1247&gt;=VLOOKUP(YEAR($A1247),'Festive dates'!$A$2:$J$5,9,FALSE),$A1247&lt;=VLOOKUP(YEAR($A1247),'Festive dates'!$A$2:$J$5,10,FALSE)),1,0)</f>
        <v>0</v>
      </c>
      <c r="W1247" s="9">
        <f>IF($A1247=VLOOKUP(YEAR($A1247),'Festive dates'!$A$2:$J$5,7,FALSE),1,0)</f>
        <v>0</v>
      </c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</row>
    <row r="1248" spans="1:51">
      <c r="A1248" s="8">
        <v>46263</v>
      </c>
      <c r="B1248" s="9">
        <v>0</v>
      </c>
      <c r="C1248" s="9">
        <v>0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f>MAX(-20,MIN(10,$A1248-VLOOKUP(YEAR($A1248),'Festive dates'!$A$2:$J$5,8,FALSE)))</f>
        <v>-20</v>
      </c>
      <c r="R1248" s="9">
        <f>IF(AND($A1248&gt;VLOOKUP(YEAR($A1248),'Festive dates'!$A$2:$J$5,2,FALSE),$A1248&lt;VLOOKUP(YEAR($A1248),'Festive dates'!$A$2:$J$5,3,FALSE)),1,0)</f>
        <v>0</v>
      </c>
      <c r="S1248" s="9">
        <f>IF($A1248=VLOOKUP(YEAR($A1248),'Festive dates'!$A$2:$J$5,2,FALSE),1,0)</f>
        <v>0</v>
      </c>
      <c r="T1248" s="9">
        <f>IF($A1248=VLOOKUP(YEAR($A1248),'Festive dates'!$A$2:$J$5,3,FALSE),1,0)</f>
        <v>0</v>
      </c>
      <c r="U1248" s="9">
        <f>IF($A1248=VLOOKUP(YEAR($A1248),'Festive dates'!$A$2:$J$5,4,FALSE),1,0)</f>
        <v>0</v>
      </c>
      <c r="V1248" s="9">
        <f>IF(AND($A1248&gt;=VLOOKUP(YEAR($A1248),'Festive dates'!$A$2:$J$5,9,FALSE),$A1248&lt;=VLOOKUP(YEAR($A1248),'Festive dates'!$A$2:$J$5,10,FALSE)),1,0)</f>
        <v>0</v>
      </c>
      <c r="W1248" s="9">
        <f>IF($A1248=VLOOKUP(YEAR($A1248),'Festive dates'!$A$2:$J$5,7,FALSE),1,0)</f>
        <v>0</v>
      </c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</row>
    <row r="1249" spans="1:51">
      <c r="A1249" s="8">
        <v>46264</v>
      </c>
      <c r="B1249" s="9">
        <v>0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f>MAX(-20,MIN(10,$A1249-VLOOKUP(YEAR($A1249),'Festive dates'!$A$2:$J$5,8,FALSE)))</f>
        <v>-20</v>
      </c>
      <c r="R1249" s="9">
        <f>IF(AND($A1249&gt;VLOOKUP(YEAR($A1249),'Festive dates'!$A$2:$J$5,2,FALSE),$A1249&lt;VLOOKUP(YEAR($A1249),'Festive dates'!$A$2:$J$5,3,FALSE)),1,0)</f>
        <v>0</v>
      </c>
      <c r="S1249" s="9">
        <f>IF($A1249=VLOOKUP(YEAR($A1249),'Festive dates'!$A$2:$J$5,2,FALSE),1,0)</f>
        <v>0</v>
      </c>
      <c r="T1249" s="9">
        <f>IF($A1249=VLOOKUP(YEAR($A1249),'Festive dates'!$A$2:$J$5,3,FALSE),1,0)</f>
        <v>0</v>
      </c>
      <c r="U1249" s="9">
        <f>IF($A1249=VLOOKUP(YEAR($A1249),'Festive dates'!$A$2:$J$5,4,FALSE),1,0)</f>
        <v>0</v>
      </c>
      <c r="V1249" s="9">
        <f>IF(AND($A1249&gt;=VLOOKUP(YEAR($A1249),'Festive dates'!$A$2:$J$5,9,FALSE),$A1249&lt;=VLOOKUP(YEAR($A1249),'Festive dates'!$A$2:$J$5,10,FALSE)),1,0)</f>
        <v>0</v>
      </c>
      <c r="W1249" s="9">
        <f>IF($A1249=VLOOKUP(YEAR($A1249),'Festive dates'!$A$2:$J$5,7,FALSE),1,0)</f>
        <v>0</v>
      </c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</row>
    <row r="1250" spans="1:51">
      <c r="A1250" s="8">
        <v>46265</v>
      </c>
      <c r="B1250" s="9">
        <v>0</v>
      </c>
      <c r="C1250" s="9">
        <v>0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f>MAX(-20,MIN(10,$A1250-VLOOKUP(YEAR($A1250),'Festive dates'!$A$2:$J$5,8,FALSE)))</f>
        <v>-20</v>
      </c>
      <c r="R1250" s="9">
        <f>IF(AND($A1250&gt;VLOOKUP(YEAR($A1250),'Festive dates'!$A$2:$J$5,2,FALSE),$A1250&lt;VLOOKUP(YEAR($A1250),'Festive dates'!$A$2:$J$5,3,FALSE)),1,0)</f>
        <v>0</v>
      </c>
      <c r="S1250" s="9">
        <f>IF($A1250=VLOOKUP(YEAR($A1250),'Festive dates'!$A$2:$J$5,2,FALSE),1,0)</f>
        <v>0</v>
      </c>
      <c r="T1250" s="9">
        <f>IF($A1250=VLOOKUP(YEAR($A1250),'Festive dates'!$A$2:$J$5,3,FALSE),1,0)</f>
        <v>0</v>
      </c>
      <c r="U1250" s="9">
        <f>IF($A1250=VLOOKUP(YEAR($A1250),'Festive dates'!$A$2:$J$5,4,FALSE),1,0)</f>
        <v>0</v>
      </c>
      <c r="V1250" s="9">
        <f>IF(AND($A1250&gt;=VLOOKUP(YEAR($A1250),'Festive dates'!$A$2:$J$5,9,FALSE),$A1250&lt;=VLOOKUP(YEAR($A1250),'Festive dates'!$A$2:$J$5,10,FALSE)),1,0)</f>
        <v>0</v>
      </c>
      <c r="W1250" s="9">
        <f>IF($A1250=VLOOKUP(YEAR($A1250),'Festive dates'!$A$2:$J$5,7,FALSE),1,0)</f>
        <v>0</v>
      </c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</row>
    <row r="1251" spans="1:51">
      <c r="A1251" s="8">
        <v>46266</v>
      </c>
      <c r="B1251" s="9">
        <v>0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f>MAX(-20,MIN(10,$A1251-VLOOKUP(YEAR($A1251),'Festive dates'!$A$2:$J$5,8,FALSE)))</f>
        <v>-20</v>
      </c>
      <c r="R1251" s="9">
        <f>IF(AND($A1251&gt;VLOOKUP(YEAR($A1251),'Festive dates'!$A$2:$J$5,2,FALSE),$A1251&lt;VLOOKUP(YEAR($A1251),'Festive dates'!$A$2:$J$5,3,FALSE)),1,0)</f>
        <v>0</v>
      </c>
      <c r="S1251" s="9">
        <f>IF($A1251=VLOOKUP(YEAR($A1251),'Festive dates'!$A$2:$J$5,2,FALSE),1,0)</f>
        <v>0</v>
      </c>
      <c r="T1251" s="9">
        <f>IF($A1251=VLOOKUP(YEAR($A1251),'Festive dates'!$A$2:$J$5,3,FALSE),1,0)</f>
        <v>0</v>
      </c>
      <c r="U1251" s="9">
        <f>IF($A1251=VLOOKUP(YEAR($A1251),'Festive dates'!$A$2:$J$5,4,FALSE),1,0)</f>
        <v>0</v>
      </c>
      <c r="V1251" s="9">
        <f>IF(AND($A1251&gt;=VLOOKUP(YEAR($A1251),'Festive dates'!$A$2:$J$5,9,FALSE),$A1251&lt;=VLOOKUP(YEAR($A1251),'Festive dates'!$A$2:$J$5,10,FALSE)),1,0)</f>
        <v>0</v>
      </c>
      <c r="W1251" s="9">
        <f>IF($A1251=VLOOKUP(YEAR($A1251),'Festive dates'!$A$2:$J$5,7,FALSE),1,0)</f>
        <v>0</v>
      </c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</row>
    <row r="1252" spans="1:51">
      <c r="A1252" s="8">
        <v>46267</v>
      </c>
      <c r="B1252" s="9">
        <v>0</v>
      </c>
      <c r="C1252" s="9">
        <v>0</v>
      </c>
      <c r="D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f>MAX(-20,MIN(10,$A1252-VLOOKUP(YEAR($A1252),'Festive dates'!$A$2:$J$5,8,FALSE)))</f>
        <v>-20</v>
      </c>
      <c r="R1252" s="9">
        <f>IF(AND($A1252&gt;VLOOKUP(YEAR($A1252),'Festive dates'!$A$2:$J$5,2,FALSE),$A1252&lt;VLOOKUP(YEAR($A1252),'Festive dates'!$A$2:$J$5,3,FALSE)),1,0)</f>
        <v>0</v>
      </c>
      <c r="S1252" s="9">
        <f>IF($A1252=VLOOKUP(YEAR($A1252),'Festive dates'!$A$2:$J$5,2,FALSE),1,0)</f>
        <v>0</v>
      </c>
      <c r="T1252" s="9">
        <f>IF($A1252=VLOOKUP(YEAR($A1252),'Festive dates'!$A$2:$J$5,3,FALSE),1,0)</f>
        <v>0</v>
      </c>
      <c r="U1252" s="9">
        <f>IF($A1252=VLOOKUP(YEAR($A1252),'Festive dates'!$A$2:$J$5,4,FALSE),1,0)</f>
        <v>0</v>
      </c>
      <c r="V1252" s="9">
        <f>IF(AND($A1252&gt;=VLOOKUP(YEAR($A1252),'Festive dates'!$A$2:$J$5,9,FALSE),$A1252&lt;=VLOOKUP(YEAR($A1252),'Festive dates'!$A$2:$J$5,10,FALSE)),1,0)</f>
        <v>0</v>
      </c>
      <c r="W1252" s="9">
        <f>IF($A1252=VLOOKUP(YEAR($A1252),'Festive dates'!$A$2:$J$5,7,FALSE),1,0)</f>
        <v>0</v>
      </c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</row>
    <row r="1253" spans="1:51">
      <c r="A1253" s="8">
        <v>46268</v>
      </c>
      <c r="B1253" s="9">
        <v>0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f>MAX(-20,MIN(10,$A1253-VLOOKUP(YEAR($A1253),'Festive dates'!$A$2:$J$5,8,FALSE)))</f>
        <v>-20</v>
      </c>
      <c r="R1253" s="9">
        <f>IF(AND($A1253&gt;VLOOKUP(YEAR($A1253),'Festive dates'!$A$2:$J$5,2,FALSE),$A1253&lt;VLOOKUP(YEAR($A1253),'Festive dates'!$A$2:$J$5,3,FALSE)),1,0)</f>
        <v>0</v>
      </c>
      <c r="S1253" s="9">
        <f>IF($A1253=VLOOKUP(YEAR($A1253),'Festive dates'!$A$2:$J$5,2,FALSE),1,0)</f>
        <v>0</v>
      </c>
      <c r="T1253" s="9">
        <f>IF($A1253=VLOOKUP(YEAR($A1253),'Festive dates'!$A$2:$J$5,3,FALSE),1,0)</f>
        <v>0</v>
      </c>
      <c r="U1253" s="9">
        <f>IF($A1253=VLOOKUP(YEAR($A1253),'Festive dates'!$A$2:$J$5,4,FALSE),1,0)</f>
        <v>0</v>
      </c>
      <c r="V1253" s="9">
        <f>IF(AND($A1253&gt;=VLOOKUP(YEAR($A1253),'Festive dates'!$A$2:$J$5,9,FALSE),$A1253&lt;=VLOOKUP(YEAR($A1253),'Festive dates'!$A$2:$J$5,10,FALSE)),1,0)</f>
        <v>0</v>
      </c>
      <c r="W1253" s="9">
        <f>IF($A1253=VLOOKUP(YEAR($A1253),'Festive dates'!$A$2:$J$5,7,FALSE),1,0)</f>
        <v>0</v>
      </c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</row>
    <row r="1254" spans="1:51">
      <c r="A1254" s="8">
        <v>46269</v>
      </c>
      <c r="B1254" s="9">
        <v>0</v>
      </c>
      <c r="C1254" s="9">
        <v>0</v>
      </c>
      <c r="D1254" s="9">
        <v>1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f>MAX(-20,MIN(10,$A1254-VLOOKUP(YEAR($A1254),'Festive dates'!$A$2:$J$5,8,FALSE)))</f>
        <v>-20</v>
      </c>
      <c r="R1254" s="9">
        <f>IF(AND($A1254&gt;VLOOKUP(YEAR($A1254),'Festive dates'!$A$2:$J$5,2,FALSE),$A1254&lt;VLOOKUP(YEAR($A1254),'Festive dates'!$A$2:$J$5,3,FALSE)),1,0)</f>
        <v>0</v>
      </c>
      <c r="S1254" s="9">
        <f>IF($A1254=VLOOKUP(YEAR($A1254),'Festive dates'!$A$2:$J$5,2,FALSE),1,0)</f>
        <v>0</v>
      </c>
      <c r="T1254" s="9">
        <f>IF($A1254=VLOOKUP(YEAR($A1254),'Festive dates'!$A$2:$J$5,3,FALSE),1,0)</f>
        <v>0</v>
      </c>
      <c r="U1254" s="9">
        <f>IF($A1254=VLOOKUP(YEAR($A1254),'Festive dates'!$A$2:$J$5,4,FALSE),1,0)</f>
        <v>0</v>
      </c>
      <c r="V1254" s="9">
        <f>IF(AND($A1254&gt;=VLOOKUP(YEAR($A1254),'Festive dates'!$A$2:$J$5,9,FALSE),$A1254&lt;=VLOOKUP(YEAR($A1254),'Festive dates'!$A$2:$J$5,10,FALSE)),1,0)</f>
        <v>0</v>
      </c>
      <c r="W1254" s="9">
        <f>IF($A1254=VLOOKUP(YEAR($A1254),'Festive dates'!$A$2:$J$5,7,FALSE),1,0)</f>
        <v>0</v>
      </c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</row>
    <row r="1255" spans="1:51">
      <c r="A1255" s="8">
        <v>46270</v>
      </c>
      <c r="B1255" s="9">
        <v>0</v>
      </c>
      <c r="C1255" s="9">
        <v>0</v>
      </c>
      <c r="D1255" s="9">
        <v>0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f>MAX(-20,MIN(10,$A1255-VLOOKUP(YEAR($A1255),'Festive dates'!$A$2:$J$5,8,FALSE)))</f>
        <v>-20</v>
      </c>
      <c r="R1255" s="9">
        <f>IF(AND($A1255&gt;VLOOKUP(YEAR($A1255),'Festive dates'!$A$2:$J$5,2,FALSE),$A1255&lt;VLOOKUP(YEAR($A1255),'Festive dates'!$A$2:$J$5,3,FALSE)),1,0)</f>
        <v>0</v>
      </c>
      <c r="S1255" s="9">
        <f>IF($A1255=VLOOKUP(YEAR($A1255),'Festive dates'!$A$2:$J$5,2,FALSE),1,0)</f>
        <v>0</v>
      </c>
      <c r="T1255" s="9">
        <f>IF($A1255=VLOOKUP(YEAR($A1255),'Festive dates'!$A$2:$J$5,3,FALSE),1,0)</f>
        <v>0</v>
      </c>
      <c r="U1255" s="9">
        <f>IF($A1255=VLOOKUP(YEAR($A1255),'Festive dates'!$A$2:$J$5,4,FALSE),1,0)</f>
        <v>0</v>
      </c>
      <c r="V1255" s="9">
        <f>IF(AND($A1255&gt;=VLOOKUP(YEAR($A1255),'Festive dates'!$A$2:$J$5,9,FALSE),$A1255&lt;=VLOOKUP(YEAR($A1255),'Festive dates'!$A$2:$J$5,10,FALSE)),1,0)</f>
        <v>0</v>
      </c>
      <c r="W1255" s="9">
        <f>IF($A1255=VLOOKUP(YEAR($A1255),'Festive dates'!$A$2:$J$5,7,FALSE),1,0)</f>
        <v>0</v>
      </c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</row>
    <row r="1256" spans="1:51">
      <c r="A1256" s="8">
        <v>46271</v>
      </c>
      <c r="B1256" s="9">
        <v>0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f>MAX(-20,MIN(10,$A1256-VLOOKUP(YEAR($A1256),'Festive dates'!$A$2:$J$5,8,FALSE)))</f>
        <v>-20</v>
      </c>
      <c r="R1256" s="9">
        <f>IF(AND($A1256&gt;VLOOKUP(YEAR($A1256),'Festive dates'!$A$2:$J$5,2,FALSE),$A1256&lt;VLOOKUP(YEAR($A1256),'Festive dates'!$A$2:$J$5,3,FALSE)),1,0)</f>
        <v>0</v>
      </c>
      <c r="S1256" s="9">
        <f>IF($A1256=VLOOKUP(YEAR($A1256),'Festive dates'!$A$2:$J$5,2,FALSE),1,0)</f>
        <v>0</v>
      </c>
      <c r="T1256" s="9">
        <f>IF($A1256=VLOOKUP(YEAR($A1256),'Festive dates'!$A$2:$J$5,3,FALSE),1,0)</f>
        <v>0</v>
      </c>
      <c r="U1256" s="9">
        <f>IF($A1256=VLOOKUP(YEAR($A1256),'Festive dates'!$A$2:$J$5,4,FALSE),1,0)</f>
        <v>0</v>
      </c>
      <c r="V1256" s="9">
        <f>IF(AND($A1256&gt;=VLOOKUP(YEAR($A1256),'Festive dates'!$A$2:$J$5,9,FALSE),$A1256&lt;=VLOOKUP(YEAR($A1256),'Festive dates'!$A$2:$J$5,10,FALSE)),1,0)</f>
        <v>0</v>
      </c>
      <c r="W1256" s="9">
        <f>IF($A1256=VLOOKUP(YEAR($A1256),'Festive dates'!$A$2:$J$5,7,FALSE),1,0)</f>
        <v>0</v>
      </c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</row>
    <row r="1257" spans="1:51">
      <c r="A1257" s="8">
        <v>46272</v>
      </c>
      <c r="B1257" s="9">
        <v>0</v>
      </c>
      <c r="C1257" s="9">
        <v>0</v>
      </c>
      <c r="D1257" s="9">
        <v>0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f>MAX(-20,MIN(10,$A1257-VLOOKUP(YEAR($A1257),'Festive dates'!$A$2:$J$5,8,FALSE)))</f>
        <v>-20</v>
      </c>
      <c r="R1257" s="9">
        <f>IF(AND($A1257&gt;VLOOKUP(YEAR($A1257),'Festive dates'!$A$2:$J$5,2,FALSE),$A1257&lt;VLOOKUP(YEAR($A1257),'Festive dates'!$A$2:$J$5,3,FALSE)),1,0)</f>
        <v>0</v>
      </c>
      <c r="S1257" s="9">
        <f>IF($A1257=VLOOKUP(YEAR($A1257),'Festive dates'!$A$2:$J$5,2,FALSE),1,0)</f>
        <v>0</v>
      </c>
      <c r="T1257" s="9">
        <f>IF($A1257=VLOOKUP(YEAR($A1257),'Festive dates'!$A$2:$J$5,3,FALSE),1,0)</f>
        <v>0</v>
      </c>
      <c r="U1257" s="9">
        <f>IF($A1257=VLOOKUP(YEAR($A1257),'Festive dates'!$A$2:$J$5,4,FALSE),1,0)</f>
        <v>0</v>
      </c>
      <c r="V1257" s="9">
        <f>IF(AND($A1257&gt;=VLOOKUP(YEAR($A1257),'Festive dates'!$A$2:$J$5,9,FALSE),$A1257&lt;=VLOOKUP(YEAR($A1257),'Festive dates'!$A$2:$J$5,10,FALSE)),1,0)</f>
        <v>0</v>
      </c>
      <c r="W1257" s="9">
        <f>IF($A1257=VLOOKUP(YEAR($A1257),'Festive dates'!$A$2:$J$5,7,FALSE),1,0)</f>
        <v>0</v>
      </c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</row>
    <row r="1258" spans="1:51">
      <c r="A1258" s="8">
        <v>46273</v>
      </c>
      <c r="B1258" s="9">
        <v>0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f>MAX(-20,MIN(10,$A1258-VLOOKUP(YEAR($A1258),'Festive dates'!$A$2:$J$5,8,FALSE)))</f>
        <v>-20</v>
      </c>
      <c r="R1258" s="9">
        <f>IF(AND($A1258&gt;VLOOKUP(YEAR($A1258),'Festive dates'!$A$2:$J$5,2,FALSE),$A1258&lt;VLOOKUP(YEAR($A1258),'Festive dates'!$A$2:$J$5,3,FALSE)),1,0)</f>
        <v>0</v>
      </c>
      <c r="S1258" s="9">
        <f>IF($A1258=VLOOKUP(YEAR($A1258),'Festive dates'!$A$2:$J$5,2,FALSE),1,0)</f>
        <v>0</v>
      </c>
      <c r="T1258" s="9">
        <f>IF($A1258=VLOOKUP(YEAR($A1258),'Festive dates'!$A$2:$J$5,3,FALSE),1,0)</f>
        <v>0</v>
      </c>
      <c r="U1258" s="9">
        <f>IF($A1258=VLOOKUP(YEAR($A1258),'Festive dates'!$A$2:$J$5,4,FALSE),1,0)</f>
        <v>0</v>
      </c>
      <c r="V1258" s="9">
        <f>IF(AND($A1258&gt;=VLOOKUP(YEAR($A1258),'Festive dates'!$A$2:$J$5,9,FALSE),$A1258&lt;=VLOOKUP(YEAR($A1258),'Festive dates'!$A$2:$J$5,10,FALSE)),1,0)</f>
        <v>0</v>
      </c>
      <c r="W1258" s="9">
        <f>IF($A1258=VLOOKUP(YEAR($A1258),'Festive dates'!$A$2:$J$5,7,FALSE),1,0)</f>
        <v>0</v>
      </c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</row>
    <row r="1259" spans="1:51">
      <c r="A1259" s="8">
        <v>46274</v>
      </c>
      <c r="B1259" s="9">
        <v>0</v>
      </c>
      <c r="C1259" s="9">
        <v>0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f>MAX(-20,MIN(10,$A1259-VLOOKUP(YEAR($A1259),'Festive dates'!$A$2:$J$5,8,FALSE)))</f>
        <v>-20</v>
      </c>
      <c r="R1259" s="9">
        <f>IF(AND($A1259&gt;VLOOKUP(YEAR($A1259),'Festive dates'!$A$2:$J$5,2,FALSE),$A1259&lt;VLOOKUP(YEAR($A1259),'Festive dates'!$A$2:$J$5,3,FALSE)),1,0)</f>
        <v>0</v>
      </c>
      <c r="S1259" s="9">
        <f>IF($A1259=VLOOKUP(YEAR($A1259),'Festive dates'!$A$2:$J$5,2,FALSE),1,0)</f>
        <v>0</v>
      </c>
      <c r="T1259" s="9">
        <f>IF($A1259=VLOOKUP(YEAR($A1259),'Festive dates'!$A$2:$J$5,3,FALSE),1,0)</f>
        <v>0</v>
      </c>
      <c r="U1259" s="9">
        <f>IF($A1259=VLOOKUP(YEAR($A1259),'Festive dates'!$A$2:$J$5,4,FALSE),1,0)</f>
        <v>0</v>
      </c>
      <c r="V1259" s="9">
        <f>IF(AND($A1259&gt;=VLOOKUP(YEAR($A1259),'Festive dates'!$A$2:$J$5,9,FALSE),$A1259&lt;=VLOOKUP(YEAR($A1259),'Festive dates'!$A$2:$J$5,10,FALSE)),1,0)</f>
        <v>0</v>
      </c>
      <c r="W1259" s="9">
        <f>IF($A1259=VLOOKUP(YEAR($A1259),'Festive dates'!$A$2:$J$5,7,FALSE),1,0)</f>
        <v>0</v>
      </c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</row>
    <row r="1260" spans="1:51">
      <c r="A1260" s="8">
        <v>46275</v>
      </c>
      <c r="B1260" s="9">
        <v>0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f>MAX(-20,MIN(10,$A1260-VLOOKUP(YEAR($A1260),'Festive dates'!$A$2:$J$5,8,FALSE)))</f>
        <v>-20</v>
      </c>
      <c r="R1260" s="9">
        <f>IF(AND($A1260&gt;VLOOKUP(YEAR($A1260),'Festive dates'!$A$2:$J$5,2,FALSE),$A1260&lt;VLOOKUP(YEAR($A1260),'Festive dates'!$A$2:$J$5,3,FALSE)),1,0)</f>
        <v>0</v>
      </c>
      <c r="S1260" s="9">
        <f>IF($A1260=VLOOKUP(YEAR($A1260),'Festive dates'!$A$2:$J$5,2,FALSE),1,0)</f>
        <v>0</v>
      </c>
      <c r="T1260" s="9">
        <f>IF($A1260=VLOOKUP(YEAR($A1260),'Festive dates'!$A$2:$J$5,3,FALSE),1,0)</f>
        <v>0</v>
      </c>
      <c r="U1260" s="9">
        <f>IF($A1260=VLOOKUP(YEAR($A1260),'Festive dates'!$A$2:$J$5,4,FALSE),1,0)</f>
        <v>0</v>
      </c>
      <c r="V1260" s="9">
        <f>IF(AND($A1260&gt;=VLOOKUP(YEAR($A1260),'Festive dates'!$A$2:$J$5,9,FALSE),$A1260&lt;=VLOOKUP(YEAR($A1260),'Festive dates'!$A$2:$J$5,10,FALSE)),1,0)</f>
        <v>0</v>
      </c>
      <c r="W1260" s="9">
        <f>IF($A1260=VLOOKUP(YEAR($A1260),'Festive dates'!$A$2:$J$5,7,FALSE),1,0)</f>
        <v>0</v>
      </c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</row>
    <row r="1261" spans="1:51">
      <c r="A1261" s="8">
        <v>46276</v>
      </c>
      <c r="B1261" s="9">
        <v>0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f>MAX(-20,MIN(10,$A1261-VLOOKUP(YEAR($A1261),'Festive dates'!$A$2:$J$5,8,FALSE)))</f>
        <v>-20</v>
      </c>
      <c r="R1261" s="9">
        <f>IF(AND($A1261&gt;VLOOKUP(YEAR($A1261),'Festive dates'!$A$2:$J$5,2,FALSE),$A1261&lt;VLOOKUP(YEAR($A1261),'Festive dates'!$A$2:$J$5,3,FALSE)),1,0)</f>
        <v>0</v>
      </c>
      <c r="S1261" s="9">
        <f>IF($A1261=VLOOKUP(YEAR($A1261),'Festive dates'!$A$2:$J$5,2,FALSE),1,0)</f>
        <v>0</v>
      </c>
      <c r="T1261" s="9">
        <f>IF($A1261=VLOOKUP(YEAR($A1261),'Festive dates'!$A$2:$J$5,3,FALSE),1,0)</f>
        <v>0</v>
      </c>
      <c r="U1261" s="9">
        <f>IF($A1261=VLOOKUP(YEAR($A1261),'Festive dates'!$A$2:$J$5,4,FALSE),1,0)</f>
        <v>0</v>
      </c>
      <c r="V1261" s="9">
        <f>IF(AND($A1261&gt;=VLOOKUP(YEAR($A1261),'Festive dates'!$A$2:$J$5,9,FALSE),$A1261&lt;=VLOOKUP(YEAR($A1261),'Festive dates'!$A$2:$J$5,10,FALSE)),1,0)</f>
        <v>0</v>
      </c>
      <c r="W1261" s="9">
        <f>IF($A1261=VLOOKUP(YEAR($A1261),'Festive dates'!$A$2:$J$5,7,FALSE),1,0)</f>
        <v>0</v>
      </c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</row>
    <row r="1262" spans="1:51">
      <c r="A1262" s="8">
        <v>46277</v>
      </c>
      <c r="B1262" s="9">
        <v>0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f>MAX(-20,MIN(10,$A1262-VLOOKUP(YEAR($A1262),'Festive dates'!$A$2:$J$5,8,FALSE)))</f>
        <v>-20</v>
      </c>
      <c r="R1262" s="9">
        <f>IF(AND($A1262&gt;VLOOKUP(YEAR($A1262),'Festive dates'!$A$2:$J$5,2,FALSE),$A1262&lt;VLOOKUP(YEAR($A1262),'Festive dates'!$A$2:$J$5,3,FALSE)),1,0)</f>
        <v>0</v>
      </c>
      <c r="S1262" s="9">
        <f>IF($A1262=VLOOKUP(YEAR($A1262),'Festive dates'!$A$2:$J$5,2,FALSE),1,0)</f>
        <v>0</v>
      </c>
      <c r="T1262" s="9">
        <f>IF($A1262=VLOOKUP(YEAR($A1262),'Festive dates'!$A$2:$J$5,3,FALSE),1,0)</f>
        <v>0</v>
      </c>
      <c r="U1262" s="9">
        <f>IF($A1262=VLOOKUP(YEAR($A1262),'Festive dates'!$A$2:$J$5,4,FALSE),1,0)</f>
        <v>0</v>
      </c>
      <c r="V1262" s="9">
        <f>IF(AND($A1262&gt;=VLOOKUP(YEAR($A1262),'Festive dates'!$A$2:$J$5,9,FALSE),$A1262&lt;=VLOOKUP(YEAR($A1262),'Festive dates'!$A$2:$J$5,10,FALSE)),1,0)</f>
        <v>0</v>
      </c>
      <c r="W1262" s="9">
        <f>IF($A1262=VLOOKUP(YEAR($A1262),'Festive dates'!$A$2:$J$5,7,FALSE),1,0)</f>
        <v>0</v>
      </c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</row>
    <row r="1263" spans="1:51">
      <c r="A1263" s="8">
        <v>46278</v>
      </c>
      <c r="B1263" s="9">
        <v>1</v>
      </c>
      <c r="C1263" s="9">
        <v>0</v>
      </c>
      <c r="D1263" s="9">
        <v>0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f>MAX(-20,MIN(10,$A1263-VLOOKUP(YEAR($A1263),'Festive dates'!$A$2:$J$5,8,FALSE)))</f>
        <v>-20</v>
      </c>
      <c r="R1263" s="9">
        <f>IF(AND($A1263&gt;VLOOKUP(YEAR($A1263),'Festive dates'!$A$2:$J$5,2,FALSE),$A1263&lt;VLOOKUP(YEAR($A1263),'Festive dates'!$A$2:$J$5,3,FALSE)),1,0)</f>
        <v>0</v>
      </c>
      <c r="S1263" s="9">
        <f>IF($A1263=VLOOKUP(YEAR($A1263),'Festive dates'!$A$2:$J$5,2,FALSE),1,0)</f>
        <v>0</v>
      </c>
      <c r="T1263" s="9">
        <f>IF($A1263=VLOOKUP(YEAR($A1263),'Festive dates'!$A$2:$J$5,3,FALSE),1,0)</f>
        <v>0</v>
      </c>
      <c r="U1263" s="9">
        <f>IF($A1263=VLOOKUP(YEAR($A1263),'Festive dates'!$A$2:$J$5,4,FALSE),1,0)</f>
        <v>0</v>
      </c>
      <c r="V1263" s="9">
        <f>IF(AND($A1263&gt;=VLOOKUP(YEAR($A1263),'Festive dates'!$A$2:$J$5,9,FALSE),$A1263&lt;=VLOOKUP(YEAR($A1263),'Festive dates'!$A$2:$J$5,10,FALSE)),1,0)</f>
        <v>0</v>
      </c>
      <c r="W1263" s="9">
        <f>IF($A1263=VLOOKUP(YEAR($A1263),'Festive dates'!$A$2:$J$5,7,FALSE),1,0)</f>
        <v>0</v>
      </c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</row>
    <row r="1264" spans="1:51">
      <c r="A1264" s="8">
        <v>46279</v>
      </c>
      <c r="B1264" s="9">
        <v>0</v>
      </c>
      <c r="C1264" s="9">
        <v>1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f>MAX(-20,MIN(10,$A1264-VLOOKUP(YEAR($A1264),'Festive dates'!$A$2:$J$5,8,FALSE)))</f>
        <v>-20</v>
      </c>
      <c r="R1264" s="9">
        <f>IF(AND($A1264&gt;VLOOKUP(YEAR($A1264),'Festive dates'!$A$2:$J$5,2,FALSE),$A1264&lt;VLOOKUP(YEAR($A1264),'Festive dates'!$A$2:$J$5,3,FALSE)),1,0)</f>
        <v>0</v>
      </c>
      <c r="S1264" s="9">
        <f>IF($A1264=VLOOKUP(YEAR($A1264),'Festive dates'!$A$2:$J$5,2,FALSE),1,0)</f>
        <v>0</v>
      </c>
      <c r="T1264" s="9">
        <f>IF($A1264=VLOOKUP(YEAR($A1264),'Festive dates'!$A$2:$J$5,3,FALSE),1,0)</f>
        <v>0</v>
      </c>
      <c r="U1264" s="9">
        <f>IF($A1264=VLOOKUP(YEAR($A1264),'Festive dates'!$A$2:$J$5,4,FALSE),1,0)</f>
        <v>0</v>
      </c>
      <c r="V1264" s="9">
        <f>IF(AND($A1264&gt;=VLOOKUP(YEAR($A1264),'Festive dates'!$A$2:$J$5,9,FALSE),$A1264&lt;=VLOOKUP(YEAR($A1264),'Festive dates'!$A$2:$J$5,10,FALSE)),1,0)</f>
        <v>0</v>
      </c>
      <c r="W1264" s="9">
        <f>IF($A1264=VLOOKUP(YEAR($A1264),'Festive dates'!$A$2:$J$5,7,FALSE),1,0)</f>
        <v>0</v>
      </c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</row>
    <row r="1265" spans="1:51">
      <c r="A1265" s="8">
        <v>46280</v>
      </c>
      <c r="B1265" s="9">
        <v>0</v>
      </c>
      <c r="C1265" s="9">
        <v>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f>MAX(-20,MIN(10,$A1265-VLOOKUP(YEAR($A1265),'Festive dates'!$A$2:$J$5,8,FALSE)))</f>
        <v>-20</v>
      </c>
      <c r="R1265" s="9">
        <f>IF(AND($A1265&gt;VLOOKUP(YEAR($A1265),'Festive dates'!$A$2:$J$5,2,FALSE),$A1265&lt;VLOOKUP(YEAR($A1265),'Festive dates'!$A$2:$J$5,3,FALSE)),1,0)</f>
        <v>0</v>
      </c>
      <c r="S1265" s="9">
        <f>IF($A1265=VLOOKUP(YEAR($A1265),'Festive dates'!$A$2:$J$5,2,FALSE),1,0)</f>
        <v>0</v>
      </c>
      <c r="T1265" s="9">
        <f>IF($A1265=VLOOKUP(YEAR($A1265),'Festive dates'!$A$2:$J$5,3,FALSE),1,0)</f>
        <v>0</v>
      </c>
      <c r="U1265" s="9">
        <f>IF($A1265=VLOOKUP(YEAR($A1265),'Festive dates'!$A$2:$J$5,4,FALSE),1,0)</f>
        <v>0</v>
      </c>
      <c r="V1265" s="9">
        <f>IF(AND($A1265&gt;=VLOOKUP(YEAR($A1265),'Festive dates'!$A$2:$J$5,9,FALSE),$A1265&lt;=VLOOKUP(YEAR($A1265),'Festive dates'!$A$2:$J$5,10,FALSE)),1,0)</f>
        <v>0</v>
      </c>
      <c r="W1265" s="9">
        <f>IF($A1265=VLOOKUP(YEAR($A1265),'Festive dates'!$A$2:$J$5,7,FALSE),1,0)</f>
        <v>0</v>
      </c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</row>
    <row r="1266" spans="1:51">
      <c r="A1266" s="8">
        <v>46281</v>
      </c>
      <c r="B1266" s="9">
        <v>0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f>MAX(-20,MIN(10,$A1266-VLOOKUP(YEAR($A1266),'Festive dates'!$A$2:$J$5,8,FALSE)))</f>
        <v>-20</v>
      </c>
      <c r="R1266" s="9">
        <f>IF(AND($A1266&gt;VLOOKUP(YEAR($A1266),'Festive dates'!$A$2:$J$5,2,FALSE),$A1266&lt;VLOOKUP(YEAR($A1266),'Festive dates'!$A$2:$J$5,3,FALSE)),1,0)</f>
        <v>0</v>
      </c>
      <c r="S1266" s="9">
        <f>IF($A1266=VLOOKUP(YEAR($A1266),'Festive dates'!$A$2:$J$5,2,FALSE),1,0)</f>
        <v>0</v>
      </c>
      <c r="T1266" s="9">
        <f>IF($A1266=VLOOKUP(YEAR($A1266),'Festive dates'!$A$2:$J$5,3,FALSE),1,0)</f>
        <v>0</v>
      </c>
      <c r="U1266" s="9">
        <f>IF($A1266=VLOOKUP(YEAR($A1266),'Festive dates'!$A$2:$J$5,4,FALSE),1,0)</f>
        <v>0</v>
      </c>
      <c r="V1266" s="9">
        <f>IF(AND($A1266&gt;=VLOOKUP(YEAR($A1266),'Festive dates'!$A$2:$J$5,9,FALSE),$A1266&lt;=VLOOKUP(YEAR($A1266),'Festive dates'!$A$2:$J$5,10,FALSE)),1,0)</f>
        <v>0</v>
      </c>
      <c r="W1266" s="9">
        <f>IF($A1266=VLOOKUP(YEAR($A1266),'Festive dates'!$A$2:$J$5,7,FALSE),1,0)</f>
        <v>0</v>
      </c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</row>
    <row r="1267" spans="1:51">
      <c r="A1267" s="8">
        <v>46282</v>
      </c>
      <c r="B1267" s="9">
        <v>0</v>
      </c>
      <c r="C1267" s="9">
        <v>0</v>
      </c>
      <c r="D1267" s="9">
        <v>0</v>
      </c>
      <c r="E1267" s="9">
        <v>1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f>MAX(-20,MIN(10,$A1267-VLOOKUP(YEAR($A1267),'Festive dates'!$A$2:$J$5,8,FALSE)))</f>
        <v>-20</v>
      </c>
      <c r="R1267" s="9">
        <f>IF(AND($A1267&gt;VLOOKUP(YEAR($A1267),'Festive dates'!$A$2:$J$5,2,FALSE),$A1267&lt;VLOOKUP(YEAR($A1267),'Festive dates'!$A$2:$J$5,3,FALSE)),1,0)</f>
        <v>0</v>
      </c>
      <c r="S1267" s="9">
        <f>IF($A1267=VLOOKUP(YEAR($A1267),'Festive dates'!$A$2:$J$5,2,FALSE),1,0)</f>
        <v>0</v>
      </c>
      <c r="T1267" s="9">
        <f>IF($A1267=VLOOKUP(YEAR($A1267),'Festive dates'!$A$2:$J$5,3,FALSE),1,0)</f>
        <v>0</v>
      </c>
      <c r="U1267" s="9">
        <f>IF($A1267=VLOOKUP(YEAR($A1267),'Festive dates'!$A$2:$J$5,4,FALSE),1,0)</f>
        <v>0</v>
      </c>
      <c r="V1267" s="9">
        <f>IF(AND($A1267&gt;=VLOOKUP(YEAR($A1267),'Festive dates'!$A$2:$J$5,9,FALSE),$A1267&lt;=VLOOKUP(YEAR($A1267),'Festive dates'!$A$2:$J$5,10,FALSE)),1,0)</f>
        <v>0</v>
      </c>
      <c r="W1267" s="9">
        <f>IF($A1267=VLOOKUP(YEAR($A1267),'Festive dates'!$A$2:$J$5,7,FALSE),1,0)</f>
        <v>0</v>
      </c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</row>
    <row r="1268" spans="1:51">
      <c r="A1268" s="8">
        <v>46283</v>
      </c>
      <c r="B1268" s="9">
        <v>0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f>MAX(-20,MIN(10,$A1268-VLOOKUP(YEAR($A1268),'Festive dates'!$A$2:$J$5,8,FALSE)))</f>
        <v>-20</v>
      </c>
      <c r="R1268" s="9">
        <f>IF(AND($A1268&gt;VLOOKUP(YEAR($A1268),'Festive dates'!$A$2:$J$5,2,FALSE),$A1268&lt;VLOOKUP(YEAR($A1268),'Festive dates'!$A$2:$J$5,3,FALSE)),1,0)</f>
        <v>0</v>
      </c>
      <c r="S1268" s="9">
        <f>IF($A1268=VLOOKUP(YEAR($A1268),'Festive dates'!$A$2:$J$5,2,FALSE),1,0)</f>
        <v>0</v>
      </c>
      <c r="T1268" s="9">
        <f>IF($A1268=VLOOKUP(YEAR($A1268),'Festive dates'!$A$2:$J$5,3,FALSE),1,0)</f>
        <v>0</v>
      </c>
      <c r="U1268" s="9">
        <f>IF($A1268=VLOOKUP(YEAR($A1268),'Festive dates'!$A$2:$J$5,4,FALSE),1,0)</f>
        <v>0</v>
      </c>
      <c r="V1268" s="9">
        <f>IF(AND($A1268&gt;=VLOOKUP(YEAR($A1268),'Festive dates'!$A$2:$J$5,9,FALSE),$A1268&lt;=VLOOKUP(YEAR($A1268),'Festive dates'!$A$2:$J$5,10,FALSE)),1,0)</f>
        <v>0</v>
      </c>
      <c r="W1268" s="9">
        <f>IF($A1268=VLOOKUP(YEAR($A1268),'Festive dates'!$A$2:$J$5,7,FALSE),1,0)</f>
        <v>0</v>
      </c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</row>
    <row r="1269" spans="1:51">
      <c r="A1269" s="8">
        <v>46284</v>
      </c>
      <c r="B1269" s="9">
        <v>0</v>
      </c>
      <c r="C1269" s="9">
        <v>0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f>MAX(-20,MIN(10,$A1269-VLOOKUP(YEAR($A1269),'Festive dates'!$A$2:$J$5,8,FALSE)))</f>
        <v>-20</v>
      </c>
      <c r="R1269" s="9">
        <f>IF(AND($A1269&gt;VLOOKUP(YEAR($A1269),'Festive dates'!$A$2:$J$5,2,FALSE),$A1269&lt;VLOOKUP(YEAR($A1269),'Festive dates'!$A$2:$J$5,3,FALSE)),1,0)</f>
        <v>0</v>
      </c>
      <c r="S1269" s="9">
        <f>IF($A1269=VLOOKUP(YEAR($A1269),'Festive dates'!$A$2:$J$5,2,FALSE),1,0)</f>
        <v>0</v>
      </c>
      <c r="T1269" s="9">
        <f>IF($A1269=VLOOKUP(YEAR($A1269),'Festive dates'!$A$2:$J$5,3,FALSE),1,0)</f>
        <v>0</v>
      </c>
      <c r="U1269" s="9">
        <f>IF($A1269=VLOOKUP(YEAR($A1269),'Festive dates'!$A$2:$J$5,4,FALSE),1,0)</f>
        <v>0</v>
      </c>
      <c r="V1269" s="9">
        <f>IF(AND($A1269&gt;=VLOOKUP(YEAR($A1269),'Festive dates'!$A$2:$J$5,9,FALSE),$A1269&lt;=VLOOKUP(YEAR($A1269),'Festive dates'!$A$2:$J$5,10,FALSE)),1,0)</f>
        <v>0</v>
      </c>
      <c r="W1269" s="9">
        <f>IF($A1269=VLOOKUP(YEAR($A1269),'Festive dates'!$A$2:$J$5,7,FALSE),1,0)</f>
        <v>0</v>
      </c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</row>
    <row r="1270" spans="1:51">
      <c r="A1270" s="8">
        <v>46285</v>
      </c>
      <c r="B1270" s="9">
        <v>0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f>MAX(-20,MIN(10,$A1270-VLOOKUP(YEAR($A1270),'Festive dates'!$A$2:$J$5,8,FALSE)))</f>
        <v>-20</v>
      </c>
      <c r="R1270" s="9">
        <f>IF(AND($A1270&gt;VLOOKUP(YEAR($A1270),'Festive dates'!$A$2:$J$5,2,FALSE),$A1270&lt;VLOOKUP(YEAR($A1270),'Festive dates'!$A$2:$J$5,3,FALSE)),1,0)</f>
        <v>0</v>
      </c>
      <c r="S1270" s="9">
        <f>IF($A1270=VLOOKUP(YEAR($A1270),'Festive dates'!$A$2:$J$5,2,FALSE),1,0)</f>
        <v>0</v>
      </c>
      <c r="T1270" s="9">
        <f>IF($A1270=VLOOKUP(YEAR($A1270),'Festive dates'!$A$2:$J$5,3,FALSE),1,0)</f>
        <v>0</v>
      </c>
      <c r="U1270" s="9">
        <f>IF($A1270=VLOOKUP(YEAR($A1270),'Festive dates'!$A$2:$J$5,4,FALSE),1,0)</f>
        <v>0</v>
      </c>
      <c r="V1270" s="9">
        <f>IF(AND($A1270&gt;=VLOOKUP(YEAR($A1270),'Festive dates'!$A$2:$J$5,9,FALSE),$A1270&lt;=VLOOKUP(YEAR($A1270),'Festive dates'!$A$2:$J$5,10,FALSE)),1,0)</f>
        <v>0</v>
      </c>
      <c r="W1270" s="9">
        <f>IF($A1270=VLOOKUP(YEAR($A1270),'Festive dates'!$A$2:$J$5,7,FALSE),1,0)</f>
        <v>0</v>
      </c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</row>
    <row r="1271" spans="1:51">
      <c r="A1271" s="8">
        <v>46286</v>
      </c>
      <c r="B1271" s="9">
        <v>0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f>MAX(-20,MIN(10,$A1271-VLOOKUP(YEAR($A1271),'Festive dates'!$A$2:$J$5,8,FALSE)))</f>
        <v>-20</v>
      </c>
      <c r="R1271" s="9">
        <f>IF(AND($A1271&gt;VLOOKUP(YEAR($A1271),'Festive dates'!$A$2:$J$5,2,FALSE),$A1271&lt;VLOOKUP(YEAR($A1271),'Festive dates'!$A$2:$J$5,3,FALSE)),1,0)</f>
        <v>0</v>
      </c>
      <c r="S1271" s="9">
        <f>IF($A1271=VLOOKUP(YEAR($A1271),'Festive dates'!$A$2:$J$5,2,FALSE),1,0)</f>
        <v>0</v>
      </c>
      <c r="T1271" s="9">
        <f>IF($A1271=VLOOKUP(YEAR($A1271),'Festive dates'!$A$2:$J$5,3,FALSE),1,0)</f>
        <v>0</v>
      </c>
      <c r="U1271" s="9">
        <f>IF($A1271=VLOOKUP(YEAR($A1271),'Festive dates'!$A$2:$J$5,4,FALSE),1,0)</f>
        <v>0</v>
      </c>
      <c r="V1271" s="9">
        <f>IF(AND($A1271&gt;=VLOOKUP(YEAR($A1271),'Festive dates'!$A$2:$J$5,9,FALSE),$A1271&lt;=VLOOKUP(YEAR($A1271),'Festive dates'!$A$2:$J$5,10,FALSE)),1,0)</f>
        <v>0</v>
      </c>
      <c r="W1271" s="9">
        <f>IF($A1271=VLOOKUP(YEAR($A1271),'Festive dates'!$A$2:$J$5,7,FALSE),1,0)</f>
        <v>0</v>
      </c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</row>
    <row r="1272" spans="1:51">
      <c r="A1272" s="8">
        <v>46287</v>
      </c>
      <c r="B1272" s="9">
        <v>0</v>
      </c>
      <c r="C1272" s="9">
        <v>0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f>MAX(-20,MIN(10,$A1272-VLOOKUP(YEAR($A1272),'Festive dates'!$A$2:$J$5,8,FALSE)))</f>
        <v>-20</v>
      </c>
      <c r="R1272" s="9">
        <f>IF(AND($A1272&gt;VLOOKUP(YEAR($A1272),'Festive dates'!$A$2:$J$5,2,FALSE),$A1272&lt;VLOOKUP(YEAR($A1272),'Festive dates'!$A$2:$J$5,3,FALSE)),1,0)</f>
        <v>0</v>
      </c>
      <c r="S1272" s="9">
        <f>IF($A1272=VLOOKUP(YEAR($A1272),'Festive dates'!$A$2:$J$5,2,FALSE),1,0)</f>
        <v>0</v>
      </c>
      <c r="T1272" s="9">
        <f>IF($A1272=VLOOKUP(YEAR($A1272),'Festive dates'!$A$2:$J$5,3,FALSE),1,0)</f>
        <v>0</v>
      </c>
      <c r="U1272" s="9">
        <f>IF($A1272=VLOOKUP(YEAR($A1272),'Festive dates'!$A$2:$J$5,4,FALSE),1,0)</f>
        <v>0</v>
      </c>
      <c r="V1272" s="9">
        <f>IF(AND($A1272&gt;=VLOOKUP(YEAR($A1272),'Festive dates'!$A$2:$J$5,9,FALSE),$A1272&lt;=VLOOKUP(YEAR($A1272),'Festive dates'!$A$2:$J$5,10,FALSE)),1,0)</f>
        <v>0</v>
      </c>
      <c r="W1272" s="9">
        <f>IF($A1272=VLOOKUP(YEAR($A1272),'Festive dates'!$A$2:$J$5,7,FALSE),1,0)</f>
        <v>0</v>
      </c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</row>
    <row r="1273" spans="1:51">
      <c r="A1273" s="8">
        <v>46288</v>
      </c>
      <c r="B1273" s="9">
        <v>0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f>MAX(-20,MIN(10,$A1273-VLOOKUP(YEAR($A1273),'Festive dates'!$A$2:$J$5,8,FALSE)))</f>
        <v>-20</v>
      </c>
      <c r="R1273" s="9">
        <f>IF(AND($A1273&gt;VLOOKUP(YEAR($A1273),'Festive dates'!$A$2:$J$5,2,FALSE),$A1273&lt;VLOOKUP(YEAR($A1273),'Festive dates'!$A$2:$J$5,3,FALSE)),1,0)</f>
        <v>0</v>
      </c>
      <c r="S1273" s="9">
        <f>IF($A1273=VLOOKUP(YEAR($A1273),'Festive dates'!$A$2:$J$5,2,FALSE),1,0)</f>
        <v>0</v>
      </c>
      <c r="T1273" s="9">
        <f>IF($A1273=VLOOKUP(YEAR($A1273),'Festive dates'!$A$2:$J$5,3,FALSE),1,0)</f>
        <v>0</v>
      </c>
      <c r="U1273" s="9">
        <f>IF($A1273=VLOOKUP(YEAR($A1273),'Festive dates'!$A$2:$J$5,4,FALSE),1,0)</f>
        <v>0</v>
      </c>
      <c r="V1273" s="9">
        <f>IF(AND($A1273&gt;=VLOOKUP(YEAR($A1273),'Festive dates'!$A$2:$J$5,9,FALSE),$A1273&lt;=VLOOKUP(YEAR($A1273),'Festive dates'!$A$2:$J$5,10,FALSE)),1,0)</f>
        <v>0</v>
      </c>
      <c r="W1273" s="9">
        <f>IF($A1273=VLOOKUP(YEAR($A1273),'Festive dates'!$A$2:$J$5,7,FALSE),1,0)</f>
        <v>0</v>
      </c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</row>
    <row r="1274" spans="1:51">
      <c r="A1274" s="8">
        <v>46289</v>
      </c>
      <c r="B1274" s="9">
        <v>0</v>
      </c>
      <c r="C1274" s="9">
        <v>0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f>MAX(-20,MIN(10,$A1274-VLOOKUP(YEAR($A1274),'Festive dates'!$A$2:$J$5,8,FALSE)))</f>
        <v>-20</v>
      </c>
      <c r="R1274" s="9">
        <f>IF(AND($A1274&gt;VLOOKUP(YEAR($A1274),'Festive dates'!$A$2:$J$5,2,FALSE),$A1274&lt;VLOOKUP(YEAR($A1274),'Festive dates'!$A$2:$J$5,3,FALSE)),1,0)</f>
        <v>0</v>
      </c>
      <c r="S1274" s="9">
        <f>IF($A1274=VLOOKUP(YEAR($A1274),'Festive dates'!$A$2:$J$5,2,FALSE),1,0)</f>
        <v>0</v>
      </c>
      <c r="T1274" s="9">
        <f>IF($A1274=VLOOKUP(YEAR($A1274),'Festive dates'!$A$2:$J$5,3,FALSE),1,0)</f>
        <v>0</v>
      </c>
      <c r="U1274" s="9">
        <f>IF($A1274=VLOOKUP(YEAR($A1274),'Festive dates'!$A$2:$J$5,4,FALSE),1,0)</f>
        <v>0</v>
      </c>
      <c r="V1274" s="9">
        <f>IF(AND($A1274&gt;=VLOOKUP(YEAR($A1274),'Festive dates'!$A$2:$J$5,9,FALSE),$A1274&lt;=VLOOKUP(YEAR($A1274),'Festive dates'!$A$2:$J$5,10,FALSE)),1,0)</f>
        <v>0</v>
      </c>
      <c r="W1274" s="9">
        <f>IF($A1274=VLOOKUP(YEAR($A1274),'Festive dates'!$A$2:$J$5,7,FALSE),1,0)</f>
        <v>0</v>
      </c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</row>
    <row r="1275" spans="1:51">
      <c r="A1275" s="8">
        <v>46290</v>
      </c>
      <c r="B1275" s="9">
        <v>0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f>MAX(-20,MIN(10,$A1275-VLOOKUP(YEAR($A1275),'Festive dates'!$A$2:$J$5,8,FALSE)))</f>
        <v>-20</v>
      </c>
      <c r="R1275" s="9">
        <f>IF(AND($A1275&gt;VLOOKUP(YEAR($A1275),'Festive dates'!$A$2:$J$5,2,FALSE),$A1275&lt;VLOOKUP(YEAR($A1275),'Festive dates'!$A$2:$J$5,3,FALSE)),1,0)</f>
        <v>0</v>
      </c>
      <c r="S1275" s="9">
        <f>IF($A1275=VLOOKUP(YEAR($A1275),'Festive dates'!$A$2:$J$5,2,FALSE),1,0)</f>
        <v>0</v>
      </c>
      <c r="T1275" s="9">
        <f>IF($A1275=VLOOKUP(YEAR($A1275),'Festive dates'!$A$2:$J$5,3,FALSE),1,0)</f>
        <v>0</v>
      </c>
      <c r="U1275" s="9">
        <f>IF($A1275=VLOOKUP(YEAR($A1275),'Festive dates'!$A$2:$J$5,4,FALSE),1,0)</f>
        <v>0</v>
      </c>
      <c r="V1275" s="9">
        <f>IF(AND($A1275&gt;=VLOOKUP(YEAR($A1275),'Festive dates'!$A$2:$J$5,9,FALSE),$A1275&lt;=VLOOKUP(YEAR($A1275),'Festive dates'!$A$2:$J$5,10,FALSE)),1,0)</f>
        <v>1</v>
      </c>
      <c r="W1275" s="9">
        <f>IF($A1275=VLOOKUP(YEAR($A1275),'Festive dates'!$A$2:$J$5,7,FALSE),1,0)</f>
        <v>0</v>
      </c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</row>
    <row r="1276" spans="1:51">
      <c r="A1276" s="8">
        <v>46291</v>
      </c>
      <c r="B1276" s="9">
        <v>0</v>
      </c>
      <c r="C1276" s="9">
        <v>0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f>MAX(-20,MIN(10,$A1276-VLOOKUP(YEAR($A1276),'Festive dates'!$A$2:$J$5,8,FALSE)))</f>
        <v>-20</v>
      </c>
      <c r="R1276" s="9">
        <f>IF(AND($A1276&gt;VLOOKUP(YEAR($A1276),'Festive dates'!$A$2:$J$5,2,FALSE),$A1276&lt;VLOOKUP(YEAR($A1276),'Festive dates'!$A$2:$J$5,3,FALSE)),1,0)</f>
        <v>0</v>
      </c>
      <c r="S1276" s="9">
        <f>IF($A1276=VLOOKUP(YEAR($A1276),'Festive dates'!$A$2:$J$5,2,FALSE),1,0)</f>
        <v>0</v>
      </c>
      <c r="T1276" s="9">
        <f>IF($A1276=VLOOKUP(YEAR($A1276),'Festive dates'!$A$2:$J$5,3,FALSE),1,0)</f>
        <v>0</v>
      </c>
      <c r="U1276" s="9">
        <f>IF($A1276=VLOOKUP(YEAR($A1276),'Festive dates'!$A$2:$J$5,4,FALSE),1,0)</f>
        <v>0</v>
      </c>
      <c r="V1276" s="9">
        <f>IF(AND($A1276&gt;=VLOOKUP(YEAR($A1276),'Festive dates'!$A$2:$J$5,9,FALSE),$A1276&lt;=VLOOKUP(YEAR($A1276),'Festive dates'!$A$2:$J$5,10,FALSE)),1,0)</f>
        <v>1</v>
      </c>
      <c r="W1276" s="9">
        <f>IF($A1276=VLOOKUP(YEAR($A1276),'Festive dates'!$A$2:$J$5,7,FALSE),1,0)</f>
        <v>0</v>
      </c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</row>
    <row r="1277" spans="1:51">
      <c r="A1277" s="8">
        <v>46292</v>
      </c>
      <c r="B1277" s="9">
        <v>0</v>
      </c>
      <c r="C1277" s="9">
        <v>0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f>MAX(-20,MIN(10,$A1277-VLOOKUP(YEAR($A1277),'Festive dates'!$A$2:$J$5,8,FALSE)))</f>
        <v>-20</v>
      </c>
      <c r="R1277" s="9">
        <f>IF(AND($A1277&gt;VLOOKUP(YEAR($A1277),'Festive dates'!$A$2:$J$5,2,FALSE),$A1277&lt;VLOOKUP(YEAR($A1277),'Festive dates'!$A$2:$J$5,3,FALSE)),1,0)</f>
        <v>0</v>
      </c>
      <c r="S1277" s="9">
        <f>IF($A1277=VLOOKUP(YEAR($A1277),'Festive dates'!$A$2:$J$5,2,FALSE),1,0)</f>
        <v>0</v>
      </c>
      <c r="T1277" s="9">
        <f>IF($A1277=VLOOKUP(YEAR($A1277),'Festive dates'!$A$2:$J$5,3,FALSE),1,0)</f>
        <v>0</v>
      </c>
      <c r="U1277" s="9">
        <f>IF($A1277=VLOOKUP(YEAR($A1277),'Festive dates'!$A$2:$J$5,4,FALSE),1,0)</f>
        <v>0</v>
      </c>
      <c r="V1277" s="9">
        <f>IF(AND($A1277&gt;=VLOOKUP(YEAR($A1277),'Festive dates'!$A$2:$J$5,9,FALSE),$A1277&lt;=VLOOKUP(YEAR($A1277),'Festive dates'!$A$2:$J$5,10,FALSE)),1,0)</f>
        <v>1</v>
      </c>
      <c r="W1277" s="9">
        <f>IF($A1277=VLOOKUP(YEAR($A1277),'Festive dates'!$A$2:$J$5,7,FALSE),1,0)</f>
        <v>0</v>
      </c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</row>
    <row r="1278" spans="1:51">
      <c r="A1278" s="8">
        <v>46293</v>
      </c>
      <c r="B1278" s="9">
        <v>0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f>MAX(-20,MIN(10,$A1278-VLOOKUP(YEAR($A1278),'Festive dates'!$A$2:$J$5,8,FALSE)))</f>
        <v>-20</v>
      </c>
      <c r="R1278" s="9">
        <f>IF(AND($A1278&gt;VLOOKUP(YEAR($A1278),'Festive dates'!$A$2:$J$5,2,FALSE),$A1278&lt;VLOOKUP(YEAR($A1278),'Festive dates'!$A$2:$J$5,3,FALSE)),1,0)</f>
        <v>0</v>
      </c>
      <c r="S1278" s="9">
        <f>IF($A1278=VLOOKUP(YEAR($A1278),'Festive dates'!$A$2:$J$5,2,FALSE),1,0)</f>
        <v>0</v>
      </c>
      <c r="T1278" s="9">
        <f>IF($A1278=VLOOKUP(YEAR($A1278),'Festive dates'!$A$2:$J$5,3,FALSE),1,0)</f>
        <v>0</v>
      </c>
      <c r="U1278" s="9">
        <f>IF($A1278=VLOOKUP(YEAR($A1278),'Festive dates'!$A$2:$J$5,4,FALSE),1,0)</f>
        <v>0</v>
      </c>
      <c r="V1278" s="9">
        <f>IF(AND($A1278&gt;=VLOOKUP(YEAR($A1278),'Festive dates'!$A$2:$J$5,9,FALSE),$A1278&lt;=VLOOKUP(YEAR($A1278),'Festive dates'!$A$2:$J$5,10,FALSE)),1,0)</f>
        <v>1</v>
      </c>
      <c r="W1278" s="9">
        <f>IF($A1278=VLOOKUP(YEAR($A1278),'Festive dates'!$A$2:$J$5,7,FALSE),1,0)</f>
        <v>0</v>
      </c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</row>
    <row r="1279" spans="1:51">
      <c r="A1279" s="8">
        <v>46294</v>
      </c>
      <c r="B1279" s="9">
        <v>0</v>
      </c>
      <c r="C1279" s="9">
        <v>0</v>
      </c>
      <c r="D1279" s="9">
        <v>0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f>MAX(-20,MIN(10,$A1279-VLOOKUP(YEAR($A1279),'Festive dates'!$A$2:$J$5,8,FALSE)))</f>
        <v>-20</v>
      </c>
      <c r="R1279" s="9">
        <f>IF(AND($A1279&gt;VLOOKUP(YEAR($A1279),'Festive dates'!$A$2:$J$5,2,FALSE),$A1279&lt;VLOOKUP(YEAR($A1279),'Festive dates'!$A$2:$J$5,3,FALSE)),1,0)</f>
        <v>0</v>
      </c>
      <c r="S1279" s="9">
        <f>IF($A1279=VLOOKUP(YEAR($A1279),'Festive dates'!$A$2:$J$5,2,FALSE),1,0)</f>
        <v>0</v>
      </c>
      <c r="T1279" s="9">
        <f>IF($A1279=VLOOKUP(YEAR($A1279),'Festive dates'!$A$2:$J$5,3,FALSE),1,0)</f>
        <v>0</v>
      </c>
      <c r="U1279" s="9">
        <f>IF($A1279=VLOOKUP(YEAR($A1279),'Festive dates'!$A$2:$J$5,4,FALSE),1,0)</f>
        <v>0</v>
      </c>
      <c r="V1279" s="9">
        <f>IF(AND($A1279&gt;=VLOOKUP(YEAR($A1279),'Festive dates'!$A$2:$J$5,9,FALSE),$A1279&lt;=VLOOKUP(YEAR($A1279),'Festive dates'!$A$2:$J$5,10,FALSE)),1,0)</f>
        <v>1</v>
      </c>
      <c r="W1279" s="9">
        <f>IF($A1279=VLOOKUP(YEAR($A1279),'Festive dates'!$A$2:$J$5,7,FALSE),1,0)</f>
        <v>0</v>
      </c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</row>
    <row r="1280" spans="1:51">
      <c r="A1280" s="8">
        <v>46295</v>
      </c>
      <c r="B1280" s="9">
        <v>0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f>MAX(-20,MIN(10,$A1280-VLOOKUP(YEAR($A1280),'Festive dates'!$A$2:$J$5,8,FALSE)))</f>
        <v>-20</v>
      </c>
      <c r="R1280" s="9">
        <f>IF(AND($A1280&gt;VLOOKUP(YEAR($A1280),'Festive dates'!$A$2:$J$5,2,FALSE),$A1280&lt;VLOOKUP(YEAR($A1280),'Festive dates'!$A$2:$J$5,3,FALSE)),1,0)</f>
        <v>0</v>
      </c>
      <c r="S1280" s="9">
        <f>IF($A1280=VLOOKUP(YEAR($A1280),'Festive dates'!$A$2:$J$5,2,FALSE),1,0)</f>
        <v>0</v>
      </c>
      <c r="T1280" s="9">
        <f>IF($A1280=VLOOKUP(YEAR($A1280),'Festive dates'!$A$2:$J$5,3,FALSE),1,0)</f>
        <v>0</v>
      </c>
      <c r="U1280" s="9">
        <f>IF($A1280=VLOOKUP(YEAR($A1280),'Festive dates'!$A$2:$J$5,4,FALSE),1,0)</f>
        <v>0</v>
      </c>
      <c r="V1280" s="9">
        <f>IF(AND($A1280&gt;=VLOOKUP(YEAR($A1280),'Festive dates'!$A$2:$J$5,9,FALSE),$A1280&lt;=VLOOKUP(YEAR($A1280),'Festive dates'!$A$2:$J$5,10,FALSE)),1,0)</f>
        <v>1</v>
      </c>
      <c r="W1280" s="9">
        <f>IF($A1280=VLOOKUP(YEAR($A1280),'Festive dates'!$A$2:$J$5,7,FALSE),1,0)</f>
        <v>0</v>
      </c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</row>
    <row r="1281" spans="1:51">
      <c r="A1281" s="8">
        <v>46296</v>
      </c>
      <c r="B1281" s="9">
        <v>0</v>
      </c>
      <c r="C1281" s="9">
        <v>0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f>MAX(-20,MIN(10,$A1281-VLOOKUP(YEAR($A1281),'Festive dates'!$A$2:$J$5,8,FALSE)))</f>
        <v>-20</v>
      </c>
      <c r="R1281" s="9">
        <f>IF(AND($A1281&gt;VLOOKUP(YEAR($A1281),'Festive dates'!$A$2:$J$5,2,FALSE),$A1281&lt;VLOOKUP(YEAR($A1281),'Festive dates'!$A$2:$J$5,3,FALSE)),1,0)</f>
        <v>0</v>
      </c>
      <c r="S1281" s="9">
        <f>IF($A1281=VLOOKUP(YEAR($A1281),'Festive dates'!$A$2:$J$5,2,FALSE),1,0)</f>
        <v>0</v>
      </c>
      <c r="T1281" s="9">
        <f>IF($A1281=VLOOKUP(YEAR($A1281),'Festive dates'!$A$2:$J$5,3,FALSE),1,0)</f>
        <v>0</v>
      </c>
      <c r="U1281" s="9">
        <f>IF($A1281=VLOOKUP(YEAR($A1281),'Festive dates'!$A$2:$J$5,4,FALSE),1,0)</f>
        <v>0</v>
      </c>
      <c r="V1281" s="9">
        <f>IF(AND($A1281&gt;=VLOOKUP(YEAR($A1281),'Festive dates'!$A$2:$J$5,9,FALSE),$A1281&lt;=VLOOKUP(YEAR($A1281),'Festive dates'!$A$2:$J$5,10,FALSE)),1,0)</f>
        <v>1</v>
      </c>
      <c r="W1281" s="9">
        <f>IF($A1281=VLOOKUP(YEAR($A1281),'Festive dates'!$A$2:$J$5,7,FALSE),1,0)</f>
        <v>0</v>
      </c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</row>
    <row r="1282" spans="1:51">
      <c r="A1282" s="8">
        <v>46297</v>
      </c>
      <c r="B1282" s="9">
        <v>0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f>MAX(-20,MIN(10,$A1282-VLOOKUP(YEAR($A1282),'Festive dates'!$A$2:$J$5,8,FALSE)))</f>
        <v>-20</v>
      </c>
      <c r="R1282" s="9">
        <f>IF(AND($A1282&gt;VLOOKUP(YEAR($A1282),'Festive dates'!$A$2:$J$5,2,FALSE),$A1282&lt;VLOOKUP(YEAR($A1282),'Festive dates'!$A$2:$J$5,3,FALSE)),1,0)</f>
        <v>0</v>
      </c>
      <c r="S1282" s="9">
        <f>IF($A1282=VLOOKUP(YEAR($A1282),'Festive dates'!$A$2:$J$5,2,FALSE),1,0)</f>
        <v>0</v>
      </c>
      <c r="T1282" s="9">
        <f>IF($A1282=VLOOKUP(YEAR($A1282),'Festive dates'!$A$2:$J$5,3,FALSE),1,0)</f>
        <v>0</v>
      </c>
      <c r="U1282" s="9">
        <f>IF($A1282=VLOOKUP(YEAR($A1282),'Festive dates'!$A$2:$J$5,4,FALSE),1,0)</f>
        <v>0</v>
      </c>
      <c r="V1282" s="9">
        <f>IF(AND($A1282&gt;=VLOOKUP(YEAR($A1282),'Festive dates'!$A$2:$J$5,9,FALSE),$A1282&lt;=VLOOKUP(YEAR($A1282),'Festive dates'!$A$2:$J$5,10,FALSE)),1,0)</f>
        <v>1</v>
      </c>
      <c r="W1282" s="9">
        <f>IF($A1282=VLOOKUP(YEAR($A1282),'Festive dates'!$A$2:$J$5,7,FALSE),1,0)</f>
        <v>0</v>
      </c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</row>
    <row r="1283" spans="1:51">
      <c r="A1283" s="8">
        <v>46298</v>
      </c>
      <c r="B1283" s="9">
        <v>0</v>
      </c>
      <c r="C1283" s="9">
        <v>0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f>MAX(-20,MIN(10,$A1283-VLOOKUP(YEAR($A1283),'Festive dates'!$A$2:$J$5,8,FALSE)))</f>
        <v>-20</v>
      </c>
      <c r="R1283" s="9">
        <f>IF(AND($A1283&gt;VLOOKUP(YEAR($A1283),'Festive dates'!$A$2:$J$5,2,FALSE),$A1283&lt;VLOOKUP(YEAR($A1283),'Festive dates'!$A$2:$J$5,3,FALSE)),1,0)</f>
        <v>0</v>
      </c>
      <c r="S1283" s="9">
        <f>IF($A1283=VLOOKUP(YEAR($A1283),'Festive dates'!$A$2:$J$5,2,FALSE),1,0)</f>
        <v>0</v>
      </c>
      <c r="T1283" s="9">
        <f>IF($A1283=VLOOKUP(YEAR($A1283),'Festive dates'!$A$2:$J$5,3,FALSE),1,0)</f>
        <v>0</v>
      </c>
      <c r="U1283" s="9">
        <f>IF($A1283=VLOOKUP(YEAR($A1283),'Festive dates'!$A$2:$J$5,4,FALSE),1,0)</f>
        <v>0</v>
      </c>
      <c r="V1283" s="9">
        <f>IF(AND($A1283&gt;=VLOOKUP(YEAR($A1283),'Festive dates'!$A$2:$J$5,9,FALSE),$A1283&lt;=VLOOKUP(YEAR($A1283),'Festive dates'!$A$2:$J$5,10,FALSE)),1,0)</f>
        <v>1</v>
      </c>
      <c r="W1283" s="9">
        <f>IF($A1283=VLOOKUP(YEAR($A1283),'Festive dates'!$A$2:$J$5,7,FALSE),1,0)</f>
        <v>0</v>
      </c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</row>
    <row r="1284" spans="1:51">
      <c r="A1284" s="8">
        <v>46299</v>
      </c>
      <c r="B1284" s="9">
        <v>0</v>
      </c>
      <c r="C1284" s="9">
        <v>0</v>
      </c>
      <c r="D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f>MAX(-20,MIN(10,$A1284-VLOOKUP(YEAR($A1284),'Festive dates'!$A$2:$J$5,8,FALSE)))</f>
        <v>-20</v>
      </c>
      <c r="R1284" s="9">
        <f>IF(AND($A1284&gt;VLOOKUP(YEAR($A1284),'Festive dates'!$A$2:$J$5,2,FALSE),$A1284&lt;VLOOKUP(YEAR($A1284),'Festive dates'!$A$2:$J$5,3,FALSE)),1,0)</f>
        <v>0</v>
      </c>
      <c r="S1284" s="9">
        <f>IF($A1284=VLOOKUP(YEAR($A1284),'Festive dates'!$A$2:$J$5,2,FALSE),1,0)</f>
        <v>0</v>
      </c>
      <c r="T1284" s="9">
        <f>IF($A1284=VLOOKUP(YEAR($A1284),'Festive dates'!$A$2:$J$5,3,FALSE),1,0)</f>
        <v>0</v>
      </c>
      <c r="U1284" s="9">
        <f>IF($A1284=VLOOKUP(YEAR($A1284),'Festive dates'!$A$2:$J$5,4,FALSE),1,0)</f>
        <v>0</v>
      </c>
      <c r="V1284" s="9">
        <f>IF(AND($A1284&gt;=VLOOKUP(YEAR($A1284),'Festive dates'!$A$2:$J$5,9,FALSE),$A1284&lt;=VLOOKUP(YEAR($A1284),'Festive dates'!$A$2:$J$5,10,FALSE)),1,0)</f>
        <v>1</v>
      </c>
      <c r="W1284" s="9">
        <f>IF($A1284=VLOOKUP(YEAR($A1284),'Festive dates'!$A$2:$J$5,7,FALSE),1,0)</f>
        <v>0</v>
      </c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</row>
    <row r="1285" spans="1:51">
      <c r="A1285" s="8">
        <v>46300</v>
      </c>
      <c r="B1285" s="9">
        <v>0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</v>
      </c>
      <c r="Q1285" s="9">
        <f>MAX(-20,MIN(10,$A1285-VLOOKUP(YEAR($A1285),'Festive dates'!$A$2:$J$5,8,FALSE)))</f>
        <v>-20</v>
      </c>
      <c r="R1285" s="9">
        <f>IF(AND($A1285&gt;VLOOKUP(YEAR($A1285),'Festive dates'!$A$2:$J$5,2,FALSE),$A1285&lt;VLOOKUP(YEAR($A1285),'Festive dates'!$A$2:$J$5,3,FALSE)),1,0)</f>
        <v>0</v>
      </c>
      <c r="S1285" s="9">
        <f>IF($A1285=VLOOKUP(YEAR($A1285),'Festive dates'!$A$2:$J$5,2,FALSE),1,0)</f>
        <v>0</v>
      </c>
      <c r="T1285" s="9">
        <f>IF($A1285=VLOOKUP(YEAR($A1285),'Festive dates'!$A$2:$J$5,3,FALSE),1,0)</f>
        <v>0</v>
      </c>
      <c r="U1285" s="9">
        <f>IF($A1285=VLOOKUP(YEAR($A1285),'Festive dates'!$A$2:$J$5,4,FALSE),1,0)</f>
        <v>0</v>
      </c>
      <c r="V1285" s="9">
        <f>IF(AND($A1285&gt;=VLOOKUP(YEAR($A1285),'Festive dates'!$A$2:$J$5,9,FALSE),$A1285&lt;=VLOOKUP(YEAR($A1285),'Festive dates'!$A$2:$J$5,10,FALSE)),1,0)</f>
        <v>1</v>
      </c>
      <c r="W1285" s="9">
        <f>IF($A1285=VLOOKUP(YEAR($A1285),'Festive dates'!$A$2:$J$5,7,FALSE),1,0)</f>
        <v>0</v>
      </c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</row>
    <row r="1286" spans="1:51">
      <c r="A1286" s="8">
        <v>46301</v>
      </c>
      <c r="B1286" s="9">
        <v>0</v>
      </c>
      <c r="C1286" s="9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f>MAX(-20,MIN(10,$A1286-VLOOKUP(YEAR($A1286),'Festive dates'!$A$2:$J$5,8,FALSE)))</f>
        <v>-20</v>
      </c>
      <c r="R1286" s="9">
        <f>IF(AND($A1286&gt;VLOOKUP(YEAR($A1286),'Festive dates'!$A$2:$J$5,2,FALSE),$A1286&lt;VLOOKUP(YEAR($A1286),'Festive dates'!$A$2:$J$5,3,FALSE)),1,0)</f>
        <v>0</v>
      </c>
      <c r="S1286" s="9">
        <f>IF($A1286=VLOOKUP(YEAR($A1286),'Festive dates'!$A$2:$J$5,2,FALSE),1,0)</f>
        <v>0</v>
      </c>
      <c r="T1286" s="9">
        <f>IF($A1286=VLOOKUP(YEAR($A1286),'Festive dates'!$A$2:$J$5,3,FALSE),1,0)</f>
        <v>0</v>
      </c>
      <c r="U1286" s="9">
        <f>IF($A1286=VLOOKUP(YEAR($A1286),'Festive dates'!$A$2:$J$5,4,FALSE),1,0)</f>
        <v>0</v>
      </c>
      <c r="V1286" s="9">
        <f>IF(AND($A1286&gt;=VLOOKUP(YEAR($A1286),'Festive dates'!$A$2:$J$5,9,FALSE),$A1286&lt;=VLOOKUP(YEAR($A1286),'Festive dates'!$A$2:$J$5,10,FALSE)),1,0)</f>
        <v>1</v>
      </c>
      <c r="W1286" s="9">
        <f>IF($A1286=VLOOKUP(YEAR($A1286),'Festive dates'!$A$2:$J$5,7,FALSE),1,0)</f>
        <v>0</v>
      </c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</row>
    <row r="1287" spans="1:51">
      <c r="A1287" s="8">
        <v>46302</v>
      </c>
      <c r="B1287" s="9">
        <v>0</v>
      </c>
      <c r="C1287" s="9">
        <v>0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f>MAX(-20,MIN(10,$A1287-VLOOKUP(YEAR($A1287),'Festive dates'!$A$2:$J$5,8,FALSE)))</f>
        <v>-20</v>
      </c>
      <c r="R1287" s="9">
        <f>IF(AND($A1287&gt;VLOOKUP(YEAR($A1287),'Festive dates'!$A$2:$J$5,2,FALSE),$A1287&lt;VLOOKUP(YEAR($A1287),'Festive dates'!$A$2:$J$5,3,FALSE)),1,0)</f>
        <v>0</v>
      </c>
      <c r="S1287" s="9">
        <f>IF($A1287=VLOOKUP(YEAR($A1287),'Festive dates'!$A$2:$J$5,2,FALSE),1,0)</f>
        <v>0</v>
      </c>
      <c r="T1287" s="9">
        <f>IF($A1287=VLOOKUP(YEAR($A1287),'Festive dates'!$A$2:$J$5,3,FALSE),1,0)</f>
        <v>0</v>
      </c>
      <c r="U1287" s="9">
        <f>IF($A1287=VLOOKUP(YEAR($A1287),'Festive dates'!$A$2:$J$5,4,FALSE),1,0)</f>
        <v>0</v>
      </c>
      <c r="V1287" s="9">
        <f>IF(AND($A1287&gt;=VLOOKUP(YEAR($A1287),'Festive dates'!$A$2:$J$5,9,FALSE),$A1287&lt;=VLOOKUP(YEAR($A1287),'Festive dates'!$A$2:$J$5,10,FALSE)),1,0)</f>
        <v>1</v>
      </c>
      <c r="W1287" s="9">
        <f>IF($A1287=VLOOKUP(YEAR($A1287),'Festive dates'!$A$2:$J$5,7,FALSE),1,0)</f>
        <v>0</v>
      </c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</row>
    <row r="1288" spans="1:51">
      <c r="A1288" s="8">
        <v>46303</v>
      </c>
      <c r="B1288" s="9">
        <v>0</v>
      </c>
      <c r="C1288" s="9">
        <v>0</v>
      </c>
      <c r="D1288" s="9">
        <v>0</v>
      </c>
      <c r="E1288" s="9">
        <v>0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f>MAX(-20,MIN(10,$A1288-VLOOKUP(YEAR($A1288),'Festive dates'!$A$2:$J$5,8,FALSE)))</f>
        <v>-20</v>
      </c>
      <c r="R1288" s="9">
        <f>IF(AND($A1288&gt;VLOOKUP(YEAR($A1288),'Festive dates'!$A$2:$J$5,2,FALSE),$A1288&lt;VLOOKUP(YEAR($A1288),'Festive dates'!$A$2:$J$5,3,FALSE)),1,0)</f>
        <v>0</v>
      </c>
      <c r="S1288" s="9">
        <f>IF($A1288=VLOOKUP(YEAR($A1288),'Festive dates'!$A$2:$J$5,2,FALSE),1,0)</f>
        <v>0</v>
      </c>
      <c r="T1288" s="9">
        <f>IF($A1288=VLOOKUP(YEAR($A1288),'Festive dates'!$A$2:$J$5,3,FALSE),1,0)</f>
        <v>0</v>
      </c>
      <c r="U1288" s="9">
        <f>IF($A1288=VLOOKUP(YEAR($A1288),'Festive dates'!$A$2:$J$5,4,FALSE),1,0)</f>
        <v>0</v>
      </c>
      <c r="V1288" s="9">
        <f>IF(AND($A1288&gt;=VLOOKUP(YEAR($A1288),'Festive dates'!$A$2:$J$5,9,FALSE),$A1288&lt;=VLOOKUP(YEAR($A1288),'Festive dates'!$A$2:$J$5,10,FALSE)),1,0)</f>
        <v>1</v>
      </c>
      <c r="W1288" s="9">
        <f>IF($A1288=VLOOKUP(YEAR($A1288),'Festive dates'!$A$2:$J$5,7,FALSE),1,0)</f>
        <v>0</v>
      </c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</row>
    <row r="1289" spans="1:51">
      <c r="A1289" s="8">
        <v>46304</v>
      </c>
      <c r="B1289" s="9">
        <v>0</v>
      </c>
      <c r="C1289" s="9">
        <v>0</v>
      </c>
      <c r="D1289" s="9">
        <v>0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f>MAX(-20,MIN(10,$A1289-VLOOKUP(YEAR($A1289),'Festive dates'!$A$2:$J$5,8,FALSE)))</f>
        <v>-20</v>
      </c>
      <c r="R1289" s="9">
        <f>IF(AND($A1289&gt;VLOOKUP(YEAR($A1289),'Festive dates'!$A$2:$J$5,2,FALSE),$A1289&lt;VLOOKUP(YEAR($A1289),'Festive dates'!$A$2:$J$5,3,FALSE)),1,0)</f>
        <v>0</v>
      </c>
      <c r="S1289" s="9">
        <f>IF($A1289=VLOOKUP(YEAR($A1289),'Festive dates'!$A$2:$J$5,2,FALSE),1,0)</f>
        <v>0</v>
      </c>
      <c r="T1289" s="9">
        <f>IF($A1289=VLOOKUP(YEAR($A1289),'Festive dates'!$A$2:$J$5,3,FALSE),1,0)</f>
        <v>0</v>
      </c>
      <c r="U1289" s="9">
        <f>IF($A1289=VLOOKUP(YEAR($A1289),'Festive dates'!$A$2:$J$5,4,FALSE),1,0)</f>
        <v>0</v>
      </c>
      <c r="V1289" s="9">
        <f>IF(AND($A1289&gt;=VLOOKUP(YEAR($A1289),'Festive dates'!$A$2:$J$5,9,FALSE),$A1289&lt;=VLOOKUP(YEAR($A1289),'Festive dates'!$A$2:$J$5,10,FALSE)),1,0)</f>
        <v>1</v>
      </c>
      <c r="W1289" s="9">
        <f>IF($A1289=VLOOKUP(YEAR($A1289),'Festive dates'!$A$2:$J$5,7,FALSE),1,0)</f>
        <v>0</v>
      </c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</row>
    <row r="1290" spans="1:51">
      <c r="A1290" s="8">
        <v>46305</v>
      </c>
      <c r="B1290" s="9">
        <v>0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  <c r="Q1290" s="9">
        <f>MAX(-20,MIN(10,$A1290-VLOOKUP(YEAR($A1290),'Festive dates'!$A$2:$J$5,8,FALSE)))</f>
        <v>-20</v>
      </c>
      <c r="R1290" s="9">
        <f>IF(AND($A1290&gt;VLOOKUP(YEAR($A1290),'Festive dates'!$A$2:$J$5,2,FALSE),$A1290&lt;VLOOKUP(YEAR($A1290),'Festive dates'!$A$2:$J$5,3,FALSE)),1,0)</f>
        <v>0</v>
      </c>
      <c r="S1290" s="9">
        <f>IF($A1290=VLOOKUP(YEAR($A1290),'Festive dates'!$A$2:$J$5,2,FALSE),1,0)</f>
        <v>0</v>
      </c>
      <c r="T1290" s="9">
        <f>IF($A1290=VLOOKUP(YEAR($A1290),'Festive dates'!$A$2:$J$5,3,FALSE),1,0)</f>
        <v>0</v>
      </c>
      <c r="U1290" s="9">
        <f>IF($A1290=VLOOKUP(YEAR($A1290),'Festive dates'!$A$2:$J$5,4,FALSE),1,0)</f>
        <v>0</v>
      </c>
      <c r="V1290" s="9">
        <f>IF(AND($A1290&gt;=VLOOKUP(YEAR($A1290),'Festive dates'!$A$2:$J$5,9,FALSE),$A1290&lt;=VLOOKUP(YEAR($A1290),'Festive dates'!$A$2:$J$5,10,FALSE)),1,0)</f>
        <v>1</v>
      </c>
      <c r="W1290" s="9">
        <f>IF($A1290=VLOOKUP(YEAR($A1290),'Festive dates'!$A$2:$J$5,7,FALSE),1,0)</f>
        <v>0</v>
      </c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</row>
    <row r="1291" spans="1:51">
      <c r="A1291" s="8">
        <v>46306</v>
      </c>
      <c r="B1291" s="9">
        <v>0</v>
      </c>
      <c r="C1291" s="9">
        <v>0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P1291" s="9">
        <v>0</v>
      </c>
      <c r="Q1291" s="9">
        <f>MAX(-20,MIN(10,$A1291-VLOOKUP(YEAR($A1291),'Festive dates'!$A$2:$J$5,8,FALSE)))</f>
        <v>-20</v>
      </c>
      <c r="R1291" s="9">
        <f>IF(AND($A1291&gt;VLOOKUP(YEAR($A1291),'Festive dates'!$A$2:$J$5,2,FALSE),$A1291&lt;VLOOKUP(YEAR($A1291),'Festive dates'!$A$2:$J$5,3,FALSE)),1,0)</f>
        <v>0</v>
      </c>
      <c r="S1291" s="9">
        <f>IF($A1291=VLOOKUP(YEAR($A1291),'Festive dates'!$A$2:$J$5,2,FALSE),1,0)</f>
        <v>1</v>
      </c>
      <c r="T1291" s="9">
        <f>IF($A1291=VLOOKUP(YEAR($A1291),'Festive dates'!$A$2:$J$5,3,FALSE),1,0)</f>
        <v>0</v>
      </c>
      <c r="U1291" s="9">
        <f>IF($A1291=VLOOKUP(YEAR($A1291),'Festive dates'!$A$2:$J$5,4,FALSE),1,0)</f>
        <v>0</v>
      </c>
      <c r="V1291" s="9">
        <f>IF(AND($A1291&gt;=VLOOKUP(YEAR($A1291),'Festive dates'!$A$2:$J$5,9,FALSE),$A1291&lt;=VLOOKUP(YEAR($A1291),'Festive dates'!$A$2:$J$5,10,FALSE)),1,0)</f>
        <v>0</v>
      </c>
      <c r="W1291" s="9">
        <f>IF($A1291=VLOOKUP(YEAR($A1291),'Festive dates'!$A$2:$J$5,7,FALSE),1,0)</f>
        <v>0</v>
      </c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</row>
    <row r="1292" spans="1:51">
      <c r="A1292" s="8">
        <v>46307</v>
      </c>
      <c r="B1292" s="9">
        <v>0</v>
      </c>
      <c r="C1292" s="9">
        <v>0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f>MAX(-20,MIN(10,$A1292-VLOOKUP(YEAR($A1292),'Festive dates'!$A$2:$J$5,8,FALSE)))</f>
        <v>-20</v>
      </c>
      <c r="R1292" s="9">
        <f>IF(AND($A1292&gt;VLOOKUP(YEAR($A1292),'Festive dates'!$A$2:$J$5,2,FALSE),$A1292&lt;VLOOKUP(YEAR($A1292),'Festive dates'!$A$2:$J$5,3,FALSE)),1,0)</f>
        <v>1</v>
      </c>
      <c r="S1292" s="9">
        <f>IF($A1292=VLOOKUP(YEAR($A1292),'Festive dates'!$A$2:$J$5,2,FALSE),1,0)</f>
        <v>0</v>
      </c>
      <c r="T1292" s="9">
        <f>IF($A1292=VLOOKUP(YEAR($A1292),'Festive dates'!$A$2:$J$5,3,FALSE),1,0)</f>
        <v>0</v>
      </c>
      <c r="U1292" s="9">
        <f>IF($A1292=VLOOKUP(YEAR($A1292),'Festive dates'!$A$2:$J$5,4,FALSE),1,0)</f>
        <v>0</v>
      </c>
      <c r="V1292" s="9">
        <f>IF(AND($A1292&gt;=VLOOKUP(YEAR($A1292),'Festive dates'!$A$2:$J$5,9,FALSE),$A1292&lt;=VLOOKUP(YEAR($A1292),'Festive dates'!$A$2:$J$5,10,FALSE)),1,0)</f>
        <v>0</v>
      </c>
      <c r="W1292" s="9">
        <f>IF($A1292=VLOOKUP(YEAR($A1292),'Festive dates'!$A$2:$J$5,7,FALSE),1,0)</f>
        <v>0</v>
      </c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</row>
    <row r="1293" spans="1:51">
      <c r="A1293" s="8">
        <v>46308</v>
      </c>
      <c r="B1293" s="9">
        <v>0</v>
      </c>
      <c r="C1293" s="9">
        <v>0</v>
      </c>
      <c r="D1293" s="9">
        <v>0</v>
      </c>
      <c r="E1293" s="9">
        <v>0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9">
        <v>0</v>
      </c>
      <c r="P1293" s="9">
        <v>0</v>
      </c>
      <c r="Q1293" s="9">
        <f>MAX(-20,MIN(10,$A1293-VLOOKUP(YEAR($A1293),'Festive dates'!$A$2:$J$5,8,FALSE)))</f>
        <v>-20</v>
      </c>
      <c r="R1293" s="9">
        <f>IF(AND($A1293&gt;VLOOKUP(YEAR($A1293),'Festive dates'!$A$2:$J$5,2,FALSE),$A1293&lt;VLOOKUP(YEAR($A1293),'Festive dates'!$A$2:$J$5,3,FALSE)),1,0)</f>
        <v>1</v>
      </c>
      <c r="S1293" s="9">
        <f>IF($A1293=VLOOKUP(YEAR($A1293),'Festive dates'!$A$2:$J$5,2,FALSE),1,0)</f>
        <v>0</v>
      </c>
      <c r="T1293" s="9">
        <f>IF($A1293=VLOOKUP(YEAR($A1293),'Festive dates'!$A$2:$J$5,3,FALSE),1,0)</f>
        <v>0</v>
      </c>
      <c r="U1293" s="9">
        <f>IF($A1293=VLOOKUP(YEAR($A1293),'Festive dates'!$A$2:$J$5,4,FALSE),1,0)</f>
        <v>0</v>
      </c>
      <c r="V1293" s="9">
        <f>IF(AND($A1293&gt;=VLOOKUP(YEAR($A1293),'Festive dates'!$A$2:$J$5,9,FALSE),$A1293&lt;=VLOOKUP(YEAR($A1293),'Festive dates'!$A$2:$J$5,10,FALSE)),1,0)</f>
        <v>0</v>
      </c>
      <c r="W1293" s="9">
        <f>IF($A1293=VLOOKUP(YEAR($A1293),'Festive dates'!$A$2:$J$5,7,FALSE),1,0)</f>
        <v>0</v>
      </c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</row>
    <row r="1294" spans="1:51">
      <c r="A1294" s="8">
        <v>46309</v>
      </c>
      <c r="B1294" s="9">
        <v>0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0</v>
      </c>
      <c r="Q1294" s="9">
        <f>MAX(-20,MIN(10,$A1294-VLOOKUP(YEAR($A1294),'Festive dates'!$A$2:$J$5,8,FALSE)))</f>
        <v>-20</v>
      </c>
      <c r="R1294" s="9">
        <f>IF(AND($A1294&gt;VLOOKUP(YEAR($A1294),'Festive dates'!$A$2:$J$5,2,FALSE),$A1294&lt;VLOOKUP(YEAR($A1294),'Festive dates'!$A$2:$J$5,3,FALSE)),1,0)</f>
        <v>1</v>
      </c>
      <c r="S1294" s="9">
        <f>IF($A1294=VLOOKUP(YEAR($A1294),'Festive dates'!$A$2:$J$5,2,FALSE),1,0)</f>
        <v>0</v>
      </c>
      <c r="T1294" s="9">
        <f>IF($A1294=VLOOKUP(YEAR($A1294),'Festive dates'!$A$2:$J$5,3,FALSE),1,0)</f>
        <v>0</v>
      </c>
      <c r="U1294" s="9">
        <f>IF($A1294=VLOOKUP(YEAR($A1294),'Festive dates'!$A$2:$J$5,4,FALSE),1,0)</f>
        <v>0</v>
      </c>
      <c r="V1294" s="9">
        <f>IF(AND($A1294&gt;=VLOOKUP(YEAR($A1294),'Festive dates'!$A$2:$J$5,9,FALSE),$A1294&lt;=VLOOKUP(YEAR($A1294),'Festive dates'!$A$2:$J$5,10,FALSE)),1,0)</f>
        <v>0</v>
      </c>
      <c r="W1294" s="9">
        <f>IF($A1294=VLOOKUP(YEAR($A1294),'Festive dates'!$A$2:$J$5,7,FALSE),1,0)</f>
        <v>0</v>
      </c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</row>
    <row r="1295" spans="1:51">
      <c r="A1295" s="8">
        <v>46310</v>
      </c>
      <c r="B1295" s="9">
        <v>0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f>MAX(-20,MIN(10,$A1295-VLOOKUP(YEAR($A1295),'Festive dates'!$A$2:$J$5,8,FALSE)))</f>
        <v>-20</v>
      </c>
      <c r="R1295" s="9">
        <f>IF(AND($A1295&gt;VLOOKUP(YEAR($A1295),'Festive dates'!$A$2:$J$5,2,FALSE),$A1295&lt;VLOOKUP(YEAR($A1295),'Festive dates'!$A$2:$J$5,3,FALSE)),1,0)</f>
        <v>1</v>
      </c>
      <c r="S1295" s="9">
        <f>IF($A1295=VLOOKUP(YEAR($A1295),'Festive dates'!$A$2:$J$5,2,FALSE),1,0)</f>
        <v>0</v>
      </c>
      <c r="T1295" s="9">
        <f>IF($A1295=VLOOKUP(YEAR($A1295),'Festive dates'!$A$2:$J$5,3,FALSE),1,0)</f>
        <v>0</v>
      </c>
      <c r="U1295" s="9">
        <f>IF($A1295=VLOOKUP(YEAR($A1295),'Festive dates'!$A$2:$J$5,4,FALSE),1,0)</f>
        <v>0</v>
      </c>
      <c r="V1295" s="9">
        <f>IF(AND($A1295&gt;=VLOOKUP(YEAR($A1295),'Festive dates'!$A$2:$J$5,9,FALSE),$A1295&lt;=VLOOKUP(YEAR($A1295),'Festive dates'!$A$2:$J$5,10,FALSE)),1,0)</f>
        <v>0</v>
      </c>
      <c r="W1295" s="9">
        <f>IF($A1295=VLOOKUP(YEAR($A1295),'Festive dates'!$A$2:$J$5,7,FALSE),1,0)</f>
        <v>0</v>
      </c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</row>
    <row r="1296" spans="1:51">
      <c r="A1296" s="8">
        <v>46311</v>
      </c>
      <c r="B1296" s="9">
        <v>0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f>MAX(-20,MIN(10,$A1296-VLOOKUP(YEAR($A1296),'Festive dates'!$A$2:$J$5,8,FALSE)))</f>
        <v>-20</v>
      </c>
      <c r="R1296" s="9">
        <f>IF(AND($A1296&gt;VLOOKUP(YEAR($A1296),'Festive dates'!$A$2:$J$5,2,FALSE),$A1296&lt;VLOOKUP(YEAR($A1296),'Festive dates'!$A$2:$J$5,3,FALSE)),1,0)</f>
        <v>1</v>
      </c>
      <c r="S1296" s="9">
        <f>IF($A1296=VLOOKUP(YEAR($A1296),'Festive dates'!$A$2:$J$5,2,FALSE),1,0)</f>
        <v>0</v>
      </c>
      <c r="T1296" s="9">
        <f>IF($A1296=VLOOKUP(YEAR($A1296),'Festive dates'!$A$2:$J$5,3,FALSE),1,0)</f>
        <v>0</v>
      </c>
      <c r="U1296" s="9">
        <f>IF($A1296=VLOOKUP(YEAR($A1296),'Festive dates'!$A$2:$J$5,4,FALSE),1,0)</f>
        <v>0</v>
      </c>
      <c r="V1296" s="9">
        <f>IF(AND($A1296&gt;=VLOOKUP(YEAR($A1296),'Festive dates'!$A$2:$J$5,9,FALSE),$A1296&lt;=VLOOKUP(YEAR($A1296),'Festive dates'!$A$2:$J$5,10,FALSE)),1,0)</f>
        <v>0</v>
      </c>
      <c r="W1296" s="9">
        <f>IF($A1296=VLOOKUP(YEAR($A1296),'Festive dates'!$A$2:$J$5,7,FALSE),1,0)</f>
        <v>0</v>
      </c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</row>
    <row r="1297" spans="1:51">
      <c r="A1297" s="8">
        <v>46312</v>
      </c>
      <c r="B1297" s="9">
        <v>0</v>
      </c>
      <c r="C1297" s="9">
        <v>0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f>MAX(-20,MIN(10,$A1297-VLOOKUP(YEAR($A1297),'Festive dates'!$A$2:$J$5,8,FALSE)))</f>
        <v>-20</v>
      </c>
      <c r="R1297" s="9">
        <f>IF(AND($A1297&gt;VLOOKUP(YEAR($A1297),'Festive dates'!$A$2:$J$5,2,FALSE),$A1297&lt;VLOOKUP(YEAR($A1297),'Festive dates'!$A$2:$J$5,3,FALSE)),1,0)</f>
        <v>1</v>
      </c>
      <c r="S1297" s="9">
        <f>IF($A1297=VLOOKUP(YEAR($A1297),'Festive dates'!$A$2:$J$5,2,FALSE),1,0)</f>
        <v>0</v>
      </c>
      <c r="T1297" s="9">
        <f>IF($A1297=VLOOKUP(YEAR($A1297),'Festive dates'!$A$2:$J$5,3,FALSE),1,0)</f>
        <v>0</v>
      </c>
      <c r="U1297" s="9">
        <f>IF($A1297=VLOOKUP(YEAR($A1297),'Festive dates'!$A$2:$J$5,4,FALSE),1,0)</f>
        <v>0</v>
      </c>
      <c r="V1297" s="9">
        <f>IF(AND($A1297&gt;=VLOOKUP(YEAR($A1297),'Festive dates'!$A$2:$J$5,9,FALSE),$A1297&lt;=VLOOKUP(YEAR($A1297),'Festive dates'!$A$2:$J$5,10,FALSE)),1,0)</f>
        <v>0</v>
      </c>
      <c r="W1297" s="9">
        <f>IF($A1297=VLOOKUP(YEAR($A1297),'Festive dates'!$A$2:$J$5,7,FALSE),1,0)</f>
        <v>0</v>
      </c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</row>
    <row r="1298" spans="1:51">
      <c r="A1298" s="8">
        <v>46313</v>
      </c>
      <c r="B1298" s="9">
        <v>0</v>
      </c>
      <c r="C1298" s="9">
        <v>0</v>
      </c>
      <c r="D1298" s="9">
        <v>0</v>
      </c>
      <c r="E1298" s="9">
        <v>0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f>MAX(-20,MIN(10,$A1298-VLOOKUP(YEAR($A1298),'Festive dates'!$A$2:$J$5,8,FALSE)))</f>
        <v>-20</v>
      </c>
      <c r="R1298" s="9">
        <f>IF(AND($A1298&gt;VLOOKUP(YEAR($A1298),'Festive dates'!$A$2:$J$5,2,FALSE),$A1298&lt;VLOOKUP(YEAR($A1298),'Festive dates'!$A$2:$J$5,3,FALSE)),1,0)</f>
        <v>1</v>
      </c>
      <c r="S1298" s="9">
        <f>IF($A1298=VLOOKUP(YEAR($A1298),'Festive dates'!$A$2:$J$5,2,FALSE),1,0)</f>
        <v>0</v>
      </c>
      <c r="T1298" s="9">
        <f>IF($A1298=VLOOKUP(YEAR($A1298),'Festive dates'!$A$2:$J$5,3,FALSE),1,0)</f>
        <v>0</v>
      </c>
      <c r="U1298" s="9">
        <f>IF($A1298=VLOOKUP(YEAR($A1298),'Festive dates'!$A$2:$J$5,4,FALSE),1,0)</f>
        <v>0</v>
      </c>
      <c r="V1298" s="9">
        <f>IF(AND($A1298&gt;=VLOOKUP(YEAR($A1298),'Festive dates'!$A$2:$J$5,9,FALSE),$A1298&lt;=VLOOKUP(YEAR($A1298),'Festive dates'!$A$2:$J$5,10,FALSE)),1,0)</f>
        <v>0</v>
      </c>
      <c r="W1298" s="9">
        <f>IF($A1298=VLOOKUP(YEAR($A1298),'Festive dates'!$A$2:$J$5,7,FALSE),1,0)</f>
        <v>0</v>
      </c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</row>
    <row r="1299" spans="1:51">
      <c r="A1299" s="8">
        <v>46314</v>
      </c>
      <c r="B1299" s="9">
        <v>0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f>MAX(-20,MIN(10,$A1299-VLOOKUP(YEAR($A1299),'Festive dates'!$A$2:$J$5,8,FALSE)))</f>
        <v>-20</v>
      </c>
      <c r="R1299" s="9">
        <f>IF(AND($A1299&gt;VLOOKUP(YEAR($A1299),'Festive dates'!$A$2:$J$5,2,FALSE),$A1299&lt;VLOOKUP(YEAR($A1299),'Festive dates'!$A$2:$J$5,3,FALSE)),1,0)</f>
        <v>0</v>
      </c>
      <c r="S1299" s="9">
        <f>IF($A1299=VLOOKUP(YEAR($A1299),'Festive dates'!$A$2:$J$5,2,FALSE),1,0)</f>
        <v>0</v>
      </c>
      <c r="T1299" s="9">
        <f>IF($A1299=VLOOKUP(YEAR($A1299),'Festive dates'!$A$2:$J$5,3,FALSE),1,0)</f>
        <v>1</v>
      </c>
      <c r="U1299" s="9">
        <f>IF($A1299=VLOOKUP(YEAR($A1299),'Festive dates'!$A$2:$J$5,4,FALSE),1,0)</f>
        <v>0</v>
      </c>
      <c r="V1299" s="9">
        <f>IF(AND($A1299&gt;=VLOOKUP(YEAR($A1299),'Festive dates'!$A$2:$J$5,9,FALSE),$A1299&lt;=VLOOKUP(YEAR($A1299),'Festive dates'!$A$2:$J$5,10,FALSE)),1,0)</f>
        <v>0</v>
      </c>
      <c r="W1299" s="9">
        <f>IF($A1299=VLOOKUP(YEAR($A1299),'Festive dates'!$A$2:$J$5,7,FALSE),1,0)</f>
        <v>0</v>
      </c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</row>
    <row r="1300" spans="1:51">
      <c r="A1300" s="8">
        <v>46315</v>
      </c>
      <c r="B1300" s="9">
        <v>0</v>
      </c>
      <c r="C1300" s="9">
        <v>0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f>MAX(-20,MIN(10,$A1300-VLOOKUP(YEAR($A1300),'Festive dates'!$A$2:$J$5,8,FALSE)))</f>
        <v>-19</v>
      </c>
      <c r="R1300" s="9">
        <f>IF(AND($A1300&gt;VLOOKUP(YEAR($A1300),'Festive dates'!$A$2:$J$5,2,FALSE),$A1300&lt;VLOOKUP(YEAR($A1300),'Festive dates'!$A$2:$J$5,3,FALSE)),1,0)</f>
        <v>0</v>
      </c>
      <c r="S1300" s="9">
        <f>IF($A1300=VLOOKUP(YEAR($A1300),'Festive dates'!$A$2:$J$5,2,FALSE),1,0)</f>
        <v>0</v>
      </c>
      <c r="T1300" s="9">
        <f>IF($A1300=VLOOKUP(YEAR($A1300),'Festive dates'!$A$2:$J$5,3,FALSE),1,0)</f>
        <v>0</v>
      </c>
      <c r="U1300" s="9">
        <f>IF($A1300=VLOOKUP(YEAR($A1300),'Festive dates'!$A$2:$J$5,4,FALSE),1,0)</f>
        <v>1</v>
      </c>
      <c r="V1300" s="9">
        <f>IF(AND($A1300&gt;=VLOOKUP(YEAR($A1300),'Festive dates'!$A$2:$J$5,9,FALSE),$A1300&lt;=VLOOKUP(YEAR($A1300),'Festive dates'!$A$2:$J$5,10,FALSE)),1,0)</f>
        <v>0</v>
      </c>
      <c r="W1300" s="9">
        <f>IF($A1300=VLOOKUP(YEAR($A1300),'Festive dates'!$A$2:$J$5,7,FALSE),1,0)</f>
        <v>0</v>
      </c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</row>
    <row r="1301" spans="1:51">
      <c r="A1301" s="8">
        <v>46316</v>
      </c>
      <c r="B1301" s="9">
        <v>0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f>MAX(-20,MIN(10,$A1301-VLOOKUP(YEAR($A1301),'Festive dates'!$A$2:$J$5,8,FALSE)))</f>
        <v>-18</v>
      </c>
      <c r="R1301" s="9">
        <f>IF(AND($A1301&gt;VLOOKUP(YEAR($A1301),'Festive dates'!$A$2:$J$5,2,FALSE),$A1301&lt;VLOOKUP(YEAR($A1301),'Festive dates'!$A$2:$J$5,3,FALSE)),1,0)</f>
        <v>0</v>
      </c>
      <c r="S1301" s="9">
        <f>IF($A1301=VLOOKUP(YEAR($A1301),'Festive dates'!$A$2:$J$5,2,FALSE),1,0)</f>
        <v>0</v>
      </c>
      <c r="T1301" s="9">
        <f>IF($A1301=VLOOKUP(YEAR($A1301),'Festive dates'!$A$2:$J$5,3,FALSE),1,0)</f>
        <v>0</v>
      </c>
      <c r="U1301" s="9">
        <f>IF($A1301=VLOOKUP(YEAR($A1301),'Festive dates'!$A$2:$J$5,4,FALSE),1,0)</f>
        <v>0</v>
      </c>
      <c r="V1301" s="9">
        <f>IF(AND($A1301&gt;=VLOOKUP(YEAR($A1301),'Festive dates'!$A$2:$J$5,9,FALSE),$A1301&lt;=VLOOKUP(YEAR($A1301),'Festive dates'!$A$2:$J$5,10,FALSE)),1,0)</f>
        <v>0</v>
      </c>
      <c r="W1301" s="9">
        <f>IF($A1301=VLOOKUP(YEAR($A1301),'Festive dates'!$A$2:$J$5,7,FALSE),1,0)</f>
        <v>0</v>
      </c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</row>
    <row r="1302" spans="1:51">
      <c r="A1302" s="8">
        <v>46317</v>
      </c>
      <c r="B1302" s="9">
        <v>0</v>
      </c>
      <c r="C1302" s="9">
        <v>0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f>MAX(-20,MIN(10,$A1302-VLOOKUP(YEAR($A1302),'Festive dates'!$A$2:$J$5,8,FALSE)))</f>
        <v>-17</v>
      </c>
      <c r="R1302" s="9">
        <f>IF(AND($A1302&gt;VLOOKUP(YEAR($A1302),'Festive dates'!$A$2:$J$5,2,FALSE),$A1302&lt;VLOOKUP(YEAR($A1302),'Festive dates'!$A$2:$J$5,3,FALSE)),1,0)</f>
        <v>0</v>
      </c>
      <c r="S1302" s="9">
        <f>IF($A1302=VLOOKUP(YEAR($A1302),'Festive dates'!$A$2:$J$5,2,FALSE),1,0)</f>
        <v>0</v>
      </c>
      <c r="T1302" s="9">
        <f>IF($A1302=VLOOKUP(YEAR($A1302),'Festive dates'!$A$2:$J$5,3,FALSE),1,0)</f>
        <v>0</v>
      </c>
      <c r="U1302" s="9">
        <f>IF($A1302=VLOOKUP(YEAR($A1302),'Festive dates'!$A$2:$J$5,4,FALSE),1,0)</f>
        <v>0</v>
      </c>
      <c r="V1302" s="9">
        <f>IF(AND($A1302&gt;=VLOOKUP(YEAR($A1302),'Festive dates'!$A$2:$J$5,9,FALSE),$A1302&lt;=VLOOKUP(YEAR($A1302),'Festive dates'!$A$2:$J$5,10,FALSE)),1,0)</f>
        <v>0</v>
      </c>
      <c r="W1302" s="9">
        <f>IF($A1302=VLOOKUP(YEAR($A1302),'Festive dates'!$A$2:$J$5,7,FALSE),1,0)</f>
        <v>0</v>
      </c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</row>
    <row r="1303" spans="1:51">
      <c r="A1303" s="8">
        <v>46318</v>
      </c>
      <c r="B1303" s="9">
        <v>0</v>
      </c>
      <c r="C1303" s="9">
        <v>0</v>
      </c>
      <c r="D1303" s="9">
        <v>0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f>MAX(-20,MIN(10,$A1303-VLOOKUP(YEAR($A1303),'Festive dates'!$A$2:$J$5,8,FALSE)))</f>
        <v>-16</v>
      </c>
      <c r="R1303" s="9">
        <f>IF(AND($A1303&gt;VLOOKUP(YEAR($A1303),'Festive dates'!$A$2:$J$5,2,FALSE),$A1303&lt;VLOOKUP(YEAR($A1303),'Festive dates'!$A$2:$J$5,3,FALSE)),1,0)</f>
        <v>0</v>
      </c>
      <c r="S1303" s="9">
        <f>IF($A1303=VLOOKUP(YEAR($A1303),'Festive dates'!$A$2:$J$5,2,FALSE),1,0)</f>
        <v>0</v>
      </c>
      <c r="T1303" s="9">
        <f>IF($A1303=VLOOKUP(YEAR($A1303),'Festive dates'!$A$2:$J$5,3,FALSE),1,0)</f>
        <v>0</v>
      </c>
      <c r="U1303" s="9">
        <f>IF($A1303=VLOOKUP(YEAR($A1303),'Festive dates'!$A$2:$J$5,4,FALSE),1,0)</f>
        <v>0</v>
      </c>
      <c r="V1303" s="9">
        <f>IF(AND($A1303&gt;=VLOOKUP(YEAR($A1303),'Festive dates'!$A$2:$J$5,9,FALSE),$A1303&lt;=VLOOKUP(YEAR($A1303),'Festive dates'!$A$2:$J$5,10,FALSE)),1,0)</f>
        <v>0</v>
      </c>
      <c r="W1303" s="9">
        <f>IF($A1303=VLOOKUP(YEAR($A1303),'Festive dates'!$A$2:$J$5,7,FALSE),1,0)</f>
        <v>0</v>
      </c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</row>
    <row r="1304" spans="1:51">
      <c r="A1304" s="8">
        <v>46319</v>
      </c>
      <c r="B1304" s="9">
        <v>0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P1304" s="9">
        <v>0</v>
      </c>
      <c r="Q1304" s="9">
        <f>MAX(-20,MIN(10,$A1304-VLOOKUP(YEAR($A1304),'Festive dates'!$A$2:$J$5,8,FALSE)))</f>
        <v>-15</v>
      </c>
      <c r="R1304" s="9">
        <f>IF(AND($A1304&gt;VLOOKUP(YEAR($A1304),'Festive dates'!$A$2:$J$5,2,FALSE),$A1304&lt;VLOOKUP(YEAR($A1304),'Festive dates'!$A$2:$J$5,3,FALSE)),1,0)</f>
        <v>0</v>
      </c>
      <c r="S1304" s="9">
        <f>IF($A1304=VLOOKUP(YEAR($A1304),'Festive dates'!$A$2:$J$5,2,FALSE),1,0)</f>
        <v>0</v>
      </c>
      <c r="T1304" s="9">
        <f>IF($A1304=VLOOKUP(YEAR($A1304),'Festive dates'!$A$2:$J$5,3,FALSE),1,0)</f>
        <v>0</v>
      </c>
      <c r="U1304" s="9">
        <f>IF($A1304=VLOOKUP(YEAR($A1304),'Festive dates'!$A$2:$J$5,4,FALSE),1,0)</f>
        <v>0</v>
      </c>
      <c r="V1304" s="9">
        <f>IF(AND($A1304&gt;=VLOOKUP(YEAR($A1304),'Festive dates'!$A$2:$J$5,9,FALSE),$A1304&lt;=VLOOKUP(YEAR($A1304),'Festive dates'!$A$2:$J$5,10,FALSE)),1,0)</f>
        <v>0</v>
      </c>
      <c r="W1304" s="9">
        <f>IF($A1304=VLOOKUP(YEAR($A1304),'Festive dates'!$A$2:$J$5,7,FALSE),1,0)</f>
        <v>0</v>
      </c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</row>
    <row r="1305" spans="1:51">
      <c r="A1305" s="8">
        <v>46320</v>
      </c>
      <c r="B1305" s="9">
        <v>0</v>
      </c>
      <c r="C1305" s="9">
        <v>0</v>
      </c>
      <c r="D1305" s="9">
        <v>0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f>MAX(-20,MIN(10,$A1305-VLOOKUP(YEAR($A1305),'Festive dates'!$A$2:$J$5,8,FALSE)))</f>
        <v>-14</v>
      </c>
      <c r="R1305" s="9">
        <f>IF(AND($A1305&gt;VLOOKUP(YEAR($A1305),'Festive dates'!$A$2:$J$5,2,FALSE),$A1305&lt;VLOOKUP(YEAR($A1305),'Festive dates'!$A$2:$J$5,3,FALSE)),1,0)</f>
        <v>0</v>
      </c>
      <c r="S1305" s="9">
        <f>IF($A1305=VLOOKUP(YEAR($A1305),'Festive dates'!$A$2:$J$5,2,FALSE),1,0)</f>
        <v>0</v>
      </c>
      <c r="T1305" s="9">
        <f>IF($A1305=VLOOKUP(YEAR($A1305),'Festive dates'!$A$2:$J$5,3,FALSE),1,0)</f>
        <v>0</v>
      </c>
      <c r="U1305" s="9">
        <f>IF($A1305=VLOOKUP(YEAR($A1305),'Festive dates'!$A$2:$J$5,4,FALSE),1,0)</f>
        <v>0</v>
      </c>
      <c r="V1305" s="9">
        <f>IF(AND($A1305&gt;=VLOOKUP(YEAR($A1305),'Festive dates'!$A$2:$J$5,9,FALSE),$A1305&lt;=VLOOKUP(YEAR($A1305),'Festive dates'!$A$2:$J$5,10,FALSE)),1,0)</f>
        <v>0</v>
      </c>
      <c r="W1305" s="9">
        <f>IF($A1305=VLOOKUP(YEAR($A1305),'Festive dates'!$A$2:$J$5,7,FALSE),1,0)</f>
        <v>0</v>
      </c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</row>
    <row r="1306" spans="1:51">
      <c r="A1306" s="8">
        <v>46321</v>
      </c>
      <c r="B1306" s="9">
        <v>0</v>
      </c>
      <c r="C1306" s="9">
        <v>0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  <c r="Q1306" s="9">
        <f>MAX(-20,MIN(10,$A1306-VLOOKUP(YEAR($A1306),'Festive dates'!$A$2:$J$5,8,FALSE)))</f>
        <v>-13</v>
      </c>
      <c r="R1306" s="9">
        <f>IF(AND($A1306&gt;VLOOKUP(YEAR($A1306),'Festive dates'!$A$2:$J$5,2,FALSE),$A1306&lt;VLOOKUP(YEAR($A1306),'Festive dates'!$A$2:$J$5,3,FALSE)),1,0)</f>
        <v>0</v>
      </c>
      <c r="S1306" s="9">
        <f>IF($A1306=VLOOKUP(YEAR($A1306),'Festive dates'!$A$2:$J$5,2,FALSE),1,0)</f>
        <v>0</v>
      </c>
      <c r="T1306" s="9">
        <f>IF($A1306=VLOOKUP(YEAR($A1306),'Festive dates'!$A$2:$J$5,3,FALSE),1,0)</f>
        <v>0</v>
      </c>
      <c r="U1306" s="9">
        <f>IF($A1306=VLOOKUP(YEAR($A1306),'Festive dates'!$A$2:$J$5,4,FALSE),1,0)</f>
        <v>0</v>
      </c>
      <c r="V1306" s="9">
        <f>IF(AND($A1306&gt;=VLOOKUP(YEAR($A1306),'Festive dates'!$A$2:$J$5,9,FALSE),$A1306&lt;=VLOOKUP(YEAR($A1306),'Festive dates'!$A$2:$J$5,10,FALSE)),1,0)</f>
        <v>0</v>
      </c>
      <c r="W1306" s="9">
        <f>IF($A1306=VLOOKUP(YEAR($A1306),'Festive dates'!$A$2:$J$5,7,FALSE),1,0)</f>
        <v>0</v>
      </c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</row>
    <row r="1307" spans="1:51">
      <c r="A1307" s="8">
        <v>46322</v>
      </c>
      <c r="B1307" s="9">
        <v>0</v>
      </c>
      <c r="C1307" s="9">
        <v>0</v>
      </c>
      <c r="D1307" s="9">
        <v>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</v>
      </c>
      <c r="O1307" s="9">
        <v>0</v>
      </c>
      <c r="P1307" s="9">
        <v>0</v>
      </c>
      <c r="Q1307" s="9">
        <f>MAX(-20,MIN(10,$A1307-VLOOKUP(YEAR($A1307),'Festive dates'!$A$2:$J$5,8,FALSE)))</f>
        <v>-12</v>
      </c>
      <c r="R1307" s="9">
        <f>IF(AND($A1307&gt;VLOOKUP(YEAR($A1307),'Festive dates'!$A$2:$J$5,2,FALSE),$A1307&lt;VLOOKUP(YEAR($A1307),'Festive dates'!$A$2:$J$5,3,FALSE)),1,0)</f>
        <v>0</v>
      </c>
      <c r="S1307" s="9">
        <f>IF($A1307=VLOOKUP(YEAR($A1307),'Festive dates'!$A$2:$J$5,2,FALSE),1,0)</f>
        <v>0</v>
      </c>
      <c r="T1307" s="9">
        <f>IF($A1307=VLOOKUP(YEAR($A1307),'Festive dates'!$A$2:$J$5,3,FALSE),1,0)</f>
        <v>0</v>
      </c>
      <c r="U1307" s="9">
        <f>IF($A1307=VLOOKUP(YEAR($A1307),'Festive dates'!$A$2:$J$5,4,FALSE),1,0)</f>
        <v>0</v>
      </c>
      <c r="V1307" s="9">
        <f>IF(AND($A1307&gt;=VLOOKUP(YEAR($A1307),'Festive dates'!$A$2:$J$5,9,FALSE),$A1307&lt;=VLOOKUP(YEAR($A1307),'Festive dates'!$A$2:$J$5,10,FALSE)),1,0)</f>
        <v>0</v>
      </c>
      <c r="W1307" s="9">
        <f>IF($A1307=VLOOKUP(YEAR($A1307),'Festive dates'!$A$2:$J$5,7,FALSE),1,0)</f>
        <v>0</v>
      </c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</row>
    <row r="1308" spans="1:51">
      <c r="A1308" s="8">
        <v>46323</v>
      </c>
      <c r="B1308" s="9">
        <v>0</v>
      </c>
      <c r="C1308" s="9">
        <v>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f>MAX(-20,MIN(10,$A1308-VLOOKUP(YEAR($A1308),'Festive dates'!$A$2:$J$5,8,FALSE)))</f>
        <v>-11</v>
      </c>
      <c r="R1308" s="9">
        <f>IF(AND($A1308&gt;VLOOKUP(YEAR($A1308),'Festive dates'!$A$2:$J$5,2,FALSE),$A1308&lt;VLOOKUP(YEAR($A1308),'Festive dates'!$A$2:$J$5,3,FALSE)),1,0)</f>
        <v>0</v>
      </c>
      <c r="S1308" s="9">
        <f>IF($A1308=VLOOKUP(YEAR($A1308),'Festive dates'!$A$2:$J$5,2,FALSE),1,0)</f>
        <v>0</v>
      </c>
      <c r="T1308" s="9">
        <f>IF($A1308=VLOOKUP(YEAR($A1308),'Festive dates'!$A$2:$J$5,3,FALSE),1,0)</f>
        <v>0</v>
      </c>
      <c r="U1308" s="9">
        <f>IF($A1308=VLOOKUP(YEAR($A1308),'Festive dates'!$A$2:$J$5,4,FALSE),1,0)</f>
        <v>0</v>
      </c>
      <c r="V1308" s="9">
        <f>IF(AND($A1308&gt;=VLOOKUP(YEAR($A1308),'Festive dates'!$A$2:$J$5,9,FALSE),$A1308&lt;=VLOOKUP(YEAR($A1308),'Festive dates'!$A$2:$J$5,10,FALSE)),1,0)</f>
        <v>0</v>
      </c>
      <c r="W1308" s="9">
        <f>IF($A1308=VLOOKUP(YEAR($A1308),'Festive dates'!$A$2:$J$5,7,FALSE),1,0)</f>
        <v>0</v>
      </c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</row>
    <row r="1309" spans="1:51">
      <c r="A1309" s="8">
        <v>46324</v>
      </c>
      <c r="B1309" s="9">
        <v>0</v>
      </c>
      <c r="C1309" s="9">
        <v>0</v>
      </c>
      <c r="D1309" s="9">
        <v>0</v>
      </c>
      <c r="E1309" s="9">
        <v>0</v>
      </c>
      <c r="F1309" s="9">
        <v>1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f>MAX(-20,MIN(10,$A1309-VLOOKUP(YEAR($A1309),'Festive dates'!$A$2:$J$5,8,FALSE)))</f>
        <v>-10</v>
      </c>
      <c r="R1309" s="9">
        <f>IF(AND($A1309&gt;VLOOKUP(YEAR($A1309),'Festive dates'!$A$2:$J$5,2,FALSE),$A1309&lt;VLOOKUP(YEAR($A1309),'Festive dates'!$A$2:$J$5,3,FALSE)),1,0)</f>
        <v>0</v>
      </c>
      <c r="S1309" s="9">
        <f>IF($A1309=VLOOKUP(YEAR($A1309),'Festive dates'!$A$2:$J$5,2,FALSE),1,0)</f>
        <v>0</v>
      </c>
      <c r="T1309" s="9">
        <f>IF($A1309=VLOOKUP(YEAR($A1309),'Festive dates'!$A$2:$J$5,3,FALSE),1,0)</f>
        <v>0</v>
      </c>
      <c r="U1309" s="9">
        <f>IF($A1309=VLOOKUP(YEAR($A1309),'Festive dates'!$A$2:$J$5,4,FALSE),1,0)</f>
        <v>0</v>
      </c>
      <c r="V1309" s="9">
        <f>IF(AND($A1309&gt;=VLOOKUP(YEAR($A1309),'Festive dates'!$A$2:$J$5,9,FALSE),$A1309&lt;=VLOOKUP(YEAR($A1309),'Festive dates'!$A$2:$J$5,10,FALSE)),1,0)</f>
        <v>0</v>
      </c>
      <c r="W1309" s="9">
        <f>IF($A1309=VLOOKUP(YEAR($A1309),'Festive dates'!$A$2:$J$5,7,FALSE),1,0)</f>
        <v>0</v>
      </c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</row>
    <row r="1310" spans="1:51">
      <c r="A1310" s="8">
        <v>46325</v>
      </c>
      <c r="B1310" s="9">
        <v>0</v>
      </c>
      <c r="C1310" s="9">
        <v>0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f>MAX(-20,MIN(10,$A1310-VLOOKUP(YEAR($A1310),'Festive dates'!$A$2:$J$5,8,FALSE)))</f>
        <v>-9</v>
      </c>
      <c r="R1310" s="9">
        <f>IF(AND($A1310&gt;VLOOKUP(YEAR($A1310),'Festive dates'!$A$2:$J$5,2,FALSE),$A1310&lt;VLOOKUP(YEAR($A1310),'Festive dates'!$A$2:$J$5,3,FALSE)),1,0)</f>
        <v>0</v>
      </c>
      <c r="S1310" s="9">
        <f>IF($A1310=VLOOKUP(YEAR($A1310),'Festive dates'!$A$2:$J$5,2,FALSE),1,0)</f>
        <v>0</v>
      </c>
      <c r="T1310" s="9">
        <f>IF($A1310=VLOOKUP(YEAR($A1310),'Festive dates'!$A$2:$J$5,3,FALSE),1,0)</f>
        <v>0</v>
      </c>
      <c r="U1310" s="9">
        <f>IF($A1310=VLOOKUP(YEAR($A1310),'Festive dates'!$A$2:$J$5,4,FALSE),1,0)</f>
        <v>0</v>
      </c>
      <c r="V1310" s="9">
        <f>IF(AND($A1310&gt;=VLOOKUP(YEAR($A1310),'Festive dates'!$A$2:$J$5,9,FALSE),$A1310&lt;=VLOOKUP(YEAR($A1310),'Festive dates'!$A$2:$J$5,10,FALSE)),1,0)</f>
        <v>0</v>
      </c>
      <c r="W1310" s="9">
        <f>IF($A1310=VLOOKUP(YEAR($A1310),'Festive dates'!$A$2:$J$5,7,FALSE),1,0)</f>
        <v>0</v>
      </c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</row>
    <row r="1311" spans="1:51">
      <c r="A1311" s="8">
        <v>46326</v>
      </c>
      <c r="B1311" s="9">
        <v>0</v>
      </c>
      <c r="C1311" s="9">
        <v>0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f>MAX(-20,MIN(10,$A1311-VLOOKUP(YEAR($A1311),'Festive dates'!$A$2:$J$5,8,FALSE)))</f>
        <v>-8</v>
      </c>
      <c r="R1311" s="9">
        <f>IF(AND($A1311&gt;VLOOKUP(YEAR($A1311),'Festive dates'!$A$2:$J$5,2,FALSE),$A1311&lt;VLOOKUP(YEAR($A1311),'Festive dates'!$A$2:$J$5,3,FALSE)),1,0)</f>
        <v>0</v>
      </c>
      <c r="S1311" s="9">
        <f>IF($A1311=VLOOKUP(YEAR($A1311),'Festive dates'!$A$2:$J$5,2,FALSE),1,0)</f>
        <v>0</v>
      </c>
      <c r="T1311" s="9">
        <f>IF($A1311=VLOOKUP(YEAR($A1311),'Festive dates'!$A$2:$J$5,3,FALSE),1,0)</f>
        <v>0</v>
      </c>
      <c r="U1311" s="9">
        <f>IF($A1311=VLOOKUP(YEAR($A1311),'Festive dates'!$A$2:$J$5,4,FALSE),1,0)</f>
        <v>0</v>
      </c>
      <c r="V1311" s="9">
        <f>IF(AND($A1311&gt;=VLOOKUP(YEAR($A1311),'Festive dates'!$A$2:$J$5,9,FALSE),$A1311&lt;=VLOOKUP(YEAR($A1311),'Festive dates'!$A$2:$J$5,10,FALSE)),1,0)</f>
        <v>0</v>
      </c>
      <c r="W1311" s="9">
        <f>IF($A1311=VLOOKUP(YEAR($A1311),'Festive dates'!$A$2:$J$5,7,FALSE),1,0)</f>
        <v>0</v>
      </c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</row>
    <row r="1312" spans="1:51">
      <c r="A1312" s="8">
        <v>46327</v>
      </c>
      <c r="B1312" s="9">
        <v>0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f>MAX(-20,MIN(10,$A1312-VLOOKUP(YEAR($A1312),'Festive dates'!$A$2:$J$5,8,FALSE)))</f>
        <v>-7</v>
      </c>
      <c r="R1312" s="9">
        <f>IF(AND($A1312&gt;VLOOKUP(YEAR($A1312),'Festive dates'!$A$2:$J$5,2,FALSE),$A1312&lt;VLOOKUP(YEAR($A1312),'Festive dates'!$A$2:$J$5,3,FALSE)),1,0)</f>
        <v>0</v>
      </c>
      <c r="S1312" s="9">
        <f>IF($A1312=VLOOKUP(YEAR($A1312),'Festive dates'!$A$2:$J$5,2,FALSE),1,0)</f>
        <v>0</v>
      </c>
      <c r="T1312" s="9">
        <f>IF($A1312=VLOOKUP(YEAR($A1312),'Festive dates'!$A$2:$J$5,3,FALSE),1,0)</f>
        <v>0</v>
      </c>
      <c r="U1312" s="9">
        <f>IF($A1312=VLOOKUP(YEAR($A1312),'Festive dates'!$A$2:$J$5,4,FALSE),1,0)</f>
        <v>0</v>
      </c>
      <c r="V1312" s="9">
        <f>IF(AND($A1312&gt;=VLOOKUP(YEAR($A1312),'Festive dates'!$A$2:$J$5,9,FALSE),$A1312&lt;=VLOOKUP(YEAR($A1312),'Festive dates'!$A$2:$J$5,10,FALSE)),1,0)</f>
        <v>0</v>
      </c>
      <c r="W1312" s="9">
        <f>IF($A1312=VLOOKUP(YEAR($A1312),'Festive dates'!$A$2:$J$5,7,FALSE),1,0)</f>
        <v>0</v>
      </c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</row>
    <row r="1313" spans="1:51">
      <c r="A1313" s="8">
        <v>46328</v>
      </c>
      <c r="B1313" s="9">
        <v>0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f>MAX(-20,MIN(10,$A1313-VLOOKUP(YEAR($A1313),'Festive dates'!$A$2:$J$5,8,FALSE)))</f>
        <v>-6</v>
      </c>
      <c r="R1313" s="9">
        <f>IF(AND($A1313&gt;VLOOKUP(YEAR($A1313),'Festive dates'!$A$2:$J$5,2,FALSE),$A1313&lt;VLOOKUP(YEAR($A1313),'Festive dates'!$A$2:$J$5,3,FALSE)),1,0)</f>
        <v>0</v>
      </c>
      <c r="S1313" s="9">
        <f>IF($A1313=VLOOKUP(YEAR($A1313),'Festive dates'!$A$2:$J$5,2,FALSE),1,0)</f>
        <v>0</v>
      </c>
      <c r="T1313" s="9">
        <f>IF($A1313=VLOOKUP(YEAR($A1313),'Festive dates'!$A$2:$J$5,3,FALSE),1,0)</f>
        <v>0</v>
      </c>
      <c r="U1313" s="9">
        <f>IF($A1313=VLOOKUP(YEAR($A1313),'Festive dates'!$A$2:$J$5,4,FALSE),1,0)</f>
        <v>0</v>
      </c>
      <c r="V1313" s="9">
        <f>IF(AND($A1313&gt;=VLOOKUP(YEAR($A1313),'Festive dates'!$A$2:$J$5,9,FALSE),$A1313&lt;=VLOOKUP(YEAR($A1313),'Festive dates'!$A$2:$J$5,10,FALSE)),1,0)</f>
        <v>0</v>
      </c>
      <c r="W1313" s="9">
        <f>IF($A1313=VLOOKUP(YEAR($A1313),'Festive dates'!$A$2:$J$5,7,FALSE),1,0)</f>
        <v>0</v>
      </c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</row>
    <row r="1314" spans="1:51">
      <c r="A1314" s="8">
        <v>46329</v>
      </c>
      <c r="B1314" s="9">
        <v>0</v>
      </c>
      <c r="C1314" s="9">
        <v>0</v>
      </c>
      <c r="D1314" s="9">
        <v>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f>MAX(-20,MIN(10,$A1314-VLOOKUP(YEAR($A1314),'Festive dates'!$A$2:$J$5,8,FALSE)))</f>
        <v>-5</v>
      </c>
      <c r="R1314" s="9">
        <f>IF(AND($A1314&gt;VLOOKUP(YEAR($A1314),'Festive dates'!$A$2:$J$5,2,FALSE),$A1314&lt;VLOOKUP(YEAR($A1314),'Festive dates'!$A$2:$J$5,3,FALSE)),1,0)</f>
        <v>0</v>
      </c>
      <c r="S1314" s="9">
        <f>IF($A1314=VLOOKUP(YEAR($A1314),'Festive dates'!$A$2:$J$5,2,FALSE),1,0)</f>
        <v>0</v>
      </c>
      <c r="T1314" s="9">
        <f>IF($A1314=VLOOKUP(YEAR($A1314),'Festive dates'!$A$2:$J$5,3,FALSE),1,0)</f>
        <v>0</v>
      </c>
      <c r="U1314" s="9">
        <f>IF($A1314=VLOOKUP(YEAR($A1314),'Festive dates'!$A$2:$J$5,4,FALSE),1,0)</f>
        <v>0</v>
      </c>
      <c r="V1314" s="9">
        <f>IF(AND($A1314&gt;=VLOOKUP(YEAR($A1314),'Festive dates'!$A$2:$J$5,9,FALSE),$A1314&lt;=VLOOKUP(YEAR($A1314),'Festive dates'!$A$2:$J$5,10,FALSE)),1,0)</f>
        <v>0</v>
      </c>
      <c r="W1314" s="9">
        <f>IF($A1314=VLOOKUP(YEAR($A1314),'Festive dates'!$A$2:$J$5,7,FALSE),1,0)</f>
        <v>0</v>
      </c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</row>
    <row r="1315" spans="1:51">
      <c r="A1315" s="8">
        <v>46330</v>
      </c>
      <c r="B1315" s="9">
        <v>0</v>
      </c>
      <c r="C1315" s="9">
        <v>0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f>MAX(-20,MIN(10,$A1315-VLOOKUP(YEAR($A1315),'Festive dates'!$A$2:$J$5,8,FALSE)))</f>
        <v>-4</v>
      </c>
      <c r="R1315" s="9">
        <f>IF(AND($A1315&gt;VLOOKUP(YEAR($A1315),'Festive dates'!$A$2:$J$5,2,FALSE),$A1315&lt;VLOOKUP(YEAR($A1315),'Festive dates'!$A$2:$J$5,3,FALSE)),1,0)</f>
        <v>0</v>
      </c>
      <c r="S1315" s="9">
        <f>IF($A1315=VLOOKUP(YEAR($A1315),'Festive dates'!$A$2:$J$5,2,FALSE),1,0)</f>
        <v>0</v>
      </c>
      <c r="T1315" s="9">
        <f>IF($A1315=VLOOKUP(YEAR($A1315),'Festive dates'!$A$2:$J$5,3,FALSE),1,0)</f>
        <v>0</v>
      </c>
      <c r="U1315" s="9">
        <f>IF($A1315=VLOOKUP(YEAR($A1315),'Festive dates'!$A$2:$J$5,4,FALSE),1,0)</f>
        <v>0</v>
      </c>
      <c r="V1315" s="9">
        <f>IF(AND($A1315&gt;=VLOOKUP(YEAR($A1315),'Festive dates'!$A$2:$J$5,9,FALSE),$A1315&lt;=VLOOKUP(YEAR($A1315),'Festive dates'!$A$2:$J$5,10,FALSE)),1,0)</f>
        <v>0</v>
      </c>
      <c r="W1315" s="9">
        <f>IF($A1315=VLOOKUP(YEAR($A1315),'Festive dates'!$A$2:$J$5,7,FALSE),1,0)</f>
        <v>0</v>
      </c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</row>
    <row r="1316" spans="1:51">
      <c r="A1316" s="8">
        <v>46331</v>
      </c>
      <c r="B1316" s="9">
        <v>0</v>
      </c>
      <c r="C1316" s="9">
        <v>0</v>
      </c>
      <c r="D1316" s="9">
        <v>0</v>
      </c>
      <c r="E1316" s="9">
        <v>0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f>MAX(-20,MIN(10,$A1316-VLOOKUP(YEAR($A1316),'Festive dates'!$A$2:$J$5,8,FALSE)))</f>
        <v>-3</v>
      </c>
      <c r="R1316" s="9">
        <f>IF(AND($A1316&gt;VLOOKUP(YEAR($A1316),'Festive dates'!$A$2:$J$5,2,FALSE),$A1316&lt;VLOOKUP(YEAR($A1316),'Festive dates'!$A$2:$J$5,3,FALSE)),1,0)</f>
        <v>0</v>
      </c>
      <c r="S1316" s="9">
        <f>IF($A1316=VLOOKUP(YEAR($A1316),'Festive dates'!$A$2:$J$5,2,FALSE),1,0)</f>
        <v>0</v>
      </c>
      <c r="T1316" s="9">
        <f>IF($A1316=VLOOKUP(YEAR($A1316),'Festive dates'!$A$2:$J$5,3,FALSE),1,0)</f>
        <v>0</v>
      </c>
      <c r="U1316" s="9">
        <f>IF($A1316=VLOOKUP(YEAR($A1316),'Festive dates'!$A$2:$J$5,4,FALSE),1,0)</f>
        <v>0</v>
      </c>
      <c r="V1316" s="9">
        <f>IF(AND($A1316&gt;=VLOOKUP(YEAR($A1316),'Festive dates'!$A$2:$J$5,9,FALSE),$A1316&lt;=VLOOKUP(YEAR($A1316),'Festive dates'!$A$2:$J$5,10,FALSE)),1,0)</f>
        <v>0</v>
      </c>
      <c r="W1316" s="9">
        <f>IF($A1316=VLOOKUP(YEAR($A1316),'Festive dates'!$A$2:$J$5,7,FALSE),1,0)</f>
        <v>0</v>
      </c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</row>
    <row r="1317" spans="1:51">
      <c r="A1317" s="8">
        <v>46332</v>
      </c>
      <c r="B1317" s="9">
        <v>0</v>
      </c>
      <c r="C1317" s="9">
        <v>0</v>
      </c>
      <c r="D1317" s="9">
        <v>0</v>
      </c>
      <c r="E1317" s="9">
        <v>0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f>MAX(-20,MIN(10,$A1317-VLOOKUP(YEAR($A1317),'Festive dates'!$A$2:$J$5,8,FALSE)))</f>
        <v>-2</v>
      </c>
      <c r="R1317" s="9">
        <f>IF(AND($A1317&gt;VLOOKUP(YEAR($A1317),'Festive dates'!$A$2:$J$5,2,FALSE),$A1317&lt;VLOOKUP(YEAR($A1317),'Festive dates'!$A$2:$J$5,3,FALSE)),1,0)</f>
        <v>0</v>
      </c>
      <c r="S1317" s="9">
        <f>IF($A1317=VLOOKUP(YEAR($A1317),'Festive dates'!$A$2:$J$5,2,FALSE),1,0)</f>
        <v>0</v>
      </c>
      <c r="T1317" s="9">
        <f>IF($A1317=VLOOKUP(YEAR($A1317),'Festive dates'!$A$2:$J$5,3,FALSE),1,0)</f>
        <v>0</v>
      </c>
      <c r="U1317" s="9">
        <f>IF($A1317=VLOOKUP(YEAR($A1317),'Festive dates'!$A$2:$J$5,4,FALSE),1,0)</f>
        <v>0</v>
      </c>
      <c r="V1317" s="9">
        <f>IF(AND($A1317&gt;=VLOOKUP(YEAR($A1317),'Festive dates'!$A$2:$J$5,9,FALSE),$A1317&lt;=VLOOKUP(YEAR($A1317),'Festive dates'!$A$2:$J$5,10,FALSE)),1,0)</f>
        <v>0</v>
      </c>
      <c r="W1317" s="9">
        <f>IF($A1317=VLOOKUP(YEAR($A1317),'Festive dates'!$A$2:$J$5,7,FALSE),1,0)</f>
        <v>1</v>
      </c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</row>
    <row r="1318" spans="1:51">
      <c r="A1318" s="8">
        <v>46333</v>
      </c>
      <c r="B1318" s="9">
        <v>0</v>
      </c>
      <c r="C1318" s="9">
        <v>0</v>
      </c>
      <c r="D1318" s="9">
        <v>0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f>MAX(-20,MIN(10,$A1318-VLOOKUP(YEAR($A1318),'Festive dates'!$A$2:$J$5,8,FALSE)))</f>
        <v>-1</v>
      </c>
      <c r="R1318" s="9">
        <f>IF(AND($A1318&gt;VLOOKUP(YEAR($A1318),'Festive dates'!$A$2:$J$5,2,FALSE),$A1318&lt;VLOOKUP(YEAR($A1318),'Festive dates'!$A$2:$J$5,3,FALSE)),1,0)</f>
        <v>0</v>
      </c>
      <c r="S1318" s="9">
        <f>IF($A1318=VLOOKUP(YEAR($A1318),'Festive dates'!$A$2:$J$5,2,FALSE),1,0)</f>
        <v>0</v>
      </c>
      <c r="T1318" s="9">
        <f>IF($A1318=VLOOKUP(YEAR($A1318),'Festive dates'!$A$2:$J$5,3,FALSE),1,0)</f>
        <v>0</v>
      </c>
      <c r="U1318" s="9">
        <f>IF($A1318=VLOOKUP(YEAR($A1318),'Festive dates'!$A$2:$J$5,4,FALSE),1,0)</f>
        <v>0</v>
      </c>
      <c r="V1318" s="9">
        <f>IF(AND($A1318&gt;=VLOOKUP(YEAR($A1318),'Festive dates'!$A$2:$J$5,9,FALSE),$A1318&lt;=VLOOKUP(YEAR($A1318),'Festive dates'!$A$2:$J$5,10,FALSE)),1,0)</f>
        <v>0</v>
      </c>
      <c r="W1318" s="9">
        <f>IF($A1318=VLOOKUP(YEAR($A1318),'Festive dates'!$A$2:$J$5,7,FALSE),1,0)</f>
        <v>0</v>
      </c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</row>
    <row r="1319" spans="1:51">
      <c r="A1319" s="8">
        <v>46334</v>
      </c>
      <c r="B1319" s="9">
        <v>0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f>MAX(-20,MIN(10,$A1319-VLOOKUP(YEAR($A1319),'Festive dates'!$A$2:$J$5,8,FALSE)))</f>
        <v>0</v>
      </c>
      <c r="R1319" s="9">
        <f>IF(AND($A1319&gt;VLOOKUP(YEAR($A1319),'Festive dates'!$A$2:$J$5,2,FALSE),$A1319&lt;VLOOKUP(YEAR($A1319),'Festive dates'!$A$2:$J$5,3,FALSE)),1,0)</f>
        <v>0</v>
      </c>
      <c r="S1319" s="9">
        <f>IF($A1319=VLOOKUP(YEAR($A1319),'Festive dates'!$A$2:$J$5,2,FALSE),1,0)</f>
        <v>0</v>
      </c>
      <c r="T1319" s="9">
        <f>IF($A1319=VLOOKUP(YEAR($A1319),'Festive dates'!$A$2:$J$5,3,FALSE),1,0)</f>
        <v>0</v>
      </c>
      <c r="U1319" s="9">
        <f>IF($A1319=VLOOKUP(YEAR($A1319),'Festive dates'!$A$2:$J$5,4,FALSE),1,0)</f>
        <v>0</v>
      </c>
      <c r="V1319" s="9">
        <f>IF(AND($A1319&gt;=VLOOKUP(YEAR($A1319),'Festive dates'!$A$2:$J$5,9,FALSE),$A1319&lt;=VLOOKUP(YEAR($A1319),'Festive dates'!$A$2:$J$5,10,FALSE)),1,0)</f>
        <v>0</v>
      </c>
      <c r="W1319" s="9">
        <f>IF($A1319=VLOOKUP(YEAR($A1319),'Festive dates'!$A$2:$J$5,7,FALSE),1,0)</f>
        <v>0</v>
      </c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</row>
    <row r="1320" spans="1:51">
      <c r="A1320" s="8">
        <v>46335</v>
      </c>
      <c r="B1320" s="9">
        <v>0</v>
      </c>
      <c r="C1320" s="9">
        <v>0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f>MAX(-20,MIN(10,$A1320-VLOOKUP(YEAR($A1320),'Festive dates'!$A$2:$J$5,8,FALSE)))</f>
        <v>1</v>
      </c>
      <c r="R1320" s="9">
        <f>IF(AND($A1320&gt;VLOOKUP(YEAR($A1320),'Festive dates'!$A$2:$J$5,2,FALSE),$A1320&lt;VLOOKUP(YEAR($A1320),'Festive dates'!$A$2:$J$5,3,FALSE)),1,0)</f>
        <v>0</v>
      </c>
      <c r="S1320" s="9">
        <f>IF($A1320=VLOOKUP(YEAR($A1320),'Festive dates'!$A$2:$J$5,2,FALSE),1,0)</f>
        <v>0</v>
      </c>
      <c r="T1320" s="9">
        <f>IF($A1320=VLOOKUP(YEAR($A1320),'Festive dates'!$A$2:$J$5,3,FALSE),1,0)</f>
        <v>0</v>
      </c>
      <c r="U1320" s="9">
        <f>IF($A1320=VLOOKUP(YEAR($A1320),'Festive dates'!$A$2:$J$5,4,FALSE),1,0)</f>
        <v>0</v>
      </c>
      <c r="V1320" s="9">
        <f>IF(AND($A1320&gt;=VLOOKUP(YEAR($A1320),'Festive dates'!$A$2:$J$5,9,FALSE),$A1320&lt;=VLOOKUP(YEAR($A1320),'Festive dates'!$A$2:$J$5,10,FALSE)),1,0)</f>
        <v>0</v>
      </c>
      <c r="W1320" s="9">
        <f>IF($A1320=VLOOKUP(YEAR($A1320),'Festive dates'!$A$2:$J$5,7,FALSE),1,0)</f>
        <v>0</v>
      </c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</row>
    <row r="1321" spans="1:51">
      <c r="A1321" s="8">
        <v>46336</v>
      </c>
      <c r="B1321" s="9">
        <v>0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f>MAX(-20,MIN(10,$A1321-VLOOKUP(YEAR($A1321),'Festive dates'!$A$2:$J$5,8,FALSE)))</f>
        <v>2</v>
      </c>
      <c r="R1321" s="9">
        <f>IF(AND($A1321&gt;VLOOKUP(YEAR($A1321),'Festive dates'!$A$2:$J$5,2,FALSE),$A1321&lt;VLOOKUP(YEAR($A1321),'Festive dates'!$A$2:$J$5,3,FALSE)),1,0)</f>
        <v>0</v>
      </c>
      <c r="S1321" s="9">
        <f>IF($A1321=VLOOKUP(YEAR($A1321),'Festive dates'!$A$2:$J$5,2,FALSE),1,0)</f>
        <v>0</v>
      </c>
      <c r="T1321" s="9">
        <f>IF($A1321=VLOOKUP(YEAR($A1321),'Festive dates'!$A$2:$J$5,3,FALSE),1,0)</f>
        <v>0</v>
      </c>
      <c r="U1321" s="9">
        <f>IF($A1321=VLOOKUP(YEAR($A1321),'Festive dates'!$A$2:$J$5,4,FALSE),1,0)</f>
        <v>0</v>
      </c>
      <c r="V1321" s="9">
        <f>IF(AND($A1321&gt;=VLOOKUP(YEAR($A1321),'Festive dates'!$A$2:$J$5,9,FALSE),$A1321&lt;=VLOOKUP(YEAR($A1321),'Festive dates'!$A$2:$J$5,10,FALSE)),1,0)</f>
        <v>0</v>
      </c>
      <c r="W1321" s="9">
        <f>IF($A1321=VLOOKUP(YEAR($A1321),'Festive dates'!$A$2:$J$5,7,FALSE),1,0)</f>
        <v>0</v>
      </c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</row>
    <row r="1322" spans="1:51">
      <c r="A1322" s="8">
        <v>46337</v>
      </c>
      <c r="B1322" s="9">
        <v>0</v>
      </c>
      <c r="C1322" s="9">
        <v>0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f>MAX(-20,MIN(10,$A1322-VLOOKUP(YEAR($A1322),'Festive dates'!$A$2:$J$5,8,FALSE)))</f>
        <v>3</v>
      </c>
      <c r="R1322" s="9">
        <f>IF(AND($A1322&gt;VLOOKUP(YEAR($A1322),'Festive dates'!$A$2:$J$5,2,FALSE),$A1322&lt;VLOOKUP(YEAR($A1322),'Festive dates'!$A$2:$J$5,3,FALSE)),1,0)</f>
        <v>0</v>
      </c>
      <c r="S1322" s="9">
        <f>IF($A1322=VLOOKUP(YEAR($A1322),'Festive dates'!$A$2:$J$5,2,FALSE),1,0)</f>
        <v>0</v>
      </c>
      <c r="T1322" s="9">
        <f>IF($A1322=VLOOKUP(YEAR($A1322),'Festive dates'!$A$2:$J$5,3,FALSE),1,0)</f>
        <v>0</v>
      </c>
      <c r="U1322" s="9">
        <f>IF($A1322=VLOOKUP(YEAR($A1322),'Festive dates'!$A$2:$J$5,4,FALSE),1,0)</f>
        <v>0</v>
      </c>
      <c r="V1322" s="9">
        <f>IF(AND($A1322&gt;=VLOOKUP(YEAR($A1322),'Festive dates'!$A$2:$J$5,9,FALSE),$A1322&lt;=VLOOKUP(YEAR($A1322),'Festive dates'!$A$2:$J$5,10,FALSE)),1,0)</f>
        <v>0</v>
      </c>
      <c r="W1322" s="9">
        <f>IF($A1322=VLOOKUP(YEAR($A1322),'Festive dates'!$A$2:$J$5,7,FALSE),1,0)</f>
        <v>0</v>
      </c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</row>
    <row r="1323" spans="1:51">
      <c r="A1323" s="8">
        <v>46338</v>
      </c>
      <c r="B1323" s="9">
        <v>0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f>MAX(-20,MIN(10,$A1323-VLOOKUP(YEAR($A1323),'Festive dates'!$A$2:$J$5,8,FALSE)))</f>
        <v>4</v>
      </c>
      <c r="R1323" s="9">
        <f>IF(AND($A1323&gt;VLOOKUP(YEAR($A1323),'Festive dates'!$A$2:$J$5,2,FALSE),$A1323&lt;VLOOKUP(YEAR($A1323),'Festive dates'!$A$2:$J$5,3,FALSE)),1,0)</f>
        <v>0</v>
      </c>
      <c r="S1323" s="9">
        <f>IF($A1323=VLOOKUP(YEAR($A1323),'Festive dates'!$A$2:$J$5,2,FALSE),1,0)</f>
        <v>0</v>
      </c>
      <c r="T1323" s="9">
        <f>IF($A1323=VLOOKUP(YEAR($A1323),'Festive dates'!$A$2:$J$5,3,FALSE),1,0)</f>
        <v>0</v>
      </c>
      <c r="U1323" s="9">
        <f>IF($A1323=VLOOKUP(YEAR($A1323),'Festive dates'!$A$2:$J$5,4,FALSE),1,0)</f>
        <v>0</v>
      </c>
      <c r="V1323" s="9">
        <f>IF(AND($A1323&gt;=VLOOKUP(YEAR($A1323),'Festive dates'!$A$2:$J$5,9,FALSE),$A1323&lt;=VLOOKUP(YEAR($A1323),'Festive dates'!$A$2:$J$5,10,FALSE)),1,0)</f>
        <v>0</v>
      </c>
      <c r="W1323" s="9">
        <f>IF($A1323=VLOOKUP(YEAR($A1323),'Festive dates'!$A$2:$J$5,7,FALSE),1,0)</f>
        <v>0</v>
      </c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</row>
    <row r="1324" spans="1:51">
      <c r="A1324" s="8">
        <v>46339</v>
      </c>
      <c r="B1324" s="9">
        <v>0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f>MAX(-20,MIN(10,$A1324-VLOOKUP(YEAR($A1324),'Festive dates'!$A$2:$J$5,8,FALSE)))</f>
        <v>5</v>
      </c>
      <c r="R1324" s="9">
        <f>IF(AND($A1324&gt;VLOOKUP(YEAR($A1324),'Festive dates'!$A$2:$J$5,2,FALSE),$A1324&lt;VLOOKUP(YEAR($A1324),'Festive dates'!$A$2:$J$5,3,FALSE)),1,0)</f>
        <v>0</v>
      </c>
      <c r="S1324" s="9">
        <f>IF($A1324=VLOOKUP(YEAR($A1324),'Festive dates'!$A$2:$J$5,2,FALSE),1,0)</f>
        <v>0</v>
      </c>
      <c r="T1324" s="9">
        <f>IF($A1324=VLOOKUP(YEAR($A1324),'Festive dates'!$A$2:$J$5,3,FALSE),1,0)</f>
        <v>0</v>
      </c>
      <c r="U1324" s="9">
        <f>IF($A1324=VLOOKUP(YEAR($A1324),'Festive dates'!$A$2:$J$5,4,FALSE),1,0)</f>
        <v>0</v>
      </c>
      <c r="V1324" s="9">
        <f>IF(AND($A1324&gt;=VLOOKUP(YEAR($A1324),'Festive dates'!$A$2:$J$5,9,FALSE),$A1324&lt;=VLOOKUP(YEAR($A1324),'Festive dates'!$A$2:$J$5,10,FALSE)),1,0)</f>
        <v>0</v>
      </c>
      <c r="W1324" s="9">
        <f>IF($A1324=VLOOKUP(YEAR($A1324),'Festive dates'!$A$2:$J$5,7,FALSE),1,0)</f>
        <v>0</v>
      </c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</row>
    <row r="1325" spans="1:51">
      <c r="A1325" s="8">
        <v>46340</v>
      </c>
      <c r="B1325" s="9">
        <v>0</v>
      </c>
      <c r="C1325" s="9">
        <v>0</v>
      </c>
      <c r="D1325" s="9">
        <v>0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1</v>
      </c>
      <c r="Q1325" s="9">
        <f>MAX(-20,MIN(10,$A1325-VLOOKUP(YEAR($A1325),'Festive dates'!$A$2:$J$5,8,FALSE)))</f>
        <v>6</v>
      </c>
      <c r="R1325" s="9">
        <f>IF(AND($A1325&gt;VLOOKUP(YEAR($A1325),'Festive dates'!$A$2:$J$5,2,FALSE),$A1325&lt;VLOOKUP(YEAR($A1325),'Festive dates'!$A$2:$J$5,3,FALSE)),1,0)</f>
        <v>0</v>
      </c>
      <c r="S1325" s="9">
        <f>IF($A1325=VLOOKUP(YEAR($A1325),'Festive dates'!$A$2:$J$5,2,FALSE),1,0)</f>
        <v>0</v>
      </c>
      <c r="T1325" s="9">
        <f>IF($A1325=VLOOKUP(YEAR($A1325),'Festive dates'!$A$2:$J$5,3,FALSE),1,0)</f>
        <v>0</v>
      </c>
      <c r="U1325" s="9">
        <f>IF($A1325=VLOOKUP(YEAR($A1325),'Festive dates'!$A$2:$J$5,4,FALSE),1,0)</f>
        <v>0</v>
      </c>
      <c r="V1325" s="9">
        <f>IF(AND($A1325&gt;=VLOOKUP(YEAR($A1325),'Festive dates'!$A$2:$J$5,9,FALSE),$A1325&lt;=VLOOKUP(YEAR($A1325),'Festive dates'!$A$2:$J$5,10,FALSE)),1,0)</f>
        <v>0</v>
      </c>
      <c r="W1325" s="9">
        <f>IF($A1325=VLOOKUP(YEAR($A1325),'Festive dates'!$A$2:$J$5,7,FALSE),1,0)</f>
        <v>0</v>
      </c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</row>
    <row r="1326" spans="1:51">
      <c r="A1326" s="8">
        <v>46341</v>
      </c>
      <c r="B1326" s="9">
        <v>0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f>MAX(-20,MIN(10,$A1326-VLOOKUP(YEAR($A1326),'Festive dates'!$A$2:$J$5,8,FALSE)))</f>
        <v>7</v>
      </c>
      <c r="R1326" s="9">
        <f>IF(AND($A1326&gt;VLOOKUP(YEAR($A1326),'Festive dates'!$A$2:$J$5,2,FALSE),$A1326&lt;VLOOKUP(YEAR($A1326),'Festive dates'!$A$2:$J$5,3,FALSE)),1,0)</f>
        <v>0</v>
      </c>
      <c r="S1326" s="9">
        <f>IF($A1326=VLOOKUP(YEAR($A1326),'Festive dates'!$A$2:$J$5,2,FALSE),1,0)</f>
        <v>0</v>
      </c>
      <c r="T1326" s="9">
        <f>IF($A1326=VLOOKUP(YEAR($A1326),'Festive dates'!$A$2:$J$5,3,FALSE),1,0)</f>
        <v>0</v>
      </c>
      <c r="U1326" s="9">
        <f>IF($A1326=VLOOKUP(YEAR($A1326),'Festive dates'!$A$2:$J$5,4,FALSE),1,0)</f>
        <v>0</v>
      </c>
      <c r="V1326" s="9">
        <f>IF(AND($A1326&gt;=VLOOKUP(YEAR($A1326),'Festive dates'!$A$2:$J$5,9,FALSE),$A1326&lt;=VLOOKUP(YEAR($A1326),'Festive dates'!$A$2:$J$5,10,FALSE)),1,0)</f>
        <v>0</v>
      </c>
      <c r="W1326" s="9">
        <f>IF($A1326=VLOOKUP(YEAR($A1326),'Festive dates'!$A$2:$J$5,7,FALSE),1,0)</f>
        <v>0</v>
      </c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</row>
    <row r="1327" spans="1:51">
      <c r="A1327" s="8">
        <v>46342</v>
      </c>
      <c r="B1327" s="9">
        <v>0</v>
      </c>
      <c r="C1327" s="9">
        <v>0</v>
      </c>
      <c r="D1327" s="9">
        <v>0</v>
      </c>
      <c r="E1327" s="9">
        <v>0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f>MAX(-20,MIN(10,$A1327-VLOOKUP(YEAR($A1327),'Festive dates'!$A$2:$J$5,8,FALSE)))</f>
        <v>8</v>
      </c>
      <c r="R1327" s="9">
        <f>IF(AND($A1327&gt;VLOOKUP(YEAR($A1327),'Festive dates'!$A$2:$J$5,2,FALSE),$A1327&lt;VLOOKUP(YEAR($A1327),'Festive dates'!$A$2:$J$5,3,FALSE)),1,0)</f>
        <v>0</v>
      </c>
      <c r="S1327" s="9">
        <f>IF($A1327=VLOOKUP(YEAR($A1327),'Festive dates'!$A$2:$J$5,2,FALSE),1,0)</f>
        <v>0</v>
      </c>
      <c r="T1327" s="9">
        <f>IF($A1327=VLOOKUP(YEAR($A1327),'Festive dates'!$A$2:$J$5,3,FALSE),1,0)</f>
        <v>0</v>
      </c>
      <c r="U1327" s="9">
        <f>IF($A1327=VLOOKUP(YEAR($A1327),'Festive dates'!$A$2:$J$5,4,FALSE),1,0)</f>
        <v>0</v>
      </c>
      <c r="V1327" s="9">
        <f>IF(AND($A1327&gt;=VLOOKUP(YEAR($A1327),'Festive dates'!$A$2:$J$5,9,FALSE),$A1327&lt;=VLOOKUP(YEAR($A1327),'Festive dates'!$A$2:$J$5,10,FALSE)),1,0)</f>
        <v>0</v>
      </c>
      <c r="W1327" s="9">
        <f>IF($A1327=VLOOKUP(YEAR($A1327),'Festive dates'!$A$2:$J$5,7,FALSE),1,0)</f>
        <v>0</v>
      </c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</row>
    <row r="1328" spans="1:51">
      <c r="A1328" s="8">
        <v>46343</v>
      </c>
      <c r="B1328" s="9">
        <v>0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1</v>
      </c>
      <c r="Q1328" s="9">
        <f>MAX(-20,MIN(10,$A1328-VLOOKUP(YEAR($A1328),'Festive dates'!$A$2:$J$5,8,FALSE)))</f>
        <v>9</v>
      </c>
      <c r="R1328" s="9">
        <f>IF(AND($A1328&gt;VLOOKUP(YEAR($A1328),'Festive dates'!$A$2:$J$5,2,FALSE),$A1328&lt;VLOOKUP(YEAR($A1328),'Festive dates'!$A$2:$J$5,3,FALSE)),1,0)</f>
        <v>0</v>
      </c>
      <c r="S1328" s="9">
        <f>IF($A1328=VLOOKUP(YEAR($A1328),'Festive dates'!$A$2:$J$5,2,FALSE),1,0)</f>
        <v>0</v>
      </c>
      <c r="T1328" s="9">
        <f>IF($A1328=VLOOKUP(YEAR($A1328),'Festive dates'!$A$2:$J$5,3,FALSE),1,0)</f>
        <v>0</v>
      </c>
      <c r="U1328" s="9">
        <f>IF($A1328=VLOOKUP(YEAR($A1328),'Festive dates'!$A$2:$J$5,4,FALSE),1,0)</f>
        <v>0</v>
      </c>
      <c r="V1328" s="9">
        <f>IF(AND($A1328&gt;=VLOOKUP(YEAR($A1328),'Festive dates'!$A$2:$J$5,9,FALSE),$A1328&lt;=VLOOKUP(YEAR($A1328),'Festive dates'!$A$2:$J$5,10,FALSE)),1,0)</f>
        <v>0</v>
      </c>
      <c r="W1328" s="9">
        <f>IF($A1328=VLOOKUP(YEAR($A1328),'Festive dates'!$A$2:$J$5,7,FALSE),1,0)</f>
        <v>0</v>
      </c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</row>
    <row r="1329" spans="1:51">
      <c r="A1329" s="8">
        <v>46344</v>
      </c>
      <c r="B1329" s="9">
        <v>0</v>
      </c>
      <c r="C1329" s="9">
        <v>0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1</v>
      </c>
      <c r="Q1329" s="9">
        <f>MAX(-20,MIN(10,$A1329-VLOOKUP(YEAR($A1329),'Festive dates'!$A$2:$J$5,8,FALSE)))</f>
        <v>10</v>
      </c>
      <c r="R1329" s="9">
        <f>IF(AND($A1329&gt;VLOOKUP(YEAR($A1329),'Festive dates'!$A$2:$J$5,2,FALSE),$A1329&lt;VLOOKUP(YEAR($A1329),'Festive dates'!$A$2:$J$5,3,FALSE)),1,0)</f>
        <v>0</v>
      </c>
      <c r="S1329" s="9">
        <f>IF($A1329=VLOOKUP(YEAR($A1329),'Festive dates'!$A$2:$J$5,2,FALSE),1,0)</f>
        <v>0</v>
      </c>
      <c r="T1329" s="9">
        <f>IF($A1329=VLOOKUP(YEAR($A1329),'Festive dates'!$A$2:$J$5,3,FALSE),1,0)</f>
        <v>0</v>
      </c>
      <c r="U1329" s="9">
        <f>IF($A1329=VLOOKUP(YEAR($A1329),'Festive dates'!$A$2:$J$5,4,FALSE),1,0)</f>
        <v>0</v>
      </c>
      <c r="V1329" s="9">
        <f>IF(AND($A1329&gt;=VLOOKUP(YEAR($A1329),'Festive dates'!$A$2:$J$5,9,FALSE),$A1329&lt;=VLOOKUP(YEAR($A1329),'Festive dates'!$A$2:$J$5,10,FALSE)),1,0)</f>
        <v>0</v>
      </c>
      <c r="W1329" s="9">
        <f>IF($A1329=VLOOKUP(YEAR($A1329),'Festive dates'!$A$2:$J$5,7,FALSE),1,0)</f>
        <v>0</v>
      </c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</row>
    <row r="1330" spans="1:51">
      <c r="A1330" s="8">
        <v>46345</v>
      </c>
      <c r="B1330" s="9">
        <v>0</v>
      </c>
      <c r="C1330" s="9">
        <v>0</v>
      </c>
      <c r="D1330" s="9">
        <v>0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1</v>
      </c>
      <c r="Q1330" s="9">
        <f>MAX(-20,MIN(10,$A1330-VLOOKUP(YEAR($A1330),'Festive dates'!$A$2:$J$5,8,FALSE)))</f>
        <v>10</v>
      </c>
      <c r="R1330" s="9">
        <f>IF(AND($A1330&gt;VLOOKUP(YEAR($A1330),'Festive dates'!$A$2:$J$5,2,FALSE),$A1330&lt;VLOOKUP(YEAR($A1330),'Festive dates'!$A$2:$J$5,3,FALSE)),1,0)</f>
        <v>0</v>
      </c>
      <c r="S1330" s="9">
        <f>IF($A1330=VLOOKUP(YEAR($A1330),'Festive dates'!$A$2:$J$5,2,FALSE),1,0)</f>
        <v>0</v>
      </c>
      <c r="T1330" s="9">
        <f>IF($A1330=VLOOKUP(YEAR($A1330),'Festive dates'!$A$2:$J$5,3,FALSE),1,0)</f>
        <v>0</v>
      </c>
      <c r="U1330" s="9">
        <f>IF($A1330=VLOOKUP(YEAR($A1330),'Festive dates'!$A$2:$J$5,4,FALSE),1,0)</f>
        <v>0</v>
      </c>
      <c r="V1330" s="9">
        <f>IF(AND($A1330&gt;=VLOOKUP(YEAR($A1330),'Festive dates'!$A$2:$J$5,9,FALSE),$A1330&lt;=VLOOKUP(YEAR($A1330),'Festive dates'!$A$2:$J$5,10,FALSE)),1,0)</f>
        <v>0</v>
      </c>
      <c r="W1330" s="9">
        <f>IF($A1330=VLOOKUP(YEAR($A1330),'Festive dates'!$A$2:$J$5,7,FALSE),1,0)</f>
        <v>0</v>
      </c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</row>
    <row r="1331" spans="1:51">
      <c r="A1331" s="8">
        <v>46346</v>
      </c>
      <c r="B1331" s="9">
        <v>0</v>
      </c>
      <c r="C1331" s="9">
        <v>0</v>
      </c>
      <c r="D1331" s="9">
        <v>0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f>MAX(-20,MIN(10,$A1331-VLOOKUP(YEAR($A1331),'Festive dates'!$A$2:$J$5,8,FALSE)))</f>
        <v>10</v>
      </c>
      <c r="R1331" s="9">
        <f>IF(AND($A1331&gt;VLOOKUP(YEAR($A1331),'Festive dates'!$A$2:$J$5,2,FALSE),$A1331&lt;VLOOKUP(YEAR($A1331),'Festive dates'!$A$2:$J$5,3,FALSE)),1,0)</f>
        <v>0</v>
      </c>
      <c r="S1331" s="9">
        <f>IF($A1331=VLOOKUP(YEAR($A1331),'Festive dates'!$A$2:$J$5,2,FALSE),1,0)</f>
        <v>0</v>
      </c>
      <c r="T1331" s="9">
        <f>IF($A1331=VLOOKUP(YEAR($A1331),'Festive dates'!$A$2:$J$5,3,FALSE),1,0)</f>
        <v>0</v>
      </c>
      <c r="U1331" s="9">
        <f>IF($A1331=VLOOKUP(YEAR($A1331),'Festive dates'!$A$2:$J$5,4,FALSE),1,0)</f>
        <v>0</v>
      </c>
      <c r="V1331" s="9">
        <f>IF(AND($A1331&gt;=VLOOKUP(YEAR($A1331),'Festive dates'!$A$2:$J$5,9,FALSE),$A1331&lt;=VLOOKUP(YEAR($A1331),'Festive dates'!$A$2:$J$5,10,FALSE)),1,0)</f>
        <v>0</v>
      </c>
      <c r="W1331" s="9">
        <f>IF($A1331=VLOOKUP(YEAR($A1331),'Festive dates'!$A$2:$J$5,7,FALSE),1,0)</f>
        <v>0</v>
      </c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</row>
    <row r="1332" spans="1:51">
      <c r="A1332" s="8">
        <v>46347</v>
      </c>
      <c r="B1332" s="9">
        <v>0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f>MAX(-20,MIN(10,$A1332-VLOOKUP(YEAR($A1332),'Festive dates'!$A$2:$J$5,8,FALSE)))</f>
        <v>10</v>
      </c>
      <c r="R1332" s="9">
        <f>IF(AND($A1332&gt;VLOOKUP(YEAR($A1332),'Festive dates'!$A$2:$J$5,2,FALSE),$A1332&lt;VLOOKUP(YEAR($A1332),'Festive dates'!$A$2:$J$5,3,FALSE)),1,0)</f>
        <v>0</v>
      </c>
      <c r="S1332" s="9">
        <f>IF($A1332=VLOOKUP(YEAR($A1332),'Festive dates'!$A$2:$J$5,2,FALSE),1,0)</f>
        <v>0</v>
      </c>
      <c r="T1332" s="9">
        <f>IF($A1332=VLOOKUP(YEAR($A1332),'Festive dates'!$A$2:$J$5,3,FALSE),1,0)</f>
        <v>0</v>
      </c>
      <c r="U1332" s="9">
        <f>IF($A1332=VLOOKUP(YEAR($A1332),'Festive dates'!$A$2:$J$5,4,FALSE),1,0)</f>
        <v>0</v>
      </c>
      <c r="V1332" s="9">
        <f>IF(AND($A1332&gt;=VLOOKUP(YEAR($A1332),'Festive dates'!$A$2:$J$5,9,FALSE),$A1332&lt;=VLOOKUP(YEAR($A1332),'Festive dates'!$A$2:$J$5,10,FALSE)),1,0)</f>
        <v>0</v>
      </c>
      <c r="W1332" s="9">
        <f>IF($A1332=VLOOKUP(YEAR($A1332),'Festive dates'!$A$2:$J$5,7,FALSE),1,0)</f>
        <v>0</v>
      </c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</row>
    <row r="1333" spans="1:51">
      <c r="A1333" s="8">
        <v>46348</v>
      </c>
      <c r="B1333" s="9">
        <v>0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f>MAX(-20,MIN(10,$A1333-VLOOKUP(YEAR($A1333),'Festive dates'!$A$2:$J$5,8,FALSE)))</f>
        <v>10</v>
      </c>
      <c r="R1333" s="9">
        <f>IF(AND($A1333&gt;VLOOKUP(YEAR($A1333),'Festive dates'!$A$2:$J$5,2,FALSE),$A1333&lt;VLOOKUP(YEAR($A1333),'Festive dates'!$A$2:$J$5,3,FALSE)),1,0)</f>
        <v>0</v>
      </c>
      <c r="S1333" s="9">
        <f>IF($A1333=VLOOKUP(YEAR($A1333),'Festive dates'!$A$2:$J$5,2,FALSE),1,0)</f>
        <v>0</v>
      </c>
      <c r="T1333" s="9">
        <f>IF($A1333=VLOOKUP(YEAR($A1333),'Festive dates'!$A$2:$J$5,3,FALSE),1,0)</f>
        <v>0</v>
      </c>
      <c r="U1333" s="9">
        <f>IF($A1333=VLOOKUP(YEAR($A1333),'Festive dates'!$A$2:$J$5,4,FALSE),1,0)</f>
        <v>0</v>
      </c>
      <c r="V1333" s="9">
        <f>IF(AND($A1333&gt;=VLOOKUP(YEAR($A1333),'Festive dates'!$A$2:$J$5,9,FALSE),$A1333&lt;=VLOOKUP(YEAR($A1333),'Festive dates'!$A$2:$J$5,10,FALSE)),1,0)</f>
        <v>0</v>
      </c>
      <c r="W1333" s="9">
        <f>IF($A1333=VLOOKUP(YEAR($A1333),'Festive dates'!$A$2:$J$5,7,FALSE),1,0)</f>
        <v>0</v>
      </c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</row>
    <row r="1334" spans="1:51">
      <c r="A1334" s="8">
        <v>46349</v>
      </c>
      <c r="B1334" s="9">
        <v>0</v>
      </c>
      <c r="C1334" s="9">
        <v>0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f>MAX(-20,MIN(10,$A1334-VLOOKUP(YEAR($A1334),'Festive dates'!$A$2:$J$5,8,FALSE)))</f>
        <v>10</v>
      </c>
      <c r="R1334" s="9">
        <f>IF(AND($A1334&gt;VLOOKUP(YEAR($A1334),'Festive dates'!$A$2:$J$5,2,FALSE),$A1334&lt;VLOOKUP(YEAR($A1334),'Festive dates'!$A$2:$J$5,3,FALSE)),1,0)</f>
        <v>0</v>
      </c>
      <c r="S1334" s="9">
        <f>IF($A1334=VLOOKUP(YEAR($A1334),'Festive dates'!$A$2:$J$5,2,FALSE),1,0)</f>
        <v>0</v>
      </c>
      <c r="T1334" s="9">
        <f>IF($A1334=VLOOKUP(YEAR($A1334),'Festive dates'!$A$2:$J$5,3,FALSE),1,0)</f>
        <v>0</v>
      </c>
      <c r="U1334" s="9">
        <f>IF($A1334=VLOOKUP(YEAR($A1334),'Festive dates'!$A$2:$J$5,4,FALSE),1,0)</f>
        <v>0</v>
      </c>
      <c r="V1334" s="9">
        <f>IF(AND($A1334&gt;=VLOOKUP(YEAR($A1334),'Festive dates'!$A$2:$J$5,9,FALSE),$A1334&lt;=VLOOKUP(YEAR($A1334),'Festive dates'!$A$2:$J$5,10,FALSE)),1,0)</f>
        <v>0</v>
      </c>
      <c r="W1334" s="9">
        <f>IF($A1334=VLOOKUP(YEAR($A1334),'Festive dates'!$A$2:$J$5,7,FALSE),1,0)</f>
        <v>0</v>
      </c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</row>
    <row r="1335" spans="1:51">
      <c r="A1335" s="8">
        <v>46350</v>
      </c>
      <c r="B1335" s="9">
        <v>0</v>
      </c>
      <c r="C1335" s="9">
        <v>0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f>MAX(-20,MIN(10,$A1335-VLOOKUP(YEAR($A1335),'Festive dates'!$A$2:$J$5,8,FALSE)))</f>
        <v>10</v>
      </c>
      <c r="R1335" s="9">
        <f>IF(AND($A1335&gt;VLOOKUP(YEAR($A1335),'Festive dates'!$A$2:$J$5,2,FALSE),$A1335&lt;VLOOKUP(YEAR($A1335),'Festive dates'!$A$2:$J$5,3,FALSE)),1,0)</f>
        <v>0</v>
      </c>
      <c r="S1335" s="9">
        <f>IF($A1335=VLOOKUP(YEAR($A1335),'Festive dates'!$A$2:$J$5,2,FALSE),1,0)</f>
        <v>0</v>
      </c>
      <c r="T1335" s="9">
        <f>IF($A1335=VLOOKUP(YEAR($A1335),'Festive dates'!$A$2:$J$5,3,FALSE),1,0)</f>
        <v>0</v>
      </c>
      <c r="U1335" s="9">
        <f>IF($A1335=VLOOKUP(YEAR($A1335),'Festive dates'!$A$2:$J$5,4,FALSE),1,0)</f>
        <v>0</v>
      </c>
      <c r="V1335" s="9">
        <f>IF(AND($A1335&gt;=VLOOKUP(YEAR($A1335),'Festive dates'!$A$2:$J$5,9,FALSE),$A1335&lt;=VLOOKUP(YEAR($A1335),'Festive dates'!$A$2:$J$5,10,FALSE)),1,0)</f>
        <v>0</v>
      </c>
      <c r="W1335" s="9">
        <f>IF($A1335=VLOOKUP(YEAR($A1335),'Festive dates'!$A$2:$J$5,7,FALSE),1,0)</f>
        <v>0</v>
      </c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</row>
    <row r="1336" spans="1:51">
      <c r="A1336" s="8">
        <v>46351</v>
      </c>
      <c r="B1336" s="9">
        <v>0</v>
      </c>
      <c r="C1336" s="9">
        <v>0</v>
      </c>
      <c r="D1336" s="9">
        <v>0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1</v>
      </c>
      <c r="Q1336" s="9">
        <f>MAX(-20,MIN(10,$A1336-VLOOKUP(YEAR($A1336),'Festive dates'!$A$2:$J$5,8,FALSE)))</f>
        <v>10</v>
      </c>
      <c r="R1336" s="9">
        <f>IF(AND($A1336&gt;VLOOKUP(YEAR($A1336),'Festive dates'!$A$2:$J$5,2,FALSE),$A1336&lt;VLOOKUP(YEAR($A1336),'Festive dates'!$A$2:$J$5,3,FALSE)),1,0)</f>
        <v>0</v>
      </c>
      <c r="S1336" s="9">
        <f>IF($A1336=VLOOKUP(YEAR($A1336),'Festive dates'!$A$2:$J$5,2,FALSE),1,0)</f>
        <v>0</v>
      </c>
      <c r="T1336" s="9">
        <f>IF($A1336=VLOOKUP(YEAR($A1336),'Festive dates'!$A$2:$J$5,3,FALSE),1,0)</f>
        <v>0</v>
      </c>
      <c r="U1336" s="9">
        <f>IF($A1336=VLOOKUP(YEAR($A1336),'Festive dates'!$A$2:$J$5,4,FALSE),1,0)</f>
        <v>0</v>
      </c>
      <c r="V1336" s="9">
        <f>IF(AND($A1336&gt;=VLOOKUP(YEAR($A1336),'Festive dates'!$A$2:$J$5,9,FALSE),$A1336&lt;=VLOOKUP(YEAR($A1336),'Festive dates'!$A$2:$J$5,10,FALSE)),1,0)</f>
        <v>0</v>
      </c>
      <c r="W1336" s="9">
        <f>IF($A1336=VLOOKUP(YEAR($A1336),'Festive dates'!$A$2:$J$5,7,FALSE),1,0)</f>
        <v>0</v>
      </c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</row>
    <row r="1337" spans="1:51">
      <c r="A1337" s="8">
        <v>46352</v>
      </c>
      <c r="B1337" s="9">
        <v>0</v>
      </c>
      <c r="C1337" s="9">
        <v>0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1</v>
      </c>
      <c r="Q1337" s="9">
        <f>MAX(-20,MIN(10,$A1337-VLOOKUP(YEAR($A1337),'Festive dates'!$A$2:$J$5,8,FALSE)))</f>
        <v>10</v>
      </c>
      <c r="R1337" s="9">
        <f>IF(AND($A1337&gt;VLOOKUP(YEAR($A1337),'Festive dates'!$A$2:$J$5,2,FALSE),$A1337&lt;VLOOKUP(YEAR($A1337),'Festive dates'!$A$2:$J$5,3,FALSE)),1,0)</f>
        <v>0</v>
      </c>
      <c r="S1337" s="9">
        <f>IF($A1337=VLOOKUP(YEAR($A1337),'Festive dates'!$A$2:$J$5,2,FALSE),1,0)</f>
        <v>0</v>
      </c>
      <c r="T1337" s="9">
        <f>IF($A1337=VLOOKUP(YEAR($A1337),'Festive dates'!$A$2:$J$5,3,FALSE),1,0)</f>
        <v>0</v>
      </c>
      <c r="U1337" s="9">
        <f>IF($A1337=VLOOKUP(YEAR($A1337),'Festive dates'!$A$2:$J$5,4,FALSE),1,0)</f>
        <v>0</v>
      </c>
      <c r="V1337" s="9">
        <f>IF(AND($A1337&gt;=VLOOKUP(YEAR($A1337),'Festive dates'!$A$2:$J$5,9,FALSE),$A1337&lt;=VLOOKUP(YEAR($A1337),'Festive dates'!$A$2:$J$5,10,FALSE)),1,0)</f>
        <v>0</v>
      </c>
      <c r="W1337" s="9">
        <f>IF($A1337=VLOOKUP(YEAR($A1337),'Festive dates'!$A$2:$J$5,7,FALSE),1,0)</f>
        <v>0</v>
      </c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</row>
    <row r="1338" spans="1:51">
      <c r="A1338" s="8">
        <v>46353</v>
      </c>
      <c r="B1338" s="9">
        <v>0</v>
      </c>
      <c r="C1338" s="9">
        <v>0</v>
      </c>
      <c r="D1338" s="9">
        <v>0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1</v>
      </c>
      <c r="Q1338" s="9">
        <f>MAX(-20,MIN(10,$A1338-VLOOKUP(YEAR($A1338),'Festive dates'!$A$2:$J$5,8,FALSE)))</f>
        <v>10</v>
      </c>
      <c r="R1338" s="9">
        <f>IF(AND($A1338&gt;VLOOKUP(YEAR($A1338),'Festive dates'!$A$2:$J$5,2,FALSE),$A1338&lt;VLOOKUP(YEAR($A1338),'Festive dates'!$A$2:$J$5,3,FALSE)),1,0)</f>
        <v>0</v>
      </c>
      <c r="S1338" s="9">
        <f>IF($A1338=VLOOKUP(YEAR($A1338),'Festive dates'!$A$2:$J$5,2,FALSE),1,0)</f>
        <v>0</v>
      </c>
      <c r="T1338" s="9">
        <f>IF($A1338=VLOOKUP(YEAR($A1338),'Festive dates'!$A$2:$J$5,3,FALSE),1,0)</f>
        <v>0</v>
      </c>
      <c r="U1338" s="9">
        <f>IF($A1338=VLOOKUP(YEAR($A1338),'Festive dates'!$A$2:$J$5,4,FALSE),1,0)</f>
        <v>0</v>
      </c>
      <c r="V1338" s="9">
        <f>IF(AND($A1338&gt;=VLOOKUP(YEAR($A1338),'Festive dates'!$A$2:$J$5,9,FALSE),$A1338&lt;=VLOOKUP(YEAR($A1338),'Festive dates'!$A$2:$J$5,10,FALSE)),1,0)</f>
        <v>0</v>
      </c>
      <c r="W1338" s="9">
        <f>IF($A1338=VLOOKUP(YEAR($A1338),'Festive dates'!$A$2:$J$5,7,FALSE),1,0)</f>
        <v>0</v>
      </c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</row>
    <row r="1339" spans="1:51">
      <c r="A1339" s="8">
        <v>46354</v>
      </c>
      <c r="B1339" s="9">
        <v>0</v>
      </c>
      <c r="C1339" s="9">
        <v>0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  <c r="O1339" s="9">
        <v>0</v>
      </c>
      <c r="P1339" s="9">
        <v>1</v>
      </c>
      <c r="Q1339" s="9">
        <f>MAX(-20,MIN(10,$A1339-VLOOKUP(YEAR($A1339),'Festive dates'!$A$2:$J$5,8,FALSE)))</f>
        <v>10</v>
      </c>
      <c r="R1339" s="9">
        <f>IF(AND($A1339&gt;VLOOKUP(YEAR($A1339),'Festive dates'!$A$2:$J$5,2,FALSE),$A1339&lt;VLOOKUP(YEAR($A1339),'Festive dates'!$A$2:$J$5,3,FALSE)),1,0)</f>
        <v>0</v>
      </c>
      <c r="S1339" s="9">
        <f>IF($A1339=VLOOKUP(YEAR($A1339),'Festive dates'!$A$2:$J$5,2,FALSE),1,0)</f>
        <v>0</v>
      </c>
      <c r="T1339" s="9">
        <f>IF($A1339=VLOOKUP(YEAR($A1339),'Festive dates'!$A$2:$J$5,3,FALSE),1,0)</f>
        <v>0</v>
      </c>
      <c r="U1339" s="9">
        <f>IF($A1339=VLOOKUP(YEAR($A1339),'Festive dates'!$A$2:$J$5,4,FALSE),1,0)</f>
        <v>0</v>
      </c>
      <c r="V1339" s="9">
        <f>IF(AND($A1339&gt;=VLOOKUP(YEAR($A1339),'Festive dates'!$A$2:$J$5,9,FALSE),$A1339&lt;=VLOOKUP(YEAR($A1339),'Festive dates'!$A$2:$J$5,10,FALSE)),1,0)</f>
        <v>0</v>
      </c>
      <c r="W1339" s="9">
        <f>IF($A1339=VLOOKUP(YEAR($A1339),'Festive dates'!$A$2:$J$5,7,FALSE),1,0)</f>
        <v>0</v>
      </c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</row>
    <row r="1340" spans="1:51">
      <c r="A1340" s="8">
        <v>46355</v>
      </c>
      <c r="B1340" s="9">
        <v>0</v>
      </c>
      <c r="C1340" s="9">
        <v>0</v>
      </c>
      <c r="D1340" s="9">
        <v>0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1</v>
      </c>
      <c r="Q1340" s="9">
        <f>MAX(-20,MIN(10,$A1340-VLOOKUP(YEAR($A1340),'Festive dates'!$A$2:$J$5,8,FALSE)))</f>
        <v>10</v>
      </c>
      <c r="R1340" s="9">
        <f>IF(AND($A1340&gt;VLOOKUP(YEAR($A1340),'Festive dates'!$A$2:$J$5,2,FALSE),$A1340&lt;VLOOKUP(YEAR($A1340),'Festive dates'!$A$2:$J$5,3,FALSE)),1,0)</f>
        <v>0</v>
      </c>
      <c r="S1340" s="9">
        <f>IF($A1340=VLOOKUP(YEAR($A1340),'Festive dates'!$A$2:$J$5,2,FALSE),1,0)</f>
        <v>0</v>
      </c>
      <c r="T1340" s="9">
        <f>IF($A1340=VLOOKUP(YEAR($A1340),'Festive dates'!$A$2:$J$5,3,FALSE),1,0)</f>
        <v>0</v>
      </c>
      <c r="U1340" s="9">
        <f>IF($A1340=VLOOKUP(YEAR($A1340),'Festive dates'!$A$2:$J$5,4,FALSE),1,0)</f>
        <v>0</v>
      </c>
      <c r="V1340" s="9">
        <f>IF(AND($A1340&gt;=VLOOKUP(YEAR($A1340),'Festive dates'!$A$2:$J$5,9,FALSE),$A1340&lt;=VLOOKUP(YEAR($A1340),'Festive dates'!$A$2:$J$5,10,FALSE)),1,0)</f>
        <v>0</v>
      </c>
      <c r="W1340" s="9">
        <f>IF($A1340=VLOOKUP(YEAR($A1340),'Festive dates'!$A$2:$J$5,7,FALSE),1,0)</f>
        <v>0</v>
      </c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</row>
    <row r="1341" spans="1:51">
      <c r="A1341" s="8">
        <v>46356</v>
      </c>
      <c r="B1341" s="9">
        <v>0</v>
      </c>
      <c r="C1341" s="9">
        <v>0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f>MAX(-20,MIN(10,$A1341-VLOOKUP(YEAR($A1341),'Festive dates'!$A$2:$J$5,8,FALSE)))</f>
        <v>10</v>
      </c>
      <c r="R1341" s="9">
        <f>IF(AND($A1341&gt;VLOOKUP(YEAR($A1341),'Festive dates'!$A$2:$J$5,2,FALSE),$A1341&lt;VLOOKUP(YEAR($A1341),'Festive dates'!$A$2:$J$5,3,FALSE)),1,0)</f>
        <v>0</v>
      </c>
      <c r="S1341" s="9">
        <f>IF($A1341=VLOOKUP(YEAR($A1341),'Festive dates'!$A$2:$J$5,2,FALSE),1,0)</f>
        <v>0</v>
      </c>
      <c r="T1341" s="9">
        <f>IF($A1341=VLOOKUP(YEAR($A1341),'Festive dates'!$A$2:$J$5,3,FALSE),1,0)</f>
        <v>0</v>
      </c>
      <c r="U1341" s="9">
        <f>IF($A1341=VLOOKUP(YEAR($A1341),'Festive dates'!$A$2:$J$5,4,FALSE),1,0)</f>
        <v>0</v>
      </c>
      <c r="V1341" s="9">
        <f>IF(AND($A1341&gt;=VLOOKUP(YEAR($A1341),'Festive dates'!$A$2:$J$5,9,FALSE),$A1341&lt;=VLOOKUP(YEAR($A1341),'Festive dates'!$A$2:$J$5,10,FALSE)),1,0)</f>
        <v>0</v>
      </c>
      <c r="W1341" s="9">
        <f>IF($A1341=VLOOKUP(YEAR($A1341),'Festive dates'!$A$2:$J$5,7,FALSE),1,0)</f>
        <v>0</v>
      </c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</row>
    <row r="1342" spans="1:51">
      <c r="A1342" s="8">
        <v>46357</v>
      </c>
      <c r="B1342" s="9">
        <v>0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  <c r="Q1342" s="9">
        <f>MAX(-20,MIN(10,$A1342-VLOOKUP(YEAR($A1342),'Festive dates'!$A$2:$J$5,8,FALSE)))</f>
        <v>10</v>
      </c>
      <c r="R1342" s="9">
        <f>IF(AND($A1342&gt;VLOOKUP(YEAR($A1342),'Festive dates'!$A$2:$J$5,2,FALSE),$A1342&lt;VLOOKUP(YEAR($A1342),'Festive dates'!$A$2:$J$5,3,FALSE)),1,0)</f>
        <v>0</v>
      </c>
      <c r="S1342" s="9">
        <f>IF($A1342=VLOOKUP(YEAR($A1342),'Festive dates'!$A$2:$J$5,2,FALSE),1,0)</f>
        <v>0</v>
      </c>
      <c r="T1342" s="9">
        <f>IF($A1342=VLOOKUP(YEAR($A1342),'Festive dates'!$A$2:$J$5,3,FALSE),1,0)</f>
        <v>0</v>
      </c>
      <c r="U1342" s="9">
        <f>IF($A1342=VLOOKUP(YEAR($A1342),'Festive dates'!$A$2:$J$5,4,FALSE),1,0)</f>
        <v>0</v>
      </c>
      <c r="V1342" s="9">
        <f>IF(AND($A1342&gt;=VLOOKUP(YEAR($A1342),'Festive dates'!$A$2:$J$5,9,FALSE),$A1342&lt;=VLOOKUP(YEAR($A1342),'Festive dates'!$A$2:$J$5,10,FALSE)),1,0)</f>
        <v>0</v>
      </c>
      <c r="W1342" s="9">
        <f>IF($A1342=VLOOKUP(YEAR($A1342),'Festive dates'!$A$2:$J$5,7,FALSE),1,0)</f>
        <v>0</v>
      </c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</row>
    <row r="1343" spans="1:51">
      <c r="A1343" s="8">
        <v>46358</v>
      </c>
      <c r="B1343" s="9">
        <v>0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f>MAX(-20,MIN(10,$A1343-VLOOKUP(YEAR($A1343),'Festive dates'!$A$2:$J$5,8,FALSE)))</f>
        <v>10</v>
      </c>
      <c r="R1343" s="9">
        <f>IF(AND($A1343&gt;VLOOKUP(YEAR($A1343),'Festive dates'!$A$2:$J$5,2,FALSE),$A1343&lt;VLOOKUP(YEAR($A1343),'Festive dates'!$A$2:$J$5,3,FALSE)),1,0)</f>
        <v>0</v>
      </c>
      <c r="S1343" s="9">
        <f>IF($A1343=VLOOKUP(YEAR($A1343),'Festive dates'!$A$2:$J$5,2,FALSE),1,0)</f>
        <v>0</v>
      </c>
      <c r="T1343" s="9">
        <f>IF($A1343=VLOOKUP(YEAR($A1343),'Festive dates'!$A$2:$J$5,3,FALSE),1,0)</f>
        <v>0</v>
      </c>
      <c r="U1343" s="9">
        <f>IF($A1343=VLOOKUP(YEAR($A1343),'Festive dates'!$A$2:$J$5,4,FALSE),1,0)</f>
        <v>0</v>
      </c>
      <c r="V1343" s="9">
        <f>IF(AND($A1343&gt;=VLOOKUP(YEAR($A1343),'Festive dates'!$A$2:$J$5,9,FALSE),$A1343&lt;=VLOOKUP(YEAR($A1343),'Festive dates'!$A$2:$J$5,10,FALSE)),1,0)</f>
        <v>0</v>
      </c>
      <c r="W1343" s="9">
        <f>IF($A1343=VLOOKUP(YEAR($A1343),'Festive dates'!$A$2:$J$5,7,FALSE),1,0)</f>
        <v>0</v>
      </c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</row>
    <row r="1344" spans="1:51">
      <c r="A1344" s="8">
        <v>46359</v>
      </c>
      <c r="B1344" s="9">
        <v>0</v>
      </c>
      <c r="C1344" s="9">
        <v>0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9">
        <f>MAX(-20,MIN(10,$A1344-VLOOKUP(YEAR($A1344),'Festive dates'!$A$2:$J$5,8,FALSE)))</f>
        <v>10</v>
      </c>
      <c r="R1344" s="9">
        <f>IF(AND($A1344&gt;VLOOKUP(YEAR($A1344),'Festive dates'!$A$2:$J$5,2,FALSE),$A1344&lt;VLOOKUP(YEAR($A1344),'Festive dates'!$A$2:$J$5,3,FALSE)),1,0)</f>
        <v>0</v>
      </c>
      <c r="S1344" s="9">
        <f>IF($A1344=VLOOKUP(YEAR($A1344),'Festive dates'!$A$2:$J$5,2,FALSE),1,0)</f>
        <v>0</v>
      </c>
      <c r="T1344" s="9">
        <f>IF($A1344=VLOOKUP(YEAR($A1344),'Festive dates'!$A$2:$J$5,3,FALSE),1,0)</f>
        <v>0</v>
      </c>
      <c r="U1344" s="9">
        <f>IF($A1344=VLOOKUP(YEAR($A1344),'Festive dates'!$A$2:$J$5,4,FALSE),1,0)</f>
        <v>0</v>
      </c>
      <c r="V1344" s="9">
        <f>IF(AND($A1344&gt;=VLOOKUP(YEAR($A1344),'Festive dates'!$A$2:$J$5,9,FALSE),$A1344&lt;=VLOOKUP(YEAR($A1344),'Festive dates'!$A$2:$J$5,10,FALSE)),1,0)</f>
        <v>0</v>
      </c>
      <c r="W1344" s="9">
        <f>IF($A1344=VLOOKUP(YEAR($A1344),'Festive dates'!$A$2:$J$5,7,FALSE),1,0)</f>
        <v>0</v>
      </c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</row>
    <row r="1345" spans="1:51">
      <c r="A1345" s="8">
        <v>46360</v>
      </c>
      <c r="B1345" s="9">
        <v>0</v>
      </c>
      <c r="C1345" s="9">
        <v>0</v>
      </c>
      <c r="D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1</v>
      </c>
      <c r="Q1345" s="9">
        <f>MAX(-20,MIN(10,$A1345-VLOOKUP(YEAR($A1345),'Festive dates'!$A$2:$J$5,8,FALSE)))</f>
        <v>10</v>
      </c>
      <c r="R1345" s="9">
        <f>IF(AND($A1345&gt;VLOOKUP(YEAR($A1345),'Festive dates'!$A$2:$J$5,2,FALSE),$A1345&lt;VLOOKUP(YEAR($A1345),'Festive dates'!$A$2:$J$5,3,FALSE)),1,0)</f>
        <v>0</v>
      </c>
      <c r="S1345" s="9">
        <f>IF($A1345=VLOOKUP(YEAR($A1345),'Festive dates'!$A$2:$J$5,2,FALSE),1,0)</f>
        <v>0</v>
      </c>
      <c r="T1345" s="9">
        <f>IF($A1345=VLOOKUP(YEAR($A1345),'Festive dates'!$A$2:$J$5,3,FALSE),1,0)</f>
        <v>0</v>
      </c>
      <c r="U1345" s="9">
        <f>IF($A1345=VLOOKUP(YEAR($A1345),'Festive dates'!$A$2:$J$5,4,FALSE),1,0)</f>
        <v>0</v>
      </c>
      <c r="V1345" s="9">
        <f>IF(AND($A1345&gt;=VLOOKUP(YEAR($A1345),'Festive dates'!$A$2:$J$5,9,FALSE),$A1345&lt;=VLOOKUP(YEAR($A1345),'Festive dates'!$A$2:$J$5,10,FALSE)),1,0)</f>
        <v>0</v>
      </c>
      <c r="W1345" s="9">
        <f>IF($A1345=VLOOKUP(YEAR($A1345),'Festive dates'!$A$2:$J$5,7,FALSE),1,0)</f>
        <v>0</v>
      </c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</row>
    <row r="1346" spans="1:51">
      <c r="A1346" s="8">
        <v>46361</v>
      </c>
      <c r="B1346" s="9">
        <v>0</v>
      </c>
      <c r="C1346" s="9">
        <v>0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1</v>
      </c>
      <c r="Q1346" s="9">
        <f>MAX(-20,MIN(10,$A1346-VLOOKUP(YEAR($A1346),'Festive dates'!$A$2:$J$5,8,FALSE)))</f>
        <v>10</v>
      </c>
      <c r="R1346" s="9">
        <f>IF(AND($A1346&gt;VLOOKUP(YEAR($A1346),'Festive dates'!$A$2:$J$5,2,FALSE),$A1346&lt;VLOOKUP(YEAR($A1346),'Festive dates'!$A$2:$J$5,3,FALSE)),1,0)</f>
        <v>0</v>
      </c>
      <c r="S1346" s="9">
        <f>IF($A1346=VLOOKUP(YEAR($A1346),'Festive dates'!$A$2:$J$5,2,FALSE),1,0)</f>
        <v>0</v>
      </c>
      <c r="T1346" s="9">
        <f>IF($A1346=VLOOKUP(YEAR($A1346),'Festive dates'!$A$2:$J$5,3,FALSE),1,0)</f>
        <v>0</v>
      </c>
      <c r="U1346" s="9">
        <f>IF($A1346=VLOOKUP(YEAR($A1346),'Festive dates'!$A$2:$J$5,4,FALSE),1,0)</f>
        <v>0</v>
      </c>
      <c r="V1346" s="9">
        <f>IF(AND($A1346&gt;=VLOOKUP(YEAR($A1346),'Festive dates'!$A$2:$J$5,9,FALSE),$A1346&lt;=VLOOKUP(YEAR($A1346),'Festive dates'!$A$2:$J$5,10,FALSE)),1,0)</f>
        <v>0</v>
      </c>
      <c r="W1346" s="9">
        <f>IF($A1346=VLOOKUP(YEAR($A1346),'Festive dates'!$A$2:$J$5,7,FALSE),1,0)</f>
        <v>0</v>
      </c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</row>
    <row r="1347" spans="1:51">
      <c r="A1347" s="8">
        <v>46362</v>
      </c>
      <c r="B1347" s="9">
        <v>0</v>
      </c>
      <c r="C1347" s="9">
        <v>0</v>
      </c>
      <c r="D1347" s="9">
        <v>0</v>
      </c>
      <c r="E1347" s="9">
        <v>0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f>MAX(-20,MIN(10,$A1347-VLOOKUP(YEAR($A1347),'Festive dates'!$A$2:$J$5,8,FALSE)))</f>
        <v>10</v>
      </c>
      <c r="R1347" s="9">
        <f>IF(AND($A1347&gt;VLOOKUP(YEAR($A1347),'Festive dates'!$A$2:$J$5,2,FALSE),$A1347&lt;VLOOKUP(YEAR($A1347),'Festive dates'!$A$2:$J$5,3,FALSE)),1,0)</f>
        <v>0</v>
      </c>
      <c r="S1347" s="9">
        <f>IF($A1347=VLOOKUP(YEAR($A1347),'Festive dates'!$A$2:$J$5,2,FALSE),1,0)</f>
        <v>0</v>
      </c>
      <c r="T1347" s="9">
        <f>IF($A1347=VLOOKUP(YEAR($A1347),'Festive dates'!$A$2:$J$5,3,FALSE),1,0)</f>
        <v>0</v>
      </c>
      <c r="U1347" s="9">
        <f>IF($A1347=VLOOKUP(YEAR($A1347),'Festive dates'!$A$2:$J$5,4,FALSE),1,0)</f>
        <v>0</v>
      </c>
      <c r="V1347" s="9">
        <f>IF(AND($A1347&gt;=VLOOKUP(YEAR($A1347),'Festive dates'!$A$2:$J$5,9,FALSE),$A1347&lt;=VLOOKUP(YEAR($A1347),'Festive dates'!$A$2:$J$5,10,FALSE)),1,0)</f>
        <v>0</v>
      </c>
      <c r="W1347" s="9">
        <f>IF($A1347=VLOOKUP(YEAR($A1347),'Festive dates'!$A$2:$J$5,7,FALSE),1,0)</f>
        <v>0</v>
      </c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</row>
    <row r="1348" spans="1:51">
      <c r="A1348" s="8">
        <v>46363</v>
      </c>
      <c r="B1348" s="9">
        <v>0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f>MAX(-20,MIN(10,$A1348-VLOOKUP(YEAR($A1348),'Festive dates'!$A$2:$J$5,8,FALSE)))</f>
        <v>10</v>
      </c>
      <c r="R1348" s="9">
        <f>IF(AND($A1348&gt;VLOOKUP(YEAR($A1348),'Festive dates'!$A$2:$J$5,2,FALSE),$A1348&lt;VLOOKUP(YEAR($A1348),'Festive dates'!$A$2:$J$5,3,FALSE)),1,0)</f>
        <v>0</v>
      </c>
      <c r="S1348" s="9">
        <f>IF($A1348=VLOOKUP(YEAR($A1348),'Festive dates'!$A$2:$J$5,2,FALSE),1,0)</f>
        <v>0</v>
      </c>
      <c r="T1348" s="9">
        <f>IF($A1348=VLOOKUP(YEAR($A1348),'Festive dates'!$A$2:$J$5,3,FALSE),1,0)</f>
        <v>0</v>
      </c>
      <c r="U1348" s="9">
        <f>IF($A1348=VLOOKUP(YEAR($A1348),'Festive dates'!$A$2:$J$5,4,FALSE),1,0)</f>
        <v>0</v>
      </c>
      <c r="V1348" s="9">
        <f>IF(AND($A1348&gt;=VLOOKUP(YEAR($A1348),'Festive dates'!$A$2:$J$5,9,FALSE),$A1348&lt;=VLOOKUP(YEAR($A1348),'Festive dates'!$A$2:$J$5,10,FALSE)),1,0)</f>
        <v>0</v>
      </c>
      <c r="W1348" s="9">
        <f>IF($A1348=VLOOKUP(YEAR($A1348),'Festive dates'!$A$2:$J$5,7,FALSE),1,0)</f>
        <v>0</v>
      </c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</row>
  </sheetData>
  <autoFilter ref="A1:W13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10" width="23" customWidth="1"/>
  </cols>
  <sheetData>
    <row r="1" spans="1:10" ht="48" customHeight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>
      <c r="A2" s="1">
        <v>2023</v>
      </c>
      <c r="B2" s="3">
        <v>45214</v>
      </c>
      <c r="C2" s="3">
        <v>45222</v>
      </c>
      <c r="D2" s="3">
        <v>45223</v>
      </c>
      <c r="E2" s="3">
        <v>45198</v>
      </c>
      <c r="F2" s="3">
        <v>45213</v>
      </c>
      <c r="G2" s="3">
        <v>45240</v>
      </c>
      <c r="H2" s="3">
        <v>45242</v>
      </c>
      <c r="I2" s="3">
        <f>B2-16</f>
        <v>45198</v>
      </c>
      <c r="J2" s="3">
        <f>B2-1</f>
        <v>45213</v>
      </c>
    </row>
    <row r="3" spans="1:10">
      <c r="A3" s="1">
        <v>2024</v>
      </c>
      <c r="B3" s="3">
        <v>45568</v>
      </c>
      <c r="C3" s="3">
        <v>45577</v>
      </c>
      <c r="D3" s="3">
        <v>45577</v>
      </c>
      <c r="E3" s="3">
        <v>45552</v>
      </c>
      <c r="F3" s="3">
        <v>45567</v>
      </c>
      <c r="G3" s="3">
        <v>45594</v>
      </c>
      <c r="H3" s="3">
        <v>45596</v>
      </c>
      <c r="I3" s="3">
        <f>B3-16</f>
        <v>45552</v>
      </c>
      <c r="J3" s="3">
        <f>B3-1</f>
        <v>45567</v>
      </c>
    </row>
    <row r="4" spans="1:10">
      <c r="A4" s="1">
        <v>2025</v>
      </c>
      <c r="B4" s="3">
        <v>45922</v>
      </c>
      <c r="C4" s="3">
        <v>45931</v>
      </c>
      <c r="D4" s="3">
        <v>45932</v>
      </c>
      <c r="E4" s="3">
        <v>45907</v>
      </c>
      <c r="F4" s="3">
        <v>45921</v>
      </c>
      <c r="G4" s="3">
        <v>45948</v>
      </c>
      <c r="H4" s="3">
        <v>45950</v>
      </c>
      <c r="I4" s="3">
        <f>B4-16</f>
        <v>45906</v>
      </c>
      <c r="J4" s="3">
        <f>B4-1</f>
        <v>45921</v>
      </c>
    </row>
    <row r="5" spans="1:10">
      <c r="A5" s="1">
        <v>2026</v>
      </c>
      <c r="B5" s="3">
        <v>46306</v>
      </c>
      <c r="C5" s="3">
        <v>46314</v>
      </c>
      <c r="D5" s="3">
        <v>46315</v>
      </c>
      <c r="E5" s="3">
        <v>46292</v>
      </c>
      <c r="F5" s="3">
        <v>46305</v>
      </c>
      <c r="G5" s="3">
        <v>46332</v>
      </c>
      <c r="H5" s="3">
        <v>46334</v>
      </c>
      <c r="I5" s="3">
        <f>B5-16</f>
        <v>46290</v>
      </c>
      <c r="J5" s="3">
        <f>B5-1</f>
        <v>46305</v>
      </c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4" t="s">
        <v>33</v>
      </c>
      <c r="B8" s="1"/>
      <c r="C8" s="1"/>
      <c r="D8" s="1"/>
      <c r="E8" s="1"/>
      <c r="F8" s="1"/>
      <c r="G8" s="1"/>
      <c r="H8" s="1"/>
      <c r="I8" s="1"/>
      <c r="J8" s="1"/>
    </row>
    <row r="9" spans="1:10">
      <c r="A9" s="1" t="s">
        <v>34</v>
      </c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 t="s">
        <v>35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36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37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38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 t="s">
        <v>39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40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41</v>
      </c>
      <c r="B16" s="1"/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Pre_engineering_festive_matrix</vt:lpstr>
      <vt:lpstr>Festive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Saxena</cp:lastModifiedBy>
  <dcterms:modified xsi:type="dcterms:W3CDTF">2026-09-18T13:11:06Z</dcterms:modified>
</cp:coreProperties>
</file>