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0004878\Desktop\TFT_Data\Daily_forecasting_model\Iterations in September\_Iteration_#3_feature_engineering\Festive features\"/>
    </mc:Choice>
  </mc:AlternateContent>
  <bookViews>
    <workbookView xWindow="-110" yWindow="-110" windowWidth="19420" windowHeight="10300"/>
  </bookViews>
  <sheets>
    <sheet name="Pre_engineering_festive_matrix" sheetId="1" r:id="rId1"/>
    <sheet name="Festive dates" sheetId="2" r:id="rId2"/>
  </sheets>
  <definedNames>
    <definedName name="_xlnm._FilterDatabase" localSheetId="0" hidden="1">Pre_engineering_festive_matrix!$A$1:$W$1348</definedName>
  </definedNames>
  <calcPr calcId="162913"/>
</workbook>
</file>

<file path=xl/calcChain.xml><?xml version="1.0" encoding="utf-8"?>
<calcChain xmlns="http://schemas.openxmlformats.org/spreadsheetml/2006/main">
  <c r="Q1349" i="1" l="1"/>
  <c r="R1349" i="1"/>
  <c r="S1349" i="1"/>
  <c r="T1349" i="1"/>
  <c r="U1349" i="1"/>
  <c r="V1349" i="1"/>
  <c r="W1349" i="1"/>
  <c r="Q1350" i="1"/>
  <c r="R1350" i="1"/>
  <c r="S1350" i="1"/>
  <c r="T1350" i="1"/>
  <c r="U1350" i="1"/>
  <c r="V1350" i="1"/>
  <c r="W1350" i="1"/>
  <c r="Q1351" i="1"/>
  <c r="R1351" i="1"/>
  <c r="S1351" i="1"/>
  <c r="T1351" i="1"/>
  <c r="U1351" i="1"/>
  <c r="V1351" i="1"/>
  <c r="W1351" i="1"/>
  <c r="J5" i="2" l="1"/>
  <c r="I5" i="2"/>
  <c r="J4" i="2"/>
  <c r="I4" i="2"/>
  <c r="J3" i="2"/>
  <c r="I3" i="2"/>
  <c r="J2" i="2"/>
  <c r="I2" i="2"/>
  <c r="W1348" i="1"/>
  <c r="V1348" i="1"/>
  <c r="U1348" i="1"/>
  <c r="T1348" i="1"/>
  <c r="S1348" i="1"/>
  <c r="R1348" i="1"/>
  <c r="Q1348" i="1"/>
  <c r="W1347" i="1"/>
  <c r="V1347" i="1"/>
  <c r="U1347" i="1"/>
  <c r="T1347" i="1"/>
  <c r="S1347" i="1"/>
  <c r="R1347" i="1"/>
  <c r="Q1347" i="1"/>
  <c r="W1346" i="1"/>
  <c r="V1346" i="1"/>
  <c r="U1346" i="1"/>
  <c r="T1346" i="1"/>
  <c r="S1346" i="1"/>
  <c r="R1346" i="1"/>
  <c r="Q1346" i="1"/>
  <c r="W1345" i="1"/>
  <c r="V1345" i="1"/>
  <c r="U1345" i="1"/>
  <c r="T1345" i="1"/>
  <c r="S1345" i="1"/>
  <c r="R1345" i="1"/>
  <c r="Q1345" i="1"/>
  <c r="W1344" i="1"/>
  <c r="V1344" i="1"/>
  <c r="U1344" i="1"/>
  <c r="T1344" i="1"/>
  <c r="S1344" i="1"/>
  <c r="R1344" i="1"/>
  <c r="Q1344" i="1"/>
  <c r="W1343" i="1"/>
  <c r="V1343" i="1"/>
  <c r="U1343" i="1"/>
  <c r="T1343" i="1"/>
  <c r="S1343" i="1"/>
  <c r="R1343" i="1"/>
  <c r="Q1343" i="1"/>
  <c r="W1342" i="1"/>
  <c r="V1342" i="1"/>
  <c r="U1342" i="1"/>
  <c r="T1342" i="1"/>
  <c r="S1342" i="1"/>
  <c r="R1342" i="1"/>
  <c r="Q1342" i="1"/>
  <c r="W1341" i="1"/>
  <c r="V1341" i="1"/>
  <c r="U1341" i="1"/>
  <c r="T1341" i="1"/>
  <c r="S1341" i="1"/>
  <c r="R1341" i="1"/>
  <c r="Q1341" i="1"/>
  <c r="W1340" i="1"/>
  <c r="V1340" i="1"/>
  <c r="U1340" i="1"/>
  <c r="T1340" i="1"/>
  <c r="S1340" i="1"/>
  <c r="R1340" i="1"/>
  <c r="Q1340" i="1"/>
  <c r="W1339" i="1"/>
  <c r="V1339" i="1"/>
  <c r="U1339" i="1"/>
  <c r="T1339" i="1"/>
  <c r="S1339" i="1"/>
  <c r="R1339" i="1"/>
  <c r="Q1339" i="1"/>
  <c r="W1338" i="1"/>
  <c r="V1338" i="1"/>
  <c r="U1338" i="1"/>
  <c r="T1338" i="1"/>
  <c r="S1338" i="1"/>
  <c r="R1338" i="1"/>
  <c r="Q1338" i="1"/>
  <c r="W1337" i="1"/>
  <c r="V1337" i="1"/>
  <c r="U1337" i="1"/>
  <c r="T1337" i="1"/>
  <c r="S1337" i="1"/>
  <c r="R1337" i="1"/>
  <c r="Q1337" i="1"/>
  <c r="W1336" i="1"/>
  <c r="V1336" i="1"/>
  <c r="U1336" i="1"/>
  <c r="T1336" i="1"/>
  <c r="S1336" i="1"/>
  <c r="R1336" i="1"/>
  <c r="Q1336" i="1"/>
  <c r="W1335" i="1"/>
  <c r="V1335" i="1"/>
  <c r="U1335" i="1"/>
  <c r="T1335" i="1"/>
  <c r="S1335" i="1"/>
  <c r="R1335" i="1"/>
  <c r="Q1335" i="1"/>
  <c r="W1334" i="1"/>
  <c r="V1334" i="1"/>
  <c r="U1334" i="1"/>
  <c r="T1334" i="1"/>
  <c r="S1334" i="1"/>
  <c r="R1334" i="1"/>
  <c r="Q1334" i="1"/>
  <c r="W1333" i="1"/>
  <c r="V1333" i="1"/>
  <c r="U1333" i="1"/>
  <c r="T1333" i="1"/>
  <c r="S1333" i="1"/>
  <c r="R1333" i="1"/>
  <c r="Q1333" i="1"/>
  <c r="W1332" i="1"/>
  <c r="V1332" i="1"/>
  <c r="U1332" i="1"/>
  <c r="T1332" i="1"/>
  <c r="S1332" i="1"/>
  <c r="R1332" i="1"/>
  <c r="Q1332" i="1"/>
  <c r="W1331" i="1"/>
  <c r="V1331" i="1"/>
  <c r="U1331" i="1"/>
  <c r="T1331" i="1"/>
  <c r="S1331" i="1"/>
  <c r="R1331" i="1"/>
  <c r="Q1331" i="1"/>
  <c r="W1330" i="1"/>
  <c r="V1330" i="1"/>
  <c r="U1330" i="1"/>
  <c r="T1330" i="1"/>
  <c r="S1330" i="1"/>
  <c r="R1330" i="1"/>
  <c r="Q1330" i="1"/>
  <c r="W1329" i="1"/>
  <c r="V1329" i="1"/>
  <c r="U1329" i="1"/>
  <c r="T1329" i="1"/>
  <c r="S1329" i="1"/>
  <c r="R1329" i="1"/>
  <c r="Q1329" i="1"/>
  <c r="W1328" i="1"/>
  <c r="V1328" i="1"/>
  <c r="U1328" i="1"/>
  <c r="T1328" i="1"/>
  <c r="S1328" i="1"/>
  <c r="R1328" i="1"/>
  <c r="Q1328" i="1"/>
  <c r="W1327" i="1"/>
  <c r="V1327" i="1"/>
  <c r="U1327" i="1"/>
  <c r="T1327" i="1"/>
  <c r="S1327" i="1"/>
  <c r="R1327" i="1"/>
  <c r="Q1327" i="1"/>
  <c r="W1326" i="1"/>
  <c r="V1326" i="1"/>
  <c r="U1326" i="1"/>
  <c r="T1326" i="1"/>
  <c r="S1326" i="1"/>
  <c r="R1326" i="1"/>
  <c r="Q1326" i="1"/>
  <c r="W1325" i="1"/>
  <c r="V1325" i="1"/>
  <c r="U1325" i="1"/>
  <c r="T1325" i="1"/>
  <c r="S1325" i="1"/>
  <c r="R1325" i="1"/>
  <c r="Q1325" i="1"/>
  <c r="W1324" i="1"/>
  <c r="V1324" i="1"/>
  <c r="U1324" i="1"/>
  <c r="T1324" i="1"/>
  <c r="S1324" i="1"/>
  <c r="R1324" i="1"/>
  <c r="Q1324" i="1"/>
  <c r="W1323" i="1"/>
  <c r="V1323" i="1"/>
  <c r="U1323" i="1"/>
  <c r="T1323" i="1"/>
  <c r="S1323" i="1"/>
  <c r="R1323" i="1"/>
  <c r="Q1323" i="1"/>
  <c r="W1322" i="1"/>
  <c r="V1322" i="1"/>
  <c r="U1322" i="1"/>
  <c r="T1322" i="1"/>
  <c r="S1322" i="1"/>
  <c r="R1322" i="1"/>
  <c r="Q1322" i="1"/>
  <c r="W1321" i="1"/>
  <c r="V1321" i="1"/>
  <c r="U1321" i="1"/>
  <c r="T1321" i="1"/>
  <c r="S1321" i="1"/>
  <c r="R1321" i="1"/>
  <c r="Q1321" i="1"/>
  <c r="W1320" i="1"/>
  <c r="V1320" i="1"/>
  <c r="U1320" i="1"/>
  <c r="T1320" i="1"/>
  <c r="S1320" i="1"/>
  <c r="R1320" i="1"/>
  <c r="Q1320" i="1"/>
  <c r="W1319" i="1"/>
  <c r="V1319" i="1"/>
  <c r="U1319" i="1"/>
  <c r="T1319" i="1"/>
  <c r="S1319" i="1"/>
  <c r="R1319" i="1"/>
  <c r="Q1319" i="1"/>
  <c r="W1318" i="1"/>
  <c r="V1318" i="1"/>
  <c r="U1318" i="1"/>
  <c r="T1318" i="1"/>
  <c r="S1318" i="1"/>
  <c r="R1318" i="1"/>
  <c r="Q1318" i="1"/>
  <c r="W1317" i="1"/>
  <c r="V1317" i="1"/>
  <c r="U1317" i="1"/>
  <c r="T1317" i="1"/>
  <c r="S1317" i="1"/>
  <c r="R1317" i="1"/>
  <c r="Q1317" i="1"/>
  <c r="W1316" i="1"/>
  <c r="V1316" i="1"/>
  <c r="U1316" i="1"/>
  <c r="T1316" i="1"/>
  <c r="S1316" i="1"/>
  <c r="R1316" i="1"/>
  <c r="Q1316" i="1"/>
  <c r="W1315" i="1"/>
  <c r="V1315" i="1"/>
  <c r="U1315" i="1"/>
  <c r="T1315" i="1"/>
  <c r="S1315" i="1"/>
  <c r="R1315" i="1"/>
  <c r="Q1315" i="1"/>
  <c r="W1314" i="1"/>
  <c r="V1314" i="1"/>
  <c r="U1314" i="1"/>
  <c r="T1314" i="1"/>
  <c r="S1314" i="1"/>
  <c r="R1314" i="1"/>
  <c r="Q1314" i="1"/>
  <c r="W1313" i="1"/>
  <c r="V1313" i="1"/>
  <c r="U1313" i="1"/>
  <c r="T1313" i="1"/>
  <c r="S1313" i="1"/>
  <c r="R1313" i="1"/>
  <c r="Q1313" i="1"/>
  <c r="W1312" i="1"/>
  <c r="V1312" i="1"/>
  <c r="U1312" i="1"/>
  <c r="T1312" i="1"/>
  <c r="S1312" i="1"/>
  <c r="R1312" i="1"/>
  <c r="Q1312" i="1"/>
  <c r="W1311" i="1"/>
  <c r="V1311" i="1"/>
  <c r="U1311" i="1"/>
  <c r="T1311" i="1"/>
  <c r="S1311" i="1"/>
  <c r="R1311" i="1"/>
  <c r="Q1311" i="1"/>
  <c r="W1310" i="1"/>
  <c r="V1310" i="1"/>
  <c r="U1310" i="1"/>
  <c r="T1310" i="1"/>
  <c r="S1310" i="1"/>
  <c r="R1310" i="1"/>
  <c r="Q1310" i="1"/>
  <c r="W1309" i="1"/>
  <c r="V1309" i="1"/>
  <c r="U1309" i="1"/>
  <c r="T1309" i="1"/>
  <c r="S1309" i="1"/>
  <c r="R1309" i="1"/>
  <c r="Q1309" i="1"/>
  <c r="W1308" i="1"/>
  <c r="V1308" i="1"/>
  <c r="U1308" i="1"/>
  <c r="T1308" i="1"/>
  <c r="S1308" i="1"/>
  <c r="R1308" i="1"/>
  <c r="Q1308" i="1"/>
  <c r="W1307" i="1"/>
  <c r="V1307" i="1"/>
  <c r="U1307" i="1"/>
  <c r="T1307" i="1"/>
  <c r="S1307" i="1"/>
  <c r="R1307" i="1"/>
  <c r="Q1307" i="1"/>
  <c r="W1306" i="1"/>
  <c r="V1306" i="1"/>
  <c r="U1306" i="1"/>
  <c r="T1306" i="1"/>
  <c r="S1306" i="1"/>
  <c r="R1306" i="1"/>
  <c r="Q1306" i="1"/>
  <c r="W1305" i="1"/>
  <c r="V1305" i="1"/>
  <c r="U1305" i="1"/>
  <c r="T1305" i="1"/>
  <c r="S1305" i="1"/>
  <c r="R1305" i="1"/>
  <c r="Q1305" i="1"/>
  <c r="W1304" i="1"/>
  <c r="V1304" i="1"/>
  <c r="U1304" i="1"/>
  <c r="T1304" i="1"/>
  <c r="S1304" i="1"/>
  <c r="R1304" i="1"/>
  <c r="Q1304" i="1"/>
  <c r="W1303" i="1"/>
  <c r="V1303" i="1"/>
  <c r="U1303" i="1"/>
  <c r="T1303" i="1"/>
  <c r="S1303" i="1"/>
  <c r="R1303" i="1"/>
  <c r="Q1303" i="1"/>
  <c r="W1302" i="1"/>
  <c r="V1302" i="1"/>
  <c r="U1302" i="1"/>
  <c r="T1302" i="1"/>
  <c r="S1302" i="1"/>
  <c r="R1302" i="1"/>
  <c r="Q1302" i="1"/>
  <c r="W1301" i="1"/>
  <c r="V1301" i="1"/>
  <c r="U1301" i="1"/>
  <c r="T1301" i="1"/>
  <c r="S1301" i="1"/>
  <c r="R1301" i="1"/>
  <c r="Q1301" i="1"/>
  <c r="W1300" i="1"/>
  <c r="V1300" i="1"/>
  <c r="U1300" i="1"/>
  <c r="T1300" i="1"/>
  <c r="S1300" i="1"/>
  <c r="R1300" i="1"/>
  <c r="Q1300" i="1"/>
  <c r="W1299" i="1"/>
  <c r="V1299" i="1"/>
  <c r="U1299" i="1"/>
  <c r="T1299" i="1"/>
  <c r="S1299" i="1"/>
  <c r="R1299" i="1"/>
  <c r="Q1299" i="1"/>
  <c r="W1298" i="1"/>
  <c r="V1298" i="1"/>
  <c r="U1298" i="1"/>
  <c r="T1298" i="1"/>
  <c r="S1298" i="1"/>
  <c r="R1298" i="1"/>
  <c r="Q1298" i="1"/>
  <c r="W1297" i="1"/>
  <c r="V1297" i="1"/>
  <c r="U1297" i="1"/>
  <c r="T1297" i="1"/>
  <c r="S1297" i="1"/>
  <c r="R1297" i="1"/>
  <c r="Q1297" i="1"/>
  <c r="W1296" i="1"/>
  <c r="V1296" i="1"/>
  <c r="U1296" i="1"/>
  <c r="T1296" i="1"/>
  <c r="S1296" i="1"/>
  <c r="R1296" i="1"/>
  <c r="Q1296" i="1"/>
  <c r="W1295" i="1"/>
  <c r="V1295" i="1"/>
  <c r="U1295" i="1"/>
  <c r="T1295" i="1"/>
  <c r="S1295" i="1"/>
  <c r="R1295" i="1"/>
  <c r="Q1295" i="1"/>
  <c r="W1294" i="1"/>
  <c r="V1294" i="1"/>
  <c r="U1294" i="1"/>
  <c r="T1294" i="1"/>
  <c r="S1294" i="1"/>
  <c r="R1294" i="1"/>
  <c r="Q1294" i="1"/>
  <c r="W1293" i="1"/>
  <c r="V1293" i="1"/>
  <c r="U1293" i="1"/>
  <c r="T1293" i="1"/>
  <c r="S1293" i="1"/>
  <c r="R1293" i="1"/>
  <c r="Q1293" i="1"/>
  <c r="W1292" i="1"/>
  <c r="V1292" i="1"/>
  <c r="U1292" i="1"/>
  <c r="T1292" i="1"/>
  <c r="S1292" i="1"/>
  <c r="R1292" i="1"/>
  <c r="Q1292" i="1"/>
  <c r="W1291" i="1"/>
  <c r="V1291" i="1"/>
  <c r="U1291" i="1"/>
  <c r="T1291" i="1"/>
  <c r="S1291" i="1"/>
  <c r="R1291" i="1"/>
  <c r="Q1291" i="1"/>
  <c r="W1290" i="1"/>
  <c r="V1290" i="1"/>
  <c r="U1290" i="1"/>
  <c r="T1290" i="1"/>
  <c r="S1290" i="1"/>
  <c r="R1290" i="1"/>
  <c r="Q1290" i="1"/>
  <c r="W1289" i="1"/>
  <c r="V1289" i="1"/>
  <c r="U1289" i="1"/>
  <c r="T1289" i="1"/>
  <c r="S1289" i="1"/>
  <c r="R1289" i="1"/>
  <c r="Q1289" i="1"/>
  <c r="W1288" i="1"/>
  <c r="V1288" i="1"/>
  <c r="U1288" i="1"/>
  <c r="T1288" i="1"/>
  <c r="S1288" i="1"/>
  <c r="R1288" i="1"/>
  <c r="Q1288" i="1"/>
  <c r="W1287" i="1"/>
  <c r="V1287" i="1"/>
  <c r="U1287" i="1"/>
  <c r="T1287" i="1"/>
  <c r="S1287" i="1"/>
  <c r="R1287" i="1"/>
  <c r="Q1287" i="1"/>
  <c r="W1286" i="1"/>
  <c r="V1286" i="1"/>
  <c r="U1286" i="1"/>
  <c r="T1286" i="1"/>
  <c r="S1286" i="1"/>
  <c r="R1286" i="1"/>
  <c r="Q1286" i="1"/>
  <c r="W1285" i="1"/>
  <c r="V1285" i="1"/>
  <c r="U1285" i="1"/>
  <c r="T1285" i="1"/>
  <c r="S1285" i="1"/>
  <c r="R1285" i="1"/>
  <c r="Q1285" i="1"/>
  <c r="W1284" i="1"/>
  <c r="V1284" i="1"/>
  <c r="U1284" i="1"/>
  <c r="T1284" i="1"/>
  <c r="S1284" i="1"/>
  <c r="R1284" i="1"/>
  <c r="Q1284" i="1"/>
  <c r="W1283" i="1"/>
  <c r="V1283" i="1"/>
  <c r="U1283" i="1"/>
  <c r="T1283" i="1"/>
  <c r="S1283" i="1"/>
  <c r="R1283" i="1"/>
  <c r="Q1283" i="1"/>
  <c r="W1282" i="1"/>
  <c r="V1282" i="1"/>
  <c r="U1282" i="1"/>
  <c r="T1282" i="1"/>
  <c r="S1282" i="1"/>
  <c r="R1282" i="1"/>
  <c r="Q1282" i="1"/>
  <c r="W1281" i="1"/>
  <c r="V1281" i="1"/>
  <c r="U1281" i="1"/>
  <c r="T1281" i="1"/>
  <c r="S1281" i="1"/>
  <c r="R1281" i="1"/>
  <c r="Q1281" i="1"/>
  <c r="W1280" i="1"/>
  <c r="V1280" i="1"/>
  <c r="U1280" i="1"/>
  <c r="T1280" i="1"/>
  <c r="S1280" i="1"/>
  <c r="R1280" i="1"/>
  <c r="Q1280" i="1"/>
  <c r="W1279" i="1"/>
  <c r="V1279" i="1"/>
  <c r="U1279" i="1"/>
  <c r="T1279" i="1"/>
  <c r="S1279" i="1"/>
  <c r="R1279" i="1"/>
  <c r="Q1279" i="1"/>
  <c r="W1278" i="1"/>
  <c r="V1278" i="1"/>
  <c r="U1278" i="1"/>
  <c r="T1278" i="1"/>
  <c r="S1278" i="1"/>
  <c r="R1278" i="1"/>
  <c r="Q1278" i="1"/>
  <c r="W1277" i="1"/>
  <c r="V1277" i="1"/>
  <c r="U1277" i="1"/>
  <c r="T1277" i="1"/>
  <c r="S1277" i="1"/>
  <c r="R1277" i="1"/>
  <c r="Q1277" i="1"/>
  <c r="W1276" i="1"/>
  <c r="V1276" i="1"/>
  <c r="U1276" i="1"/>
  <c r="T1276" i="1"/>
  <c r="S1276" i="1"/>
  <c r="R1276" i="1"/>
  <c r="Q1276" i="1"/>
  <c r="W1275" i="1"/>
  <c r="V1275" i="1"/>
  <c r="U1275" i="1"/>
  <c r="T1275" i="1"/>
  <c r="S1275" i="1"/>
  <c r="R1275" i="1"/>
  <c r="Q1275" i="1"/>
  <c r="W1274" i="1"/>
  <c r="V1274" i="1"/>
  <c r="U1274" i="1"/>
  <c r="T1274" i="1"/>
  <c r="S1274" i="1"/>
  <c r="R1274" i="1"/>
  <c r="Q1274" i="1"/>
  <c r="W1273" i="1"/>
  <c r="V1273" i="1"/>
  <c r="U1273" i="1"/>
  <c r="T1273" i="1"/>
  <c r="S1273" i="1"/>
  <c r="R1273" i="1"/>
  <c r="Q1273" i="1"/>
  <c r="W1272" i="1"/>
  <c r="V1272" i="1"/>
  <c r="U1272" i="1"/>
  <c r="T1272" i="1"/>
  <c r="S1272" i="1"/>
  <c r="R1272" i="1"/>
  <c r="Q1272" i="1"/>
  <c r="W1271" i="1"/>
  <c r="V1271" i="1"/>
  <c r="U1271" i="1"/>
  <c r="T1271" i="1"/>
  <c r="S1271" i="1"/>
  <c r="R1271" i="1"/>
  <c r="Q1271" i="1"/>
  <c r="W1270" i="1"/>
  <c r="V1270" i="1"/>
  <c r="U1270" i="1"/>
  <c r="T1270" i="1"/>
  <c r="S1270" i="1"/>
  <c r="R1270" i="1"/>
  <c r="Q1270" i="1"/>
  <c r="W1269" i="1"/>
  <c r="V1269" i="1"/>
  <c r="U1269" i="1"/>
  <c r="T1269" i="1"/>
  <c r="S1269" i="1"/>
  <c r="R1269" i="1"/>
  <c r="Q1269" i="1"/>
  <c r="W1268" i="1"/>
  <c r="V1268" i="1"/>
  <c r="U1268" i="1"/>
  <c r="T1268" i="1"/>
  <c r="S1268" i="1"/>
  <c r="R1268" i="1"/>
  <c r="Q1268" i="1"/>
  <c r="W1267" i="1"/>
  <c r="V1267" i="1"/>
  <c r="U1267" i="1"/>
  <c r="T1267" i="1"/>
  <c r="S1267" i="1"/>
  <c r="R1267" i="1"/>
  <c r="Q1267" i="1"/>
  <c r="W1266" i="1"/>
  <c r="V1266" i="1"/>
  <c r="U1266" i="1"/>
  <c r="T1266" i="1"/>
  <c r="S1266" i="1"/>
  <c r="R1266" i="1"/>
  <c r="Q1266" i="1"/>
  <c r="W1265" i="1"/>
  <c r="V1265" i="1"/>
  <c r="U1265" i="1"/>
  <c r="T1265" i="1"/>
  <c r="S1265" i="1"/>
  <c r="R1265" i="1"/>
  <c r="Q1265" i="1"/>
  <c r="W1264" i="1"/>
  <c r="V1264" i="1"/>
  <c r="U1264" i="1"/>
  <c r="T1264" i="1"/>
  <c r="S1264" i="1"/>
  <c r="R1264" i="1"/>
  <c r="Q1264" i="1"/>
  <c r="W1263" i="1"/>
  <c r="V1263" i="1"/>
  <c r="U1263" i="1"/>
  <c r="T1263" i="1"/>
  <c r="S1263" i="1"/>
  <c r="R1263" i="1"/>
  <c r="Q1263" i="1"/>
  <c r="W1262" i="1"/>
  <c r="V1262" i="1"/>
  <c r="U1262" i="1"/>
  <c r="T1262" i="1"/>
  <c r="S1262" i="1"/>
  <c r="R1262" i="1"/>
  <c r="Q1262" i="1"/>
  <c r="W1261" i="1"/>
  <c r="V1261" i="1"/>
  <c r="U1261" i="1"/>
  <c r="T1261" i="1"/>
  <c r="S1261" i="1"/>
  <c r="R1261" i="1"/>
  <c r="Q1261" i="1"/>
  <c r="W1260" i="1"/>
  <c r="V1260" i="1"/>
  <c r="U1260" i="1"/>
  <c r="T1260" i="1"/>
  <c r="S1260" i="1"/>
  <c r="R1260" i="1"/>
  <c r="Q1260" i="1"/>
  <c r="W1259" i="1"/>
  <c r="V1259" i="1"/>
  <c r="U1259" i="1"/>
  <c r="T1259" i="1"/>
  <c r="S1259" i="1"/>
  <c r="R1259" i="1"/>
  <c r="Q1259" i="1"/>
  <c r="W1258" i="1"/>
  <c r="V1258" i="1"/>
  <c r="U1258" i="1"/>
  <c r="T1258" i="1"/>
  <c r="S1258" i="1"/>
  <c r="R1258" i="1"/>
  <c r="Q1258" i="1"/>
  <c r="W1257" i="1"/>
  <c r="V1257" i="1"/>
  <c r="U1257" i="1"/>
  <c r="T1257" i="1"/>
  <c r="S1257" i="1"/>
  <c r="R1257" i="1"/>
  <c r="Q1257" i="1"/>
  <c r="W1256" i="1"/>
  <c r="V1256" i="1"/>
  <c r="U1256" i="1"/>
  <c r="T1256" i="1"/>
  <c r="S1256" i="1"/>
  <c r="R1256" i="1"/>
  <c r="Q1256" i="1"/>
  <c r="W1255" i="1"/>
  <c r="V1255" i="1"/>
  <c r="U1255" i="1"/>
  <c r="T1255" i="1"/>
  <c r="S1255" i="1"/>
  <c r="R1255" i="1"/>
  <c r="Q1255" i="1"/>
  <c r="W1254" i="1"/>
  <c r="V1254" i="1"/>
  <c r="U1254" i="1"/>
  <c r="T1254" i="1"/>
  <c r="S1254" i="1"/>
  <c r="R1254" i="1"/>
  <c r="Q1254" i="1"/>
  <c r="W1253" i="1"/>
  <c r="V1253" i="1"/>
  <c r="U1253" i="1"/>
  <c r="T1253" i="1"/>
  <c r="S1253" i="1"/>
  <c r="R1253" i="1"/>
  <c r="Q1253" i="1"/>
  <c r="W1252" i="1"/>
  <c r="V1252" i="1"/>
  <c r="U1252" i="1"/>
  <c r="T1252" i="1"/>
  <c r="S1252" i="1"/>
  <c r="R1252" i="1"/>
  <c r="Q1252" i="1"/>
  <c r="W1251" i="1"/>
  <c r="V1251" i="1"/>
  <c r="U1251" i="1"/>
  <c r="T1251" i="1"/>
  <c r="S1251" i="1"/>
  <c r="R1251" i="1"/>
  <c r="Q1251" i="1"/>
  <c r="W1250" i="1"/>
  <c r="V1250" i="1"/>
  <c r="U1250" i="1"/>
  <c r="T1250" i="1"/>
  <c r="S1250" i="1"/>
  <c r="R1250" i="1"/>
  <c r="Q1250" i="1"/>
  <c r="W1249" i="1"/>
  <c r="V1249" i="1"/>
  <c r="U1249" i="1"/>
  <c r="T1249" i="1"/>
  <c r="S1249" i="1"/>
  <c r="R1249" i="1"/>
  <c r="Q1249" i="1"/>
  <c r="W1248" i="1"/>
  <c r="V1248" i="1"/>
  <c r="U1248" i="1"/>
  <c r="T1248" i="1"/>
  <c r="S1248" i="1"/>
  <c r="R1248" i="1"/>
  <c r="Q1248" i="1"/>
  <c r="W1247" i="1"/>
  <c r="V1247" i="1"/>
  <c r="U1247" i="1"/>
  <c r="T1247" i="1"/>
  <c r="S1247" i="1"/>
  <c r="R1247" i="1"/>
  <c r="Q1247" i="1"/>
  <c r="W1246" i="1"/>
  <c r="V1246" i="1"/>
  <c r="U1246" i="1"/>
  <c r="T1246" i="1"/>
  <c r="S1246" i="1"/>
  <c r="R1246" i="1"/>
  <c r="Q1246" i="1"/>
  <c r="W1245" i="1"/>
  <c r="V1245" i="1"/>
  <c r="U1245" i="1"/>
  <c r="T1245" i="1"/>
  <c r="S1245" i="1"/>
  <c r="R1245" i="1"/>
  <c r="Q1245" i="1"/>
  <c r="W1244" i="1"/>
  <c r="V1244" i="1"/>
  <c r="U1244" i="1"/>
  <c r="T1244" i="1"/>
  <c r="S1244" i="1"/>
  <c r="R1244" i="1"/>
  <c r="Q1244" i="1"/>
  <c r="W1243" i="1"/>
  <c r="V1243" i="1"/>
  <c r="U1243" i="1"/>
  <c r="T1243" i="1"/>
  <c r="S1243" i="1"/>
  <c r="R1243" i="1"/>
  <c r="Q1243" i="1"/>
  <c r="W1242" i="1"/>
  <c r="V1242" i="1"/>
  <c r="U1242" i="1"/>
  <c r="T1242" i="1"/>
  <c r="S1242" i="1"/>
  <c r="R1242" i="1"/>
  <c r="Q1242" i="1"/>
  <c r="W1241" i="1"/>
  <c r="V1241" i="1"/>
  <c r="U1241" i="1"/>
  <c r="T1241" i="1"/>
  <c r="S1241" i="1"/>
  <c r="R1241" i="1"/>
  <c r="Q1241" i="1"/>
  <c r="W1240" i="1"/>
  <c r="V1240" i="1"/>
  <c r="U1240" i="1"/>
  <c r="T1240" i="1"/>
  <c r="S1240" i="1"/>
  <c r="R1240" i="1"/>
  <c r="Q1240" i="1"/>
  <c r="W1239" i="1"/>
  <c r="V1239" i="1"/>
  <c r="U1239" i="1"/>
  <c r="T1239" i="1"/>
  <c r="S1239" i="1"/>
  <c r="R1239" i="1"/>
  <c r="Q1239" i="1"/>
  <c r="W1238" i="1"/>
  <c r="V1238" i="1"/>
  <c r="U1238" i="1"/>
  <c r="T1238" i="1"/>
  <c r="S1238" i="1"/>
  <c r="R1238" i="1"/>
  <c r="Q1238" i="1"/>
  <c r="W1237" i="1"/>
  <c r="V1237" i="1"/>
  <c r="U1237" i="1"/>
  <c r="T1237" i="1"/>
  <c r="S1237" i="1"/>
  <c r="R1237" i="1"/>
  <c r="Q1237" i="1"/>
  <c r="W1236" i="1"/>
  <c r="V1236" i="1"/>
  <c r="U1236" i="1"/>
  <c r="T1236" i="1"/>
  <c r="S1236" i="1"/>
  <c r="R1236" i="1"/>
  <c r="Q1236" i="1"/>
  <c r="W1235" i="1"/>
  <c r="V1235" i="1"/>
  <c r="U1235" i="1"/>
  <c r="T1235" i="1"/>
  <c r="S1235" i="1"/>
  <c r="R1235" i="1"/>
  <c r="Q1235" i="1"/>
  <c r="W1234" i="1"/>
  <c r="V1234" i="1"/>
  <c r="U1234" i="1"/>
  <c r="T1234" i="1"/>
  <c r="S1234" i="1"/>
  <c r="R1234" i="1"/>
  <c r="Q1234" i="1"/>
  <c r="W1233" i="1"/>
  <c r="V1233" i="1"/>
  <c r="U1233" i="1"/>
  <c r="T1233" i="1"/>
  <c r="S1233" i="1"/>
  <c r="R1233" i="1"/>
  <c r="Q1233" i="1"/>
  <c r="W1232" i="1"/>
  <c r="V1232" i="1"/>
  <c r="U1232" i="1"/>
  <c r="T1232" i="1"/>
  <c r="S1232" i="1"/>
  <c r="R1232" i="1"/>
  <c r="Q1232" i="1"/>
  <c r="W1231" i="1"/>
  <c r="V1231" i="1"/>
  <c r="U1231" i="1"/>
  <c r="T1231" i="1"/>
  <c r="S1231" i="1"/>
  <c r="R1231" i="1"/>
  <c r="Q1231" i="1"/>
  <c r="W1230" i="1"/>
  <c r="V1230" i="1"/>
  <c r="U1230" i="1"/>
  <c r="T1230" i="1"/>
  <c r="S1230" i="1"/>
  <c r="R1230" i="1"/>
  <c r="Q1230" i="1"/>
  <c r="W1229" i="1"/>
  <c r="V1229" i="1"/>
  <c r="U1229" i="1"/>
  <c r="T1229" i="1"/>
  <c r="S1229" i="1"/>
  <c r="R1229" i="1"/>
  <c r="Q1229" i="1"/>
  <c r="W1228" i="1"/>
  <c r="V1228" i="1"/>
  <c r="U1228" i="1"/>
  <c r="T1228" i="1"/>
  <c r="S1228" i="1"/>
  <c r="R1228" i="1"/>
  <c r="Q1228" i="1"/>
  <c r="W1227" i="1"/>
  <c r="V1227" i="1"/>
  <c r="U1227" i="1"/>
  <c r="T1227" i="1"/>
  <c r="S1227" i="1"/>
  <c r="R1227" i="1"/>
  <c r="Q1227" i="1"/>
  <c r="W1226" i="1"/>
  <c r="V1226" i="1"/>
  <c r="U1226" i="1"/>
  <c r="T1226" i="1"/>
  <c r="S1226" i="1"/>
  <c r="R1226" i="1"/>
  <c r="Q1226" i="1"/>
  <c r="W1225" i="1"/>
  <c r="V1225" i="1"/>
  <c r="U1225" i="1"/>
  <c r="T1225" i="1"/>
  <c r="S1225" i="1"/>
  <c r="R1225" i="1"/>
  <c r="Q1225" i="1"/>
  <c r="W1224" i="1"/>
  <c r="V1224" i="1"/>
  <c r="U1224" i="1"/>
  <c r="T1224" i="1"/>
  <c r="S1224" i="1"/>
  <c r="R1224" i="1"/>
  <c r="Q1224" i="1"/>
  <c r="W1223" i="1"/>
  <c r="V1223" i="1"/>
  <c r="U1223" i="1"/>
  <c r="T1223" i="1"/>
  <c r="S1223" i="1"/>
  <c r="R1223" i="1"/>
  <c r="Q1223" i="1"/>
  <c r="W1222" i="1"/>
  <c r="V1222" i="1"/>
  <c r="U1222" i="1"/>
  <c r="T1222" i="1"/>
  <c r="S1222" i="1"/>
  <c r="R1222" i="1"/>
  <c r="Q1222" i="1"/>
  <c r="W1221" i="1"/>
  <c r="V1221" i="1"/>
  <c r="U1221" i="1"/>
  <c r="T1221" i="1"/>
  <c r="S1221" i="1"/>
  <c r="R1221" i="1"/>
  <c r="Q1221" i="1"/>
  <c r="W1220" i="1"/>
  <c r="V1220" i="1"/>
  <c r="U1220" i="1"/>
  <c r="T1220" i="1"/>
  <c r="S1220" i="1"/>
  <c r="R1220" i="1"/>
  <c r="Q1220" i="1"/>
  <c r="W1219" i="1"/>
  <c r="V1219" i="1"/>
  <c r="U1219" i="1"/>
  <c r="T1219" i="1"/>
  <c r="S1219" i="1"/>
  <c r="R1219" i="1"/>
  <c r="Q1219" i="1"/>
  <c r="W1218" i="1"/>
  <c r="V1218" i="1"/>
  <c r="U1218" i="1"/>
  <c r="T1218" i="1"/>
  <c r="S1218" i="1"/>
  <c r="R1218" i="1"/>
  <c r="Q1218" i="1"/>
  <c r="W1217" i="1"/>
  <c r="V1217" i="1"/>
  <c r="U1217" i="1"/>
  <c r="T1217" i="1"/>
  <c r="S1217" i="1"/>
  <c r="R1217" i="1"/>
  <c r="Q1217" i="1"/>
  <c r="W1216" i="1"/>
  <c r="V1216" i="1"/>
  <c r="U1216" i="1"/>
  <c r="T1216" i="1"/>
  <c r="S1216" i="1"/>
  <c r="R1216" i="1"/>
  <c r="Q1216" i="1"/>
  <c r="W1215" i="1"/>
  <c r="V1215" i="1"/>
  <c r="U1215" i="1"/>
  <c r="T1215" i="1"/>
  <c r="S1215" i="1"/>
  <c r="R1215" i="1"/>
  <c r="Q1215" i="1"/>
  <c r="W1214" i="1"/>
  <c r="V1214" i="1"/>
  <c r="U1214" i="1"/>
  <c r="T1214" i="1"/>
  <c r="S1214" i="1"/>
  <c r="R1214" i="1"/>
  <c r="Q1214" i="1"/>
  <c r="W1213" i="1"/>
  <c r="V1213" i="1"/>
  <c r="U1213" i="1"/>
  <c r="T1213" i="1"/>
  <c r="S1213" i="1"/>
  <c r="R1213" i="1"/>
  <c r="Q1213" i="1"/>
  <c r="W1212" i="1"/>
  <c r="V1212" i="1"/>
  <c r="U1212" i="1"/>
  <c r="T1212" i="1"/>
  <c r="S1212" i="1"/>
  <c r="R1212" i="1"/>
  <c r="Q1212" i="1"/>
  <c r="W1211" i="1"/>
  <c r="V1211" i="1"/>
  <c r="U1211" i="1"/>
  <c r="T1211" i="1"/>
  <c r="S1211" i="1"/>
  <c r="R1211" i="1"/>
  <c r="Q1211" i="1"/>
  <c r="W1210" i="1"/>
  <c r="V1210" i="1"/>
  <c r="U1210" i="1"/>
  <c r="T1210" i="1"/>
  <c r="S1210" i="1"/>
  <c r="R1210" i="1"/>
  <c r="Q1210" i="1"/>
  <c r="W1209" i="1"/>
  <c r="V1209" i="1"/>
  <c r="U1209" i="1"/>
  <c r="T1209" i="1"/>
  <c r="S1209" i="1"/>
  <c r="R1209" i="1"/>
  <c r="Q1209" i="1"/>
  <c r="W1208" i="1"/>
  <c r="V1208" i="1"/>
  <c r="U1208" i="1"/>
  <c r="T1208" i="1"/>
  <c r="S1208" i="1"/>
  <c r="R1208" i="1"/>
  <c r="Q1208" i="1"/>
  <c r="W1207" i="1"/>
  <c r="V1207" i="1"/>
  <c r="U1207" i="1"/>
  <c r="T1207" i="1"/>
  <c r="S1207" i="1"/>
  <c r="R1207" i="1"/>
  <c r="Q1207" i="1"/>
  <c r="W1206" i="1"/>
  <c r="V1206" i="1"/>
  <c r="U1206" i="1"/>
  <c r="T1206" i="1"/>
  <c r="S1206" i="1"/>
  <c r="R1206" i="1"/>
  <c r="Q1206" i="1"/>
  <c r="W1205" i="1"/>
  <c r="V1205" i="1"/>
  <c r="U1205" i="1"/>
  <c r="T1205" i="1"/>
  <c r="S1205" i="1"/>
  <c r="R1205" i="1"/>
  <c r="Q1205" i="1"/>
  <c r="W1204" i="1"/>
  <c r="V1204" i="1"/>
  <c r="U1204" i="1"/>
  <c r="T1204" i="1"/>
  <c r="S1204" i="1"/>
  <c r="R1204" i="1"/>
  <c r="Q1204" i="1"/>
  <c r="W1203" i="1"/>
  <c r="V1203" i="1"/>
  <c r="U1203" i="1"/>
  <c r="T1203" i="1"/>
  <c r="S1203" i="1"/>
  <c r="R1203" i="1"/>
  <c r="Q1203" i="1"/>
  <c r="W1202" i="1"/>
  <c r="V1202" i="1"/>
  <c r="U1202" i="1"/>
  <c r="T1202" i="1"/>
  <c r="S1202" i="1"/>
  <c r="R1202" i="1"/>
  <c r="Q1202" i="1"/>
  <c r="W1201" i="1"/>
  <c r="V1201" i="1"/>
  <c r="U1201" i="1"/>
  <c r="T1201" i="1"/>
  <c r="S1201" i="1"/>
  <c r="R1201" i="1"/>
  <c r="Q1201" i="1"/>
  <c r="W1200" i="1"/>
  <c r="V1200" i="1"/>
  <c r="U1200" i="1"/>
  <c r="T1200" i="1"/>
  <c r="S1200" i="1"/>
  <c r="R1200" i="1"/>
  <c r="Q1200" i="1"/>
  <c r="W1199" i="1"/>
  <c r="V1199" i="1"/>
  <c r="U1199" i="1"/>
  <c r="T1199" i="1"/>
  <c r="S1199" i="1"/>
  <c r="R1199" i="1"/>
  <c r="Q1199" i="1"/>
  <c r="W1198" i="1"/>
  <c r="V1198" i="1"/>
  <c r="U1198" i="1"/>
  <c r="T1198" i="1"/>
  <c r="S1198" i="1"/>
  <c r="R1198" i="1"/>
  <c r="Q1198" i="1"/>
  <c r="W1197" i="1"/>
  <c r="V1197" i="1"/>
  <c r="U1197" i="1"/>
  <c r="T1197" i="1"/>
  <c r="S1197" i="1"/>
  <c r="R1197" i="1"/>
  <c r="Q1197" i="1"/>
  <c r="W1196" i="1"/>
  <c r="V1196" i="1"/>
  <c r="U1196" i="1"/>
  <c r="T1196" i="1"/>
  <c r="S1196" i="1"/>
  <c r="R1196" i="1"/>
  <c r="Q1196" i="1"/>
  <c r="W1195" i="1"/>
  <c r="V1195" i="1"/>
  <c r="U1195" i="1"/>
  <c r="T1195" i="1"/>
  <c r="S1195" i="1"/>
  <c r="R1195" i="1"/>
  <c r="Q1195" i="1"/>
  <c r="W1194" i="1"/>
  <c r="V1194" i="1"/>
  <c r="U1194" i="1"/>
  <c r="T1194" i="1"/>
  <c r="S1194" i="1"/>
  <c r="R1194" i="1"/>
  <c r="Q1194" i="1"/>
  <c r="W1193" i="1"/>
  <c r="V1193" i="1"/>
  <c r="U1193" i="1"/>
  <c r="T1193" i="1"/>
  <c r="S1193" i="1"/>
  <c r="R1193" i="1"/>
  <c r="Q1193" i="1"/>
  <c r="W1192" i="1"/>
  <c r="V1192" i="1"/>
  <c r="U1192" i="1"/>
  <c r="T1192" i="1"/>
  <c r="S1192" i="1"/>
  <c r="R1192" i="1"/>
  <c r="Q1192" i="1"/>
  <c r="W1191" i="1"/>
  <c r="V1191" i="1"/>
  <c r="U1191" i="1"/>
  <c r="T1191" i="1"/>
  <c r="S1191" i="1"/>
  <c r="R1191" i="1"/>
  <c r="Q1191" i="1"/>
  <c r="W1190" i="1"/>
  <c r="V1190" i="1"/>
  <c r="U1190" i="1"/>
  <c r="T1190" i="1"/>
  <c r="S1190" i="1"/>
  <c r="R1190" i="1"/>
  <c r="Q1190" i="1"/>
  <c r="W1189" i="1"/>
  <c r="V1189" i="1"/>
  <c r="U1189" i="1"/>
  <c r="T1189" i="1"/>
  <c r="S1189" i="1"/>
  <c r="R1189" i="1"/>
  <c r="Q1189" i="1"/>
  <c r="W1188" i="1"/>
  <c r="V1188" i="1"/>
  <c r="U1188" i="1"/>
  <c r="T1188" i="1"/>
  <c r="S1188" i="1"/>
  <c r="R1188" i="1"/>
  <c r="Q1188" i="1"/>
  <c r="W1187" i="1"/>
  <c r="V1187" i="1"/>
  <c r="U1187" i="1"/>
  <c r="T1187" i="1"/>
  <c r="S1187" i="1"/>
  <c r="R1187" i="1"/>
  <c r="Q1187" i="1"/>
  <c r="W1186" i="1"/>
  <c r="V1186" i="1"/>
  <c r="U1186" i="1"/>
  <c r="T1186" i="1"/>
  <c r="S1186" i="1"/>
  <c r="R1186" i="1"/>
  <c r="Q1186" i="1"/>
  <c r="W1185" i="1"/>
  <c r="V1185" i="1"/>
  <c r="U1185" i="1"/>
  <c r="T1185" i="1"/>
  <c r="S1185" i="1"/>
  <c r="R1185" i="1"/>
  <c r="Q1185" i="1"/>
  <c r="W1184" i="1"/>
  <c r="V1184" i="1"/>
  <c r="U1184" i="1"/>
  <c r="T1184" i="1"/>
  <c r="S1184" i="1"/>
  <c r="R1184" i="1"/>
  <c r="Q1184" i="1"/>
  <c r="W1183" i="1"/>
  <c r="V1183" i="1"/>
  <c r="U1183" i="1"/>
  <c r="T1183" i="1"/>
  <c r="S1183" i="1"/>
  <c r="R1183" i="1"/>
  <c r="Q1183" i="1"/>
  <c r="W1182" i="1"/>
  <c r="V1182" i="1"/>
  <c r="U1182" i="1"/>
  <c r="T1182" i="1"/>
  <c r="S1182" i="1"/>
  <c r="R1182" i="1"/>
  <c r="Q1182" i="1"/>
  <c r="W1181" i="1"/>
  <c r="V1181" i="1"/>
  <c r="U1181" i="1"/>
  <c r="T1181" i="1"/>
  <c r="S1181" i="1"/>
  <c r="R1181" i="1"/>
  <c r="Q1181" i="1"/>
  <c r="W1180" i="1"/>
  <c r="V1180" i="1"/>
  <c r="U1180" i="1"/>
  <c r="T1180" i="1"/>
  <c r="S1180" i="1"/>
  <c r="R1180" i="1"/>
  <c r="Q1180" i="1"/>
  <c r="W1179" i="1"/>
  <c r="V1179" i="1"/>
  <c r="U1179" i="1"/>
  <c r="T1179" i="1"/>
  <c r="S1179" i="1"/>
  <c r="R1179" i="1"/>
  <c r="Q1179" i="1"/>
  <c r="W1178" i="1"/>
  <c r="V1178" i="1"/>
  <c r="U1178" i="1"/>
  <c r="T1178" i="1"/>
  <c r="S1178" i="1"/>
  <c r="R1178" i="1"/>
  <c r="Q1178" i="1"/>
  <c r="W1177" i="1"/>
  <c r="V1177" i="1"/>
  <c r="U1177" i="1"/>
  <c r="T1177" i="1"/>
  <c r="S1177" i="1"/>
  <c r="R1177" i="1"/>
  <c r="Q1177" i="1"/>
  <c r="W1176" i="1"/>
  <c r="V1176" i="1"/>
  <c r="U1176" i="1"/>
  <c r="T1176" i="1"/>
  <c r="S1176" i="1"/>
  <c r="R1176" i="1"/>
  <c r="Q1176" i="1"/>
  <c r="W1175" i="1"/>
  <c r="V1175" i="1"/>
  <c r="U1175" i="1"/>
  <c r="T1175" i="1"/>
  <c r="S1175" i="1"/>
  <c r="R1175" i="1"/>
  <c r="Q1175" i="1"/>
  <c r="W1174" i="1"/>
  <c r="V1174" i="1"/>
  <c r="U1174" i="1"/>
  <c r="T1174" i="1"/>
  <c r="S1174" i="1"/>
  <c r="R1174" i="1"/>
  <c r="Q1174" i="1"/>
  <c r="W1173" i="1"/>
  <c r="V1173" i="1"/>
  <c r="U1173" i="1"/>
  <c r="T1173" i="1"/>
  <c r="S1173" i="1"/>
  <c r="R1173" i="1"/>
  <c r="Q1173" i="1"/>
  <c r="W1172" i="1"/>
  <c r="V1172" i="1"/>
  <c r="U1172" i="1"/>
  <c r="T1172" i="1"/>
  <c r="S1172" i="1"/>
  <c r="R1172" i="1"/>
  <c r="Q1172" i="1"/>
  <c r="W1171" i="1"/>
  <c r="V1171" i="1"/>
  <c r="U1171" i="1"/>
  <c r="T1171" i="1"/>
  <c r="S1171" i="1"/>
  <c r="R1171" i="1"/>
  <c r="Q1171" i="1"/>
  <c r="W1170" i="1"/>
  <c r="V1170" i="1"/>
  <c r="U1170" i="1"/>
  <c r="T1170" i="1"/>
  <c r="S1170" i="1"/>
  <c r="R1170" i="1"/>
  <c r="Q1170" i="1"/>
  <c r="W1169" i="1"/>
  <c r="V1169" i="1"/>
  <c r="U1169" i="1"/>
  <c r="T1169" i="1"/>
  <c r="S1169" i="1"/>
  <c r="R1169" i="1"/>
  <c r="Q1169" i="1"/>
  <c r="W1168" i="1"/>
  <c r="V1168" i="1"/>
  <c r="U1168" i="1"/>
  <c r="T1168" i="1"/>
  <c r="S1168" i="1"/>
  <c r="R1168" i="1"/>
  <c r="Q1168" i="1"/>
  <c r="W1167" i="1"/>
  <c r="V1167" i="1"/>
  <c r="U1167" i="1"/>
  <c r="T1167" i="1"/>
  <c r="S1167" i="1"/>
  <c r="R1167" i="1"/>
  <c r="Q1167" i="1"/>
  <c r="W1166" i="1"/>
  <c r="V1166" i="1"/>
  <c r="U1166" i="1"/>
  <c r="T1166" i="1"/>
  <c r="S1166" i="1"/>
  <c r="R1166" i="1"/>
  <c r="Q1166" i="1"/>
  <c r="W1165" i="1"/>
  <c r="V1165" i="1"/>
  <c r="U1165" i="1"/>
  <c r="T1165" i="1"/>
  <c r="S1165" i="1"/>
  <c r="R1165" i="1"/>
  <c r="Q1165" i="1"/>
  <c r="W1164" i="1"/>
  <c r="V1164" i="1"/>
  <c r="U1164" i="1"/>
  <c r="T1164" i="1"/>
  <c r="S1164" i="1"/>
  <c r="R1164" i="1"/>
  <c r="Q1164" i="1"/>
  <c r="W1163" i="1"/>
  <c r="V1163" i="1"/>
  <c r="U1163" i="1"/>
  <c r="T1163" i="1"/>
  <c r="S1163" i="1"/>
  <c r="R1163" i="1"/>
  <c r="Q1163" i="1"/>
  <c r="W1162" i="1"/>
  <c r="V1162" i="1"/>
  <c r="U1162" i="1"/>
  <c r="T1162" i="1"/>
  <c r="S1162" i="1"/>
  <c r="R1162" i="1"/>
  <c r="Q1162" i="1"/>
  <c r="W1161" i="1"/>
  <c r="V1161" i="1"/>
  <c r="U1161" i="1"/>
  <c r="T1161" i="1"/>
  <c r="S1161" i="1"/>
  <c r="R1161" i="1"/>
  <c r="Q1161" i="1"/>
  <c r="W1160" i="1"/>
  <c r="V1160" i="1"/>
  <c r="U1160" i="1"/>
  <c r="T1160" i="1"/>
  <c r="S1160" i="1"/>
  <c r="R1160" i="1"/>
  <c r="Q1160" i="1"/>
  <c r="W1159" i="1"/>
  <c r="V1159" i="1"/>
  <c r="U1159" i="1"/>
  <c r="T1159" i="1"/>
  <c r="S1159" i="1"/>
  <c r="R1159" i="1"/>
  <c r="Q1159" i="1"/>
  <c r="W1158" i="1"/>
  <c r="V1158" i="1"/>
  <c r="U1158" i="1"/>
  <c r="T1158" i="1"/>
  <c r="S1158" i="1"/>
  <c r="R1158" i="1"/>
  <c r="Q1158" i="1"/>
  <c r="W1157" i="1"/>
  <c r="V1157" i="1"/>
  <c r="U1157" i="1"/>
  <c r="T1157" i="1"/>
  <c r="S1157" i="1"/>
  <c r="R1157" i="1"/>
  <c r="Q1157" i="1"/>
  <c r="W1156" i="1"/>
  <c r="V1156" i="1"/>
  <c r="U1156" i="1"/>
  <c r="T1156" i="1"/>
  <c r="S1156" i="1"/>
  <c r="R1156" i="1"/>
  <c r="Q1156" i="1"/>
  <c r="W1155" i="1"/>
  <c r="V1155" i="1"/>
  <c r="U1155" i="1"/>
  <c r="T1155" i="1"/>
  <c r="S1155" i="1"/>
  <c r="R1155" i="1"/>
  <c r="Q1155" i="1"/>
  <c r="W1154" i="1"/>
  <c r="V1154" i="1"/>
  <c r="U1154" i="1"/>
  <c r="T1154" i="1"/>
  <c r="S1154" i="1"/>
  <c r="R1154" i="1"/>
  <c r="Q1154" i="1"/>
  <c r="W1153" i="1"/>
  <c r="V1153" i="1"/>
  <c r="U1153" i="1"/>
  <c r="T1153" i="1"/>
  <c r="S1153" i="1"/>
  <c r="R1153" i="1"/>
  <c r="Q1153" i="1"/>
  <c r="W1152" i="1"/>
  <c r="V1152" i="1"/>
  <c r="U1152" i="1"/>
  <c r="T1152" i="1"/>
  <c r="S1152" i="1"/>
  <c r="R1152" i="1"/>
  <c r="Q1152" i="1"/>
  <c r="W1151" i="1"/>
  <c r="V1151" i="1"/>
  <c r="U1151" i="1"/>
  <c r="T1151" i="1"/>
  <c r="S1151" i="1"/>
  <c r="R1151" i="1"/>
  <c r="Q1151" i="1"/>
  <c r="W1150" i="1"/>
  <c r="V1150" i="1"/>
  <c r="U1150" i="1"/>
  <c r="T1150" i="1"/>
  <c r="S1150" i="1"/>
  <c r="R1150" i="1"/>
  <c r="Q1150" i="1"/>
  <c r="W1149" i="1"/>
  <c r="V1149" i="1"/>
  <c r="U1149" i="1"/>
  <c r="T1149" i="1"/>
  <c r="S1149" i="1"/>
  <c r="R1149" i="1"/>
  <c r="Q1149" i="1"/>
  <c r="W1148" i="1"/>
  <c r="V1148" i="1"/>
  <c r="U1148" i="1"/>
  <c r="T1148" i="1"/>
  <c r="S1148" i="1"/>
  <c r="R1148" i="1"/>
  <c r="Q1148" i="1"/>
  <c r="W1147" i="1"/>
  <c r="V1147" i="1"/>
  <c r="U1147" i="1"/>
  <c r="T1147" i="1"/>
  <c r="S1147" i="1"/>
  <c r="R1147" i="1"/>
  <c r="Q1147" i="1"/>
  <c r="W1146" i="1"/>
  <c r="V1146" i="1"/>
  <c r="U1146" i="1"/>
  <c r="T1146" i="1"/>
  <c r="S1146" i="1"/>
  <c r="R1146" i="1"/>
  <c r="Q1146" i="1"/>
  <c r="W1145" i="1"/>
  <c r="V1145" i="1"/>
  <c r="U1145" i="1"/>
  <c r="T1145" i="1"/>
  <c r="S1145" i="1"/>
  <c r="R1145" i="1"/>
  <c r="Q1145" i="1"/>
  <c r="W1144" i="1"/>
  <c r="V1144" i="1"/>
  <c r="U1144" i="1"/>
  <c r="T1144" i="1"/>
  <c r="S1144" i="1"/>
  <c r="R1144" i="1"/>
  <c r="Q1144" i="1"/>
  <c r="W1143" i="1"/>
  <c r="V1143" i="1"/>
  <c r="U1143" i="1"/>
  <c r="T1143" i="1"/>
  <c r="S1143" i="1"/>
  <c r="R1143" i="1"/>
  <c r="Q1143" i="1"/>
  <c r="W1142" i="1"/>
  <c r="V1142" i="1"/>
  <c r="U1142" i="1"/>
  <c r="T1142" i="1"/>
  <c r="S1142" i="1"/>
  <c r="R1142" i="1"/>
  <c r="Q1142" i="1"/>
  <c r="W1141" i="1"/>
  <c r="V1141" i="1"/>
  <c r="U1141" i="1"/>
  <c r="T1141" i="1"/>
  <c r="S1141" i="1"/>
  <c r="R1141" i="1"/>
  <c r="Q1141" i="1"/>
  <c r="W1140" i="1"/>
  <c r="V1140" i="1"/>
  <c r="U1140" i="1"/>
  <c r="T1140" i="1"/>
  <c r="S1140" i="1"/>
  <c r="R1140" i="1"/>
  <c r="Q1140" i="1"/>
  <c r="W1139" i="1"/>
  <c r="V1139" i="1"/>
  <c r="U1139" i="1"/>
  <c r="T1139" i="1"/>
  <c r="S1139" i="1"/>
  <c r="R1139" i="1"/>
  <c r="Q1139" i="1"/>
  <c r="W1138" i="1"/>
  <c r="V1138" i="1"/>
  <c r="U1138" i="1"/>
  <c r="T1138" i="1"/>
  <c r="S1138" i="1"/>
  <c r="R1138" i="1"/>
  <c r="Q1138" i="1"/>
  <c r="W1137" i="1"/>
  <c r="V1137" i="1"/>
  <c r="U1137" i="1"/>
  <c r="T1137" i="1"/>
  <c r="S1137" i="1"/>
  <c r="R1137" i="1"/>
  <c r="Q1137" i="1"/>
  <c r="W1136" i="1"/>
  <c r="V1136" i="1"/>
  <c r="U1136" i="1"/>
  <c r="T1136" i="1"/>
  <c r="S1136" i="1"/>
  <c r="R1136" i="1"/>
  <c r="Q1136" i="1"/>
  <c r="W1135" i="1"/>
  <c r="V1135" i="1"/>
  <c r="U1135" i="1"/>
  <c r="T1135" i="1"/>
  <c r="S1135" i="1"/>
  <c r="R1135" i="1"/>
  <c r="Q1135" i="1"/>
  <c r="W1134" i="1"/>
  <c r="V1134" i="1"/>
  <c r="U1134" i="1"/>
  <c r="T1134" i="1"/>
  <c r="S1134" i="1"/>
  <c r="R1134" i="1"/>
  <c r="Q1134" i="1"/>
  <c r="W1133" i="1"/>
  <c r="V1133" i="1"/>
  <c r="U1133" i="1"/>
  <c r="T1133" i="1"/>
  <c r="S1133" i="1"/>
  <c r="R1133" i="1"/>
  <c r="Q1133" i="1"/>
  <c r="W1132" i="1"/>
  <c r="V1132" i="1"/>
  <c r="U1132" i="1"/>
  <c r="T1132" i="1"/>
  <c r="S1132" i="1"/>
  <c r="R1132" i="1"/>
  <c r="Q1132" i="1"/>
  <c r="W1131" i="1"/>
  <c r="V1131" i="1"/>
  <c r="U1131" i="1"/>
  <c r="T1131" i="1"/>
  <c r="S1131" i="1"/>
  <c r="R1131" i="1"/>
  <c r="Q1131" i="1"/>
  <c r="W1130" i="1"/>
  <c r="V1130" i="1"/>
  <c r="U1130" i="1"/>
  <c r="T1130" i="1"/>
  <c r="S1130" i="1"/>
  <c r="R1130" i="1"/>
  <c r="Q1130" i="1"/>
  <c r="W1129" i="1"/>
  <c r="V1129" i="1"/>
  <c r="U1129" i="1"/>
  <c r="T1129" i="1"/>
  <c r="S1129" i="1"/>
  <c r="R1129" i="1"/>
  <c r="Q1129" i="1"/>
  <c r="W1128" i="1"/>
  <c r="V1128" i="1"/>
  <c r="U1128" i="1"/>
  <c r="T1128" i="1"/>
  <c r="S1128" i="1"/>
  <c r="R1128" i="1"/>
  <c r="Q1128" i="1"/>
  <c r="W1127" i="1"/>
  <c r="V1127" i="1"/>
  <c r="U1127" i="1"/>
  <c r="T1127" i="1"/>
  <c r="S1127" i="1"/>
  <c r="R1127" i="1"/>
  <c r="Q1127" i="1"/>
  <c r="W1126" i="1"/>
  <c r="V1126" i="1"/>
  <c r="U1126" i="1"/>
  <c r="T1126" i="1"/>
  <c r="S1126" i="1"/>
  <c r="R1126" i="1"/>
  <c r="Q1126" i="1"/>
  <c r="W1125" i="1"/>
  <c r="V1125" i="1"/>
  <c r="U1125" i="1"/>
  <c r="T1125" i="1"/>
  <c r="S1125" i="1"/>
  <c r="R1125" i="1"/>
  <c r="Q1125" i="1"/>
  <c r="W1124" i="1"/>
  <c r="V1124" i="1"/>
  <c r="U1124" i="1"/>
  <c r="T1124" i="1"/>
  <c r="S1124" i="1"/>
  <c r="R1124" i="1"/>
  <c r="Q1124" i="1"/>
  <c r="W1123" i="1"/>
  <c r="V1123" i="1"/>
  <c r="U1123" i="1"/>
  <c r="T1123" i="1"/>
  <c r="S1123" i="1"/>
  <c r="R1123" i="1"/>
  <c r="Q1123" i="1"/>
  <c r="W1122" i="1"/>
  <c r="V1122" i="1"/>
  <c r="U1122" i="1"/>
  <c r="T1122" i="1"/>
  <c r="S1122" i="1"/>
  <c r="R1122" i="1"/>
  <c r="Q1122" i="1"/>
  <c r="W1121" i="1"/>
  <c r="V1121" i="1"/>
  <c r="U1121" i="1"/>
  <c r="T1121" i="1"/>
  <c r="S1121" i="1"/>
  <c r="R1121" i="1"/>
  <c r="Q1121" i="1"/>
  <c r="W1120" i="1"/>
  <c r="V1120" i="1"/>
  <c r="U1120" i="1"/>
  <c r="T1120" i="1"/>
  <c r="S1120" i="1"/>
  <c r="R1120" i="1"/>
  <c r="Q1120" i="1"/>
  <c r="W1119" i="1"/>
  <c r="V1119" i="1"/>
  <c r="U1119" i="1"/>
  <c r="T1119" i="1"/>
  <c r="S1119" i="1"/>
  <c r="R1119" i="1"/>
  <c r="Q1119" i="1"/>
  <c r="W1118" i="1"/>
  <c r="V1118" i="1"/>
  <c r="U1118" i="1"/>
  <c r="T1118" i="1"/>
  <c r="S1118" i="1"/>
  <c r="R1118" i="1"/>
  <c r="Q1118" i="1"/>
  <c r="W1117" i="1"/>
  <c r="V1117" i="1"/>
  <c r="U1117" i="1"/>
  <c r="T1117" i="1"/>
  <c r="S1117" i="1"/>
  <c r="R1117" i="1"/>
  <c r="Q1117" i="1"/>
  <c r="W1116" i="1"/>
  <c r="V1116" i="1"/>
  <c r="U1116" i="1"/>
  <c r="T1116" i="1"/>
  <c r="S1116" i="1"/>
  <c r="R1116" i="1"/>
  <c r="Q1116" i="1"/>
  <c r="W1115" i="1"/>
  <c r="V1115" i="1"/>
  <c r="U1115" i="1"/>
  <c r="T1115" i="1"/>
  <c r="S1115" i="1"/>
  <c r="R1115" i="1"/>
  <c r="Q1115" i="1"/>
  <c r="W1114" i="1"/>
  <c r="V1114" i="1"/>
  <c r="U1114" i="1"/>
  <c r="T1114" i="1"/>
  <c r="S1114" i="1"/>
  <c r="R1114" i="1"/>
  <c r="Q1114" i="1"/>
  <c r="W1113" i="1"/>
  <c r="V1113" i="1"/>
  <c r="U1113" i="1"/>
  <c r="T1113" i="1"/>
  <c r="S1113" i="1"/>
  <c r="R1113" i="1"/>
  <c r="Q1113" i="1"/>
  <c r="W1112" i="1"/>
  <c r="V1112" i="1"/>
  <c r="U1112" i="1"/>
  <c r="T1112" i="1"/>
  <c r="S1112" i="1"/>
  <c r="R1112" i="1"/>
  <c r="Q1112" i="1"/>
  <c r="W1111" i="1"/>
  <c r="V1111" i="1"/>
  <c r="U1111" i="1"/>
  <c r="T1111" i="1"/>
  <c r="S1111" i="1"/>
  <c r="R1111" i="1"/>
  <c r="Q1111" i="1"/>
  <c r="W1110" i="1"/>
  <c r="V1110" i="1"/>
  <c r="U1110" i="1"/>
  <c r="T1110" i="1"/>
  <c r="S1110" i="1"/>
  <c r="R1110" i="1"/>
  <c r="Q1110" i="1"/>
  <c r="W1109" i="1"/>
  <c r="V1109" i="1"/>
  <c r="U1109" i="1"/>
  <c r="T1109" i="1"/>
  <c r="S1109" i="1"/>
  <c r="R1109" i="1"/>
  <c r="Q1109" i="1"/>
  <c r="W1108" i="1"/>
  <c r="V1108" i="1"/>
  <c r="U1108" i="1"/>
  <c r="T1108" i="1"/>
  <c r="S1108" i="1"/>
  <c r="R1108" i="1"/>
  <c r="Q1108" i="1"/>
  <c r="W1107" i="1"/>
  <c r="V1107" i="1"/>
  <c r="U1107" i="1"/>
  <c r="T1107" i="1"/>
  <c r="S1107" i="1"/>
  <c r="R1107" i="1"/>
  <c r="Q1107" i="1"/>
  <c r="W1106" i="1"/>
  <c r="V1106" i="1"/>
  <c r="U1106" i="1"/>
  <c r="T1106" i="1"/>
  <c r="S1106" i="1"/>
  <c r="R1106" i="1"/>
  <c r="Q1106" i="1"/>
  <c r="W1105" i="1"/>
  <c r="V1105" i="1"/>
  <c r="U1105" i="1"/>
  <c r="T1105" i="1"/>
  <c r="S1105" i="1"/>
  <c r="R1105" i="1"/>
  <c r="Q1105" i="1"/>
  <c r="W1104" i="1"/>
  <c r="V1104" i="1"/>
  <c r="U1104" i="1"/>
  <c r="T1104" i="1"/>
  <c r="S1104" i="1"/>
  <c r="R1104" i="1"/>
  <c r="Q1104" i="1"/>
  <c r="W1103" i="1"/>
  <c r="V1103" i="1"/>
  <c r="U1103" i="1"/>
  <c r="T1103" i="1"/>
  <c r="S1103" i="1"/>
  <c r="R1103" i="1"/>
  <c r="Q1103" i="1"/>
  <c r="W1102" i="1"/>
  <c r="V1102" i="1"/>
  <c r="U1102" i="1"/>
  <c r="T1102" i="1"/>
  <c r="S1102" i="1"/>
  <c r="R1102" i="1"/>
  <c r="Q1102" i="1"/>
  <c r="W1101" i="1"/>
  <c r="V1101" i="1"/>
  <c r="U1101" i="1"/>
  <c r="T1101" i="1"/>
  <c r="S1101" i="1"/>
  <c r="R1101" i="1"/>
  <c r="Q1101" i="1"/>
  <c r="W1100" i="1"/>
  <c r="V1100" i="1"/>
  <c r="U1100" i="1"/>
  <c r="T1100" i="1"/>
  <c r="S1100" i="1"/>
  <c r="R1100" i="1"/>
  <c r="Q1100" i="1"/>
  <c r="W1099" i="1"/>
  <c r="V1099" i="1"/>
  <c r="U1099" i="1"/>
  <c r="T1099" i="1"/>
  <c r="S1099" i="1"/>
  <c r="R1099" i="1"/>
  <c r="Q1099" i="1"/>
  <c r="W1098" i="1"/>
  <c r="V1098" i="1"/>
  <c r="U1098" i="1"/>
  <c r="T1098" i="1"/>
  <c r="S1098" i="1"/>
  <c r="R1098" i="1"/>
  <c r="Q1098" i="1"/>
  <c r="W1097" i="1"/>
  <c r="V1097" i="1"/>
  <c r="U1097" i="1"/>
  <c r="T1097" i="1"/>
  <c r="S1097" i="1"/>
  <c r="R1097" i="1"/>
  <c r="Q1097" i="1"/>
  <c r="W1096" i="1"/>
  <c r="V1096" i="1"/>
  <c r="U1096" i="1"/>
  <c r="T1096" i="1"/>
  <c r="S1096" i="1"/>
  <c r="R1096" i="1"/>
  <c r="Q1096" i="1"/>
  <c r="W1095" i="1"/>
  <c r="V1095" i="1"/>
  <c r="U1095" i="1"/>
  <c r="T1095" i="1"/>
  <c r="S1095" i="1"/>
  <c r="R1095" i="1"/>
  <c r="Q1095" i="1"/>
  <c r="W1094" i="1"/>
  <c r="V1094" i="1"/>
  <c r="U1094" i="1"/>
  <c r="T1094" i="1"/>
  <c r="S1094" i="1"/>
  <c r="R1094" i="1"/>
  <c r="Q1094" i="1"/>
  <c r="W1093" i="1"/>
  <c r="V1093" i="1"/>
  <c r="U1093" i="1"/>
  <c r="T1093" i="1"/>
  <c r="S1093" i="1"/>
  <c r="R1093" i="1"/>
  <c r="Q1093" i="1"/>
  <c r="W1092" i="1"/>
  <c r="V1092" i="1"/>
  <c r="U1092" i="1"/>
  <c r="T1092" i="1"/>
  <c r="S1092" i="1"/>
  <c r="R1092" i="1"/>
  <c r="Q1092" i="1"/>
  <c r="W1091" i="1"/>
  <c r="V1091" i="1"/>
  <c r="U1091" i="1"/>
  <c r="T1091" i="1"/>
  <c r="S1091" i="1"/>
  <c r="R1091" i="1"/>
  <c r="Q1091" i="1"/>
  <c r="W1090" i="1"/>
  <c r="V1090" i="1"/>
  <c r="U1090" i="1"/>
  <c r="T1090" i="1"/>
  <c r="S1090" i="1"/>
  <c r="R1090" i="1"/>
  <c r="Q1090" i="1"/>
  <c r="W1089" i="1"/>
  <c r="V1089" i="1"/>
  <c r="U1089" i="1"/>
  <c r="T1089" i="1"/>
  <c r="S1089" i="1"/>
  <c r="R1089" i="1"/>
  <c r="Q1089" i="1"/>
  <c r="W1088" i="1"/>
  <c r="V1088" i="1"/>
  <c r="U1088" i="1"/>
  <c r="T1088" i="1"/>
  <c r="S1088" i="1"/>
  <c r="R1088" i="1"/>
  <c r="Q1088" i="1"/>
  <c r="W1087" i="1"/>
  <c r="V1087" i="1"/>
  <c r="U1087" i="1"/>
  <c r="T1087" i="1"/>
  <c r="S1087" i="1"/>
  <c r="R1087" i="1"/>
  <c r="Q1087" i="1"/>
  <c r="W1086" i="1"/>
  <c r="V1086" i="1"/>
  <c r="U1086" i="1"/>
  <c r="T1086" i="1"/>
  <c r="S1086" i="1"/>
  <c r="R1086" i="1"/>
  <c r="Q1086" i="1"/>
  <c r="W1085" i="1"/>
  <c r="V1085" i="1"/>
  <c r="U1085" i="1"/>
  <c r="T1085" i="1"/>
  <c r="S1085" i="1"/>
  <c r="R1085" i="1"/>
  <c r="Q1085" i="1"/>
  <c r="W1084" i="1"/>
  <c r="V1084" i="1"/>
  <c r="U1084" i="1"/>
  <c r="T1084" i="1"/>
  <c r="S1084" i="1"/>
  <c r="R1084" i="1"/>
  <c r="Q1084" i="1"/>
  <c r="W1083" i="1"/>
  <c r="V1083" i="1"/>
  <c r="U1083" i="1"/>
  <c r="T1083" i="1"/>
  <c r="S1083" i="1"/>
  <c r="R1083" i="1"/>
  <c r="Q1083" i="1"/>
  <c r="W1082" i="1"/>
  <c r="V1082" i="1"/>
  <c r="U1082" i="1"/>
  <c r="T1082" i="1"/>
  <c r="S1082" i="1"/>
  <c r="R1082" i="1"/>
  <c r="Q1082" i="1"/>
  <c r="W1081" i="1"/>
  <c r="V1081" i="1"/>
  <c r="U1081" i="1"/>
  <c r="T1081" i="1"/>
  <c r="S1081" i="1"/>
  <c r="R1081" i="1"/>
  <c r="Q1081" i="1"/>
  <c r="W1080" i="1"/>
  <c r="V1080" i="1"/>
  <c r="U1080" i="1"/>
  <c r="T1080" i="1"/>
  <c r="S1080" i="1"/>
  <c r="R1080" i="1"/>
  <c r="Q1080" i="1"/>
  <c r="W1079" i="1"/>
  <c r="V1079" i="1"/>
  <c r="U1079" i="1"/>
  <c r="T1079" i="1"/>
  <c r="S1079" i="1"/>
  <c r="R1079" i="1"/>
  <c r="Q1079" i="1"/>
  <c r="W1078" i="1"/>
  <c r="V1078" i="1"/>
  <c r="U1078" i="1"/>
  <c r="T1078" i="1"/>
  <c r="S1078" i="1"/>
  <c r="R1078" i="1"/>
  <c r="Q1078" i="1"/>
  <c r="W1077" i="1"/>
  <c r="V1077" i="1"/>
  <c r="U1077" i="1"/>
  <c r="T1077" i="1"/>
  <c r="S1077" i="1"/>
  <c r="R1077" i="1"/>
  <c r="Q1077" i="1"/>
  <c r="W1076" i="1"/>
  <c r="V1076" i="1"/>
  <c r="U1076" i="1"/>
  <c r="T1076" i="1"/>
  <c r="S1076" i="1"/>
  <c r="R1076" i="1"/>
  <c r="Q1076" i="1"/>
  <c r="W1075" i="1"/>
  <c r="V1075" i="1"/>
  <c r="U1075" i="1"/>
  <c r="T1075" i="1"/>
  <c r="S1075" i="1"/>
  <c r="R1075" i="1"/>
  <c r="Q1075" i="1"/>
  <c r="W1074" i="1"/>
  <c r="V1074" i="1"/>
  <c r="U1074" i="1"/>
  <c r="T1074" i="1"/>
  <c r="S1074" i="1"/>
  <c r="R1074" i="1"/>
  <c r="Q1074" i="1"/>
  <c r="W1073" i="1"/>
  <c r="V1073" i="1"/>
  <c r="U1073" i="1"/>
  <c r="T1073" i="1"/>
  <c r="S1073" i="1"/>
  <c r="R1073" i="1"/>
  <c r="Q1073" i="1"/>
  <c r="W1072" i="1"/>
  <c r="V1072" i="1"/>
  <c r="U1072" i="1"/>
  <c r="T1072" i="1"/>
  <c r="S1072" i="1"/>
  <c r="R1072" i="1"/>
  <c r="Q1072" i="1"/>
  <c r="W1071" i="1"/>
  <c r="V1071" i="1"/>
  <c r="U1071" i="1"/>
  <c r="T1071" i="1"/>
  <c r="S1071" i="1"/>
  <c r="R1071" i="1"/>
  <c r="Q1071" i="1"/>
  <c r="W1070" i="1"/>
  <c r="V1070" i="1"/>
  <c r="U1070" i="1"/>
  <c r="T1070" i="1"/>
  <c r="S1070" i="1"/>
  <c r="R1070" i="1"/>
  <c r="Q1070" i="1"/>
  <c r="W1069" i="1"/>
  <c r="V1069" i="1"/>
  <c r="U1069" i="1"/>
  <c r="T1069" i="1"/>
  <c r="S1069" i="1"/>
  <c r="R1069" i="1"/>
  <c r="Q1069" i="1"/>
  <c r="W1068" i="1"/>
  <c r="V1068" i="1"/>
  <c r="U1068" i="1"/>
  <c r="T1068" i="1"/>
  <c r="S1068" i="1"/>
  <c r="R1068" i="1"/>
  <c r="Q1068" i="1"/>
  <c r="W1067" i="1"/>
  <c r="V1067" i="1"/>
  <c r="U1067" i="1"/>
  <c r="T1067" i="1"/>
  <c r="S1067" i="1"/>
  <c r="R1067" i="1"/>
  <c r="Q1067" i="1"/>
  <c r="W1066" i="1"/>
  <c r="V1066" i="1"/>
  <c r="U1066" i="1"/>
  <c r="T1066" i="1"/>
  <c r="S1066" i="1"/>
  <c r="R1066" i="1"/>
  <c r="Q1066" i="1"/>
  <c r="W1065" i="1"/>
  <c r="V1065" i="1"/>
  <c r="U1065" i="1"/>
  <c r="T1065" i="1"/>
  <c r="S1065" i="1"/>
  <c r="R1065" i="1"/>
  <c r="Q1065" i="1"/>
  <c r="W1064" i="1"/>
  <c r="V1064" i="1"/>
  <c r="U1064" i="1"/>
  <c r="T1064" i="1"/>
  <c r="S1064" i="1"/>
  <c r="R1064" i="1"/>
  <c r="Q1064" i="1"/>
  <c r="W1063" i="1"/>
  <c r="V1063" i="1"/>
  <c r="U1063" i="1"/>
  <c r="T1063" i="1"/>
  <c r="S1063" i="1"/>
  <c r="R1063" i="1"/>
  <c r="Q1063" i="1"/>
  <c r="W1062" i="1"/>
  <c r="V1062" i="1"/>
  <c r="U1062" i="1"/>
  <c r="T1062" i="1"/>
  <c r="S1062" i="1"/>
  <c r="R1062" i="1"/>
  <c r="Q1062" i="1"/>
  <c r="W1061" i="1"/>
  <c r="V1061" i="1"/>
  <c r="U1061" i="1"/>
  <c r="T1061" i="1"/>
  <c r="S1061" i="1"/>
  <c r="R1061" i="1"/>
  <c r="Q1061" i="1"/>
  <c r="W1060" i="1"/>
  <c r="V1060" i="1"/>
  <c r="U1060" i="1"/>
  <c r="T1060" i="1"/>
  <c r="S1060" i="1"/>
  <c r="R1060" i="1"/>
  <c r="Q1060" i="1"/>
  <c r="W1059" i="1"/>
  <c r="V1059" i="1"/>
  <c r="U1059" i="1"/>
  <c r="T1059" i="1"/>
  <c r="S1059" i="1"/>
  <c r="R1059" i="1"/>
  <c r="Q1059" i="1"/>
  <c r="W1058" i="1"/>
  <c r="V1058" i="1"/>
  <c r="U1058" i="1"/>
  <c r="T1058" i="1"/>
  <c r="S1058" i="1"/>
  <c r="R1058" i="1"/>
  <c r="Q1058" i="1"/>
  <c r="W1057" i="1"/>
  <c r="V1057" i="1"/>
  <c r="U1057" i="1"/>
  <c r="T1057" i="1"/>
  <c r="S1057" i="1"/>
  <c r="R1057" i="1"/>
  <c r="Q1057" i="1"/>
  <c r="W1056" i="1"/>
  <c r="V1056" i="1"/>
  <c r="U1056" i="1"/>
  <c r="T1056" i="1"/>
  <c r="S1056" i="1"/>
  <c r="R1056" i="1"/>
  <c r="Q1056" i="1"/>
  <c r="W1055" i="1"/>
  <c r="V1055" i="1"/>
  <c r="U1055" i="1"/>
  <c r="T1055" i="1"/>
  <c r="S1055" i="1"/>
  <c r="R1055" i="1"/>
  <c r="Q1055" i="1"/>
  <c r="W1054" i="1"/>
  <c r="V1054" i="1"/>
  <c r="U1054" i="1"/>
  <c r="T1054" i="1"/>
  <c r="S1054" i="1"/>
  <c r="R1054" i="1"/>
  <c r="Q1054" i="1"/>
  <c r="W1053" i="1"/>
  <c r="V1053" i="1"/>
  <c r="U1053" i="1"/>
  <c r="T1053" i="1"/>
  <c r="S1053" i="1"/>
  <c r="R1053" i="1"/>
  <c r="Q1053" i="1"/>
  <c r="W1052" i="1"/>
  <c r="V1052" i="1"/>
  <c r="U1052" i="1"/>
  <c r="T1052" i="1"/>
  <c r="S1052" i="1"/>
  <c r="R1052" i="1"/>
  <c r="Q1052" i="1"/>
  <c r="W1051" i="1"/>
  <c r="V1051" i="1"/>
  <c r="U1051" i="1"/>
  <c r="T1051" i="1"/>
  <c r="S1051" i="1"/>
  <c r="R1051" i="1"/>
  <c r="Q1051" i="1"/>
  <c r="W1050" i="1"/>
  <c r="V1050" i="1"/>
  <c r="U1050" i="1"/>
  <c r="T1050" i="1"/>
  <c r="S1050" i="1"/>
  <c r="R1050" i="1"/>
  <c r="Q1050" i="1"/>
  <c r="W1049" i="1"/>
  <c r="V1049" i="1"/>
  <c r="U1049" i="1"/>
  <c r="T1049" i="1"/>
  <c r="S1049" i="1"/>
  <c r="R1049" i="1"/>
  <c r="Q1049" i="1"/>
  <c r="W1048" i="1"/>
  <c r="V1048" i="1"/>
  <c r="U1048" i="1"/>
  <c r="T1048" i="1"/>
  <c r="S1048" i="1"/>
  <c r="R1048" i="1"/>
  <c r="Q1048" i="1"/>
  <c r="W1047" i="1"/>
  <c r="V1047" i="1"/>
  <c r="U1047" i="1"/>
  <c r="T1047" i="1"/>
  <c r="S1047" i="1"/>
  <c r="R1047" i="1"/>
  <c r="Q1047" i="1"/>
  <c r="W1046" i="1"/>
  <c r="V1046" i="1"/>
  <c r="U1046" i="1"/>
  <c r="T1046" i="1"/>
  <c r="S1046" i="1"/>
  <c r="R1046" i="1"/>
  <c r="Q1046" i="1"/>
  <c r="W1045" i="1"/>
  <c r="V1045" i="1"/>
  <c r="U1045" i="1"/>
  <c r="T1045" i="1"/>
  <c r="S1045" i="1"/>
  <c r="R1045" i="1"/>
  <c r="Q1045" i="1"/>
  <c r="W1044" i="1"/>
  <c r="V1044" i="1"/>
  <c r="U1044" i="1"/>
  <c r="T1044" i="1"/>
  <c r="S1044" i="1"/>
  <c r="R1044" i="1"/>
  <c r="Q1044" i="1"/>
  <c r="W1043" i="1"/>
  <c r="V1043" i="1"/>
  <c r="U1043" i="1"/>
  <c r="T1043" i="1"/>
  <c r="S1043" i="1"/>
  <c r="R1043" i="1"/>
  <c r="Q1043" i="1"/>
  <c r="W1042" i="1"/>
  <c r="V1042" i="1"/>
  <c r="U1042" i="1"/>
  <c r="T1042" i="1"/>
  <c r="S1042" i="1"/>
  <c r="R1042" i="1"/>
  <c r="Q1042" i="1"/>
  <c r="W1041" i="1"/>
  <c r="V1041" i="1"/>
  <c r="U1041" i="1"/>
  <c r="T1041" i="1"/>
  <c r="S1041" i="1"/>
  <c r="R1041" i="1"/>
  <c r="Q1041" i="1"/>
  <c r="W1040" i="1"/>
  <c r="V1040" i="1"/>
  <c r="U1040" i="1"/>
  <c r="T1040" i="1"/>
  <c r="S1040" i="1"/>
  <c r="R1040" i="1"/>
  <c r="Q1040" i="1"/>
  <c r="W1039" i="1"/>
  <c r="V1039" i="1"/>
  <c r="U1039" i="1"/>
  <c r="T1039" i="1"/>
  <c r="S1039" i="1"/>
  <c r="R1039" i="1"/>
  <c r="Q1039" i="1"/>
  <c r="W1038" i="1"/>
  <c r="V1038" i="1"/>
  <c r="U1038" i="1"/>
  <c r="T1038" i="1"/>
  <c r="S1038" i="1"/>
  <c r="R1038" i="1"/>
  <c r="Q1038" i="1"/>
  <c r="W1037" i="1"/>
  <c r="V1037" i="1"/>
  <c r="U1037" i="1"/>
  <c r="T1037" i="1"/>
  <c r="S1037" i="1"/>
  <c r="R1037" i="1"/>
  <c r="Q1037" i="1"/>
  <c r="W1036" i="1"/>
  <c r="V1036" i="1"/>
  <c r="U1036" i="1"/>
  <c r="T1036" i="1"/>
  <c r="S1036" i="1"/>
  <c r="R1036" i="1"/>
  <c r="Q1036" i="1"/>
  <c r="W1035" i="1"/>
  <c r="V1035" i="1"/>
  <c r="U1035" i="1"/>
  <c r="T1035" i="1"/>
  <c r="S1035" i="1"/>
  <c r="R1035" i="1"/>
  <c r="Q1035" i="1"/>
  <c r="W1034" i="1"/>
  <c r="V1034" i="1"/>
  <c r="U1034" i="1"/>
  <c r="T1034" i="1"/>
  <c r="S1034" i="1"/>
  <c r="R1034" i="1"/>
  <c r="Q1034" i="1"/>
  <c r="W1033" i="1"/>
  <c r="V1033" i="1"/>
  <c r="U1033" i="1"/>
  <c r="T1033" i="1"/>
  <c r="S1033" i="1"/>
  <c r="R1033" i="1"/>
  <c r="Q1033" i="1"/>
  <c r="W1032" i="1"/>
  <c r="V1032" i="1"/>
  <c r="U1032" i="1"/>
  <c r="T1032" i="1"/>
  <c r="S1032" i="1"/>
  <c r="R1032" i="1"/>
  <c r="Q1032" i="1"/>
  <c r="W1031" i="1"/>
  <c r="V1031" i="1"/>
  <c r="U1031" i="1"/>
  <c r="T1031" i="1"/>
  <c r="S1031" i="1"/>
  <c r="R1031" i="1"/>
  <c r="Q1031" i="1"/>
  <c r="W1030" i="1"/>
  <c r="V1030" i="1"/>
  <c r="U1030" i="1"/>
  <c r="T1030" i="1"/>
  <c r="S1030" i="1"/>
  <c r="R1030" i="1"/>
  <c r="Q1030" i="1"/>
  <c r="W1029" i="1"/>
  <c r="V1029" i="1"/>
  <c r="U1029" i="1"/>
  <c r="T1029" i="1"/>
  <c r="S1029" i="1"/>
  <c r="R1029" i="1"/>
  <c r="Q1029" i="1"/>
  <c r="W1028" i="1"/>
  <c r="V1028" i="1"/>
  <c r="U1028" i="1"/>
  <c r="T1028" i="1"/>
  <c r="S1028" i="1"/>
  <c r="R1028" i="1"/>
  <c r="Q1028" i="1"/>
  <c r="W1027" i="1"/>
  <c r="V1027" i="1"/>
  <c r="U1027" i="1"/>
  <c r="T1027" i="1"/>
  <c r="S1027" i="1"/>
  <c r="R1027" i="1"/>
  <c r="Q1027" i="1"/>
  <c r="W1026" i="1"/>
  <c r="V1026" i="1"/>
  <c r="U1026" i="1"/>
  <c r="T1026" i="1"/>
  <c r="S1026" i="1"/>
  <c r="R1026" i="1"/>
  <c r="Q1026" i="1"/>
  <c r="W1025" i="1"/>
  <c r="V1025" i="1"/>
  <c r="U1025" i="1"/>
  <c r="T1025" i="1"/>
  <c r="S1025" i="1"/>
  <c r="R1025" i="1"/>
  <c r="Q1025" i="1"/>
  <c r="W1024" i="1"/>
  <c r="V1024" i="1"/>
  <c r="U1024" i="1"/>
  <c r="T1024" i="1"/>
  <c r="S1024" i="1"/>
  <c r="R1024" i="1"/>
  <c r="Q1024" i="1"/>
  <c r="W1023" i="1"/>
  <c r="V1023" i="1"/>
  <c r="U1023" i="1"/>
  <c r="T1023" i="1"/>
  <c r="S1023" i="1"/>
  <c r="R1023" i="1"/>
  <c r="Q1023" i="1"/>
  <c r="W1022" i="1"/>
  <c r="V1022" i="1"/>
  <c r="U1022" i="1"/>
  <c r="T1022" i="1"/>
  <c r="S1022" i="1"/>
  <c r="R1022" i="1"/>
  <c r="Q1022" i="1"/>
  <c r="W1021" i="1"/>
  <c r="V1021" i="1"/>
  <c r="U1021" i="1"/>
  <c r="T1021" i="1"/>
  <c r="S1021" i="1"/>
  <c r="R1021" i="1"/>
  <c r="Q1021" i="1"/>
  <c r="W1020" i="1"/>
  <c r="V1020" i="1"/>
  <c r="U1020" i="1"/>
  <c r="T1020" i="1"/>
  <c r="S1020" i="1"/>
  <c r="R1020" i="1"/>
  <c r="Q1020" i="1"/>
  <c r="W1019" i="1"/>
  <c r="V1019" i="1"/>
  <c r="U1019" i="1"/>
  <c r="T1019" i="1"/>
  <c r="S1019" i="1"/>
  <c r="R1019" i="1"/>
  <c r="Q1019" i="1"/>
  <c r="W1018" i="1"/>
  <c r="V1018" i="1"/>
  <c r="U1018" i="1"/>
  <c r="T1018" i="1"/>
  <c r="S1018" i="1"/>
  <c r="R1018" i="1"/>
  <c r="Q1018" i="1"/>
  <c r="W1017" i="1"/>
  <c r="V1017" i="1"/>
  <c r="U1017" i="1"/>
  <c r="T1017" i="1"/>
  <c r="S1017" i="1"/>
  <c r="R1017" i="1"/>
  <c r="Q1017" i="1"/>
  <c r="W1016" i="1"/>
  <c r="V1016" i="1"/>
  <c r="U1016" i="1"/>
  <c r="T1016" i="1"/>
  <c r="S1016" i="1"/>
  <c r="R1016" i="1"/>
  <c r="Q1016" i="1"/>
  <c r="W1015" i="1"/>
  <c r="V1015" i="1"/>
  <c r="U1015" i="1"/>
  <c r="T1015" i="1"/>
  <c r="S1015" i="1"/>
  <c r="R1015" i="1"/>
  <c r="Q1015" i="1"/>
  <c r="W1014" i="1"/>
  <c r="V1014" i="1"/>
  <c r="U1014" i="1"/>
  <c r="T1014" i="1"/>
  <c r="S1014" i="1"/>
  <c r="R1014" i="1"/>
  <c r="Q1014" i="1"/>
  <c r="W1013" i="1"/>
  <c r="V1013" i="1"/>
  <c r="U1013" i="1"/>
  <c r="T1013" i="1"/>
  <c r="S1013" i="1"/>
  <c r="R1013" i="1"/>
  <c r="Q1013" i="1"/>
  <c r="W1012" i="1"/>
  <c r="V1012" i="1"/>
  <c r="U1012" i="1"/>
  <c r="T1012" i="1"/>
  <c r="S1012" i="1"/>
  <c r="R1012" i="1"/>
  <c r="Q1012" i="1"/>
  <c r="W1011" i="1"/>
  <c r="V1011" i="1"/>
  <c r="U1011" i="1"/>
  <c r="T1011" i="1"/>
  <c r="S1011" i="1"/>
  <c r="R1011" i="1"/>
  <c r="Q1011" i="1"/>
  <c r="W1010" i="1"/>
  <c r="V1010" i="1"/>
  <c r="U1010" i="1"/>
  <c r="T1010" i="1"/>
  <c r="S1010" i="1"/>
  <c r="R1010" i="1"/>
  <c r="Q1010" i="1"/>
  <c r="W1009" i="1"/>
  <c r="V1009" i="1"/>
  <c r="U1009" i="1"/>
  <c r="T1009" i="1"/>
  <c r="S1009" i="1"/>
  <c r="R1009" i="1"/>
  <c r="Q1009" i="1"/>
  <c r="W1008" i="1"/>
  <c r="V1008" i="1"/>
  <c r="U1008" i="1"/>
  <c r="T1008" i="1"/>
  <c r="S1008" i="1"/>
  <c r="R1008" i="1"/>
  <c r="Q1008" i="1"/>
  <c r="W1007" i="1"/>
  <c r="V1007" i="1"/>
  <c r="U1007" i="1"/>
  <c r="T1007" i="1"/>
  <c r="S1007" i="1"/>
  <c r="R1007" i="1"/>
  <c r="Q1007" i="1"/>
  <c r="W1006" i="1"/>
  <c r="V1006" i="1"/>
  <c r="U1006" i="1"/>
  <c r="T1006" i="1"/>
  <c r="S1006" i="1"/>
  <c r="R1006" i="1"/>
  <c r="Q1006" i="1"/>
  <c r="W1005" i="1"/>
  <c r="V1005" i="1"/>
  <c r="U1005" i="1"/>
  <c r="T1005" i="1"/>
  <c r="S1005" i="1"/>
  <c r="R1005" i="1"/>
  <c r="Q1005" i="1"/>
  <c r="W1004" i="1"/>
  <c r="V1004" i="1"/>
  <c r="U1004" i="1"/>
  <c r="T1004" i="1"/>
  <c r="S1004" i="1"/>
  <c r="R1004" i="1"/>
  <c r="Q1004" i="1"/>
  <c r="W1003" i="1"/>
  <c r="V1003" i="1"/>
  <c r="U1003" i="1"/>
  <c r="T1003" i="1"/>
  <c r="S1003" i="1"/>
  <c r="R1003" i="1"/>
  <c r="Q1003" i="1"/>
  <c r="W1002" i="1"/>
  <c r="V1002" i="1"/>
  <c r="U1002" i="1"/>
  <c r="T1002" i="1"/>
  <c r="S1002" i="1"/>
  <c r="R1002" i="1"/>
  <c r="Q1002" i="1"/>
  <c r="W1001" i="1"/>
  <c r="V1001" i="1"/>
  <c r="U1001" i="1"/>
  <c r="T1001" i="1"/>
  <c r="S1001" i="1"/>
  <c r="R1001" i="1"/>
  <c r="Q1001" i="1"/>
  <c r="W1000" i="1"/>
  <c r="V1000" i="1"/>
  <c r="U1000" i="1"/>
  <c r="T1000" i="1"/>
  <c r="S1000" i="1"/>
  <c r="R1000" i="1"/>
  <c r="Q1000" i="1"/>
  <c r="W999" i="1"/>
  <c r="V999" i="1"/>
  <c r="U999" i="1"/>
  <c r="T999" i="1"/>
  <c r="S999" i="1"/>
  <c r="R999" i="1"/>
  <c r="Q999" i="1"/>
  <c r="W998" i="1"/>
  <c r="V998" i="1"/>
  <c r="U998" i="1"/>
  <c r="T998" i="1"/>
  <c r="S998" i="1"/>
  <c r="R998" i="1"/>
  <c r="Q998" i="1"/>
  <c r="W997" i="1"/>
  <c r="V997" i="1"/>
  <c r="U997" i="1"/>
  <c r="T997" i="1"/>
  <c r="S997" i="1"/>
  <c r="R997" i="1"/>
  <c r="Q997" i="1"/>
  <c r="W996" i="1"/>
  <c r="V996" i="1"/>
  <c r="U996" i="1"/>
  <c r="T996" i="1"/>
  <c r="S996" i="1"/>
  <c r="R996" i="1"/>
  <c r="Q996" i="1"/>
  <c r="W995" i="1"/>
  <c r="V995" i="1"/>
  <c r="U995" i="1"/>
  <c r="T995" i="1"/>
  <c r="S995" i="1"/>
  <c r="R995" i="1"/>
  <c r="Q995" i="1"/>
  <c r="W994" i="1"/>
  <c r="V994" i="1"/>
  <c r="U994" i="1"/>
  <c r="T994" i="1"/>
  <c r="S994" i="1"/>
  <c r="R994" i="1"/>
  <c r="Q994" i="1"/>
  <c r="W993" i="1"/>
  <c r="V993" i="1"/>
  <c r="U993" i="1"/>
  <c r="T993" i="1"/>
  <c r="S993" i="1"/>
  <c r="R993" i="1"/>
  <c r="Q993" i="1"/>
  <c r="W992" i="1"/>
  <c r="V992" i="1"/>
  <c r="U992" i="1"/>
  <c r="T992" i="1"/>
  <c r="S992" i="1"/>
  <c r="R992" i="1"/>
  <c r="Q992" i="1"/>
  <c r="W991" i="1"/>
  <c r="V991" i="1"/>
  <c r="U991" i="1"/>
  <c r="T991" i="1"/>
  <c r="S991" i="1"/>
  <c r="R991" i="1"/>
  <c r="Q991" i="1"/>
  <c r="W990" i="1"/>
  <c r="V990" i="1"/>
  <c r="U990" i="1"/>
  <c r="T990" i="1"/>
  <c r="S990" i="1"/>
  <c r="R990" i="1"/>
  <c r="Q990" i="1"/>
  <c r="W989" i="1"/>
  <c r="V989" i="1"/>
  <c r="U989" i="1"/>
  <c r="T989" i="1"/>
  <c r="S989" i="1"/>
  <c r="R989" i="1"/>
  <c r="Q989" i="1"/>
  <c r="W988" i="1"/>
  <c r="V988" i="1"/>
  <c r="U988" i="1"/>
  <c r="T988" i="1"/>
  <c r="S988" i="1"/>
  <c r="R988" i="1"/>
  <c r="Q988" i="1"/>
  <c r="W987" i="1"/>
  <c r="V987" i="1"/>
  <c r="U987" i="1"/>
  <c r="T987" i="1"/>
  <c r="S987" i="1"/>
  <c r="R987" i="1"/>
  <c r="Q987" i="1"/>
  <c r="W986" i="1"/>
  <c r="V986" i="1"/>
  <c r="U986" i="1"/>
  <c r="T986" i="1"/>
  <c r="S986" i="1"/>
  <c r="R986" i="1"/>
  <c r="Q986" i="1"/>
  <c r="W985" i="1"/>
  <c r="V985" i="1"/>
  <c r="U985" i="1"/>
  <c r="T985" i="1"/>
  <c r="S985" i="1"/>
  <c r="R985" i="1"/>
  <c r="Q985" i="1"/>
  <c r="W984" i="1"/>
  <c r="V984" i="1"/>
  <c r="U984" i="1"/>
  <c r="T984" i="1"/>
  <c r="S984" i="1"/>
  <c r="R984" i="1"/>
  <c r="Q984" i="1"/>
  <c r="W983" i="1"/>
  <c r="V983" i="1"/>
  <c r="U983" i="1"/>
  <c r="T983" i="1"/>
  <c r="S983" i="1"/>
  <c r="R983" i="1"/>
  <c r="Q983" i="1"/>
  <c r="W982" i="1"/>
  <c r="V982" i="1"/>
  <c r="U982" i="1"/>
  <c r="T982" i="1"/>
  <c r="S982" i="1"/>
  <c r="R982" i="1"/>
  <c r="Q982" i="1"/>
  <c r="W981" i="1"/>
  <c r="V981" i="1"/>
  <c r="U981" i="1"/>
  <c r="T981" i="1"/>
  <c r="S981" i="1"/>
  <c r="R981" i="1"/>
  <c r="Q981" i="1"/>
  <c r="W980" i="1"/>
  <c r="V980" i="1"/>
  <c r="U980" i="1"/>
  <c r="T980" i="1"/>
  <c r="S980" i="1"/>
  <c r="R980" i="1"/>
  <c r="Q980" i="1"/>
  <c r="W979" i="1"/>
  <c r="V979" i="1"/>
  <c r="U979" i="1"/>
  <c r="T979" i="1"/>
  <c r="S979" i="1"/>
  <c r="R979" i="1"/>
  <c r="Q979" i="1"/>
  <c r="W978" i="1"/>
  <c r="V978" i="1"/>
  <c r="U978" i="1"/>
  <c r="T978" i="1"/>
  <c r="S978" i="1"/>
  <c r="R978" i="1"/>
  <c r="Q978" i="1"/>
  <c r="W977" i="1"/>
  <c r="V977" i="1"/>
  <c r="U977" i="1"/>
  <c r="T977" i="1"/>
  <c r="S977" i="1"/>
  <c r="R977" i="1"/>
  <c r="Q977" i="1"/>
  <c r="W976" i="1"/>
  <c r="V976" i="1"/>
  <c r="U976" i="1"/>
  <c r="T976" i="1"/>
  <c r="S976" i="1"/>
  <c r="R976" i="1"/>
  <c r="Q976" i="1"/>
  <c r="W975" i="1"/>
  <c r="V975" i="1"/>
  <c r="U975" i="1"/>
  <c r="T975" i="1"/>
  <c r="S975" i="1"/>
  <c r="R975" i="1"/>
  <c r="Q975" i="1"/>
  <c r="W974" i="1"/>
  <c r="V974" i="1"/>
  <c r="U974" i="1"/>
  <c r="T974" i="1"/>
  <c r="S974" i="1"/>
  <c r="R974" i="1"/>
  <c r="Q974" i="1"/>
  <c r="W973" i="1"/>
  <c r="V973" i="1"/>
  <c r="U973" i="1"/>
  <c r="T973" i="1"/>
  <c r="S973" i="1"/>
  <c r="R973" i="1"/>
  <c r="Q973" i="1"/>
  <c r="W972" i="1"/>
  <c r="V972" i="1"/>
  <c r="U972" i="1"/>
  <c r="T972" i="1"/>
  <c r="S972" i="1"/>
  <c r="R972" i="1"/>
  <c r="Q972" i="1"/>
  <c r="W971" i="1"/>
  <c r="V971" i="1"/>
  <c r="U971" i="1"/>
  <c r="T971" i="1"/>
  <c r="S971" i="1"/>
  <c r="R971" i="1"/>
  <c r="Q971" i="1"/>
  <c r="W970" i="1"/>
  <c r="V970" i="1"/>
  <c r="U970" i="1"/>
  <c r="T970" i="1"/>
  <c r="S970" i="1"/>
  <c r="R970" i="1"/>
  <c r="Q970" i="1"/>
  <c r="W969" i="1"/>
  <c r="V969" i="1"/>
  <c r="U969" i="1"/>
  <c r="T969" i="1"/>
  <c r="S969" i="1"/>
  <c r="R969" i="1"/>
  <c r="Q969" i="1"/>
  <c r="W968" i="1"/>
  <c r="V968" i="1"/>
  <c r="U968" i="1"/>
  <c r="T968" i="1"/>
  <c r="S968" i="1"/>
  <c r="R968" i="1"/>
  <c r="Q968" i="1"/>
  <c r="W967" i="1"/>
  <c r="V967" i="1"/>
  <c r="U967" i="1"/>
  <c r="T967" i="1"/>
  <c r="S967" i="1"/>
  <c r="R967" i="1"/>
  <c r="Q967" i="1"/>
  <c r="W966" i="1"/>
  <c r="V966" i="1"/>
  <c r="U966" i="1"/>
  <c r="T966" i="1"/>
  <c r="S966" i="1"/>
  <c r="R966" i="1"/>
  <c r="Q966" i="1"/>
  <c r="W965" i="1"/>
  <c r="V965" i="1"/>
  <c r="U965" i="1"/>
  <c r="T965" i="1"/>
  <c r="S965" i="1"/>
  <c r="R965" i="1"/>
  <c r="Q965" i="1"/>
  <c r="W964" i="1"/>
  <c r="V964" i="1"/>
  <c r="U964" i="1"/>
  <c r="T964" i="1"/>
  <c r="S964" i="1"/>
  <c r="R964" i="1"/>
  <c r="Q964" i="1"/>
  <c r="W963" i="1"/>
  <c r="V963" i="1"/>
  <c r="U963" i="1"/>
  <c r="T963" i="1"/>
  <c r="S963" i="1"/>
  <c r="R963" i="1"/>
  <c r="Q963" i="1"/>
  <c r="W962" i="1"/>
  <c r="V962" i="1"/>
  <c r="U962" i="1"/>
  <c r="T962" i="1"/>
  <c r="S962" i="1"/>
  <c r="R962" i="1"/>
  <c r="Q962" i="1"/>
  <c r="W961" i="1"/>
  <c r="V961" i="1"/>
  <c r="U961" i="1"/>
  <c r="T961" i="1"/>
  <c r="S961" i="1"/>
  <c r="R961" i="1"/>
  <c r="Q961" i="1"/>
  <c r="W960" i="1"/>
  <c r="V960" i="1"/>
  <c r="U960" i="1"/>
  <c r="T960" i="1"/>
  <c r="S960" i="1"/>
  <c r="R960" i="1"/>
  <c r="Q960" i="1"/>
  <c r="W959" i="1"/>
  <c r="V959" i="1"/>
  <c r="U959" i="1"/>
  <c r="T959" i="1"/>
  <c r="S959" i="1"/>
  <c r="R959" i="1"/>
  <c r="Q959" i="1"/>
  <c r="W958" i="1"/>
  <c r="V958" i="1"/>
  <c r="U958" i="1"/>
  <c r="T958" i="1"/>
  <c r="S958" i="1"/>
  <c r="R958" i="1"/>
  <c r="Q958" i="1"/>
  <c r="W957" i="1"/>
  <c r="V957" i="1"/>
  <c r="U957" i="1"/>
  <c r="T957" i="1"/>
  <c r="S957" i="1"/>
  <c r="R957" i="1"/>
  <c r="Q957" i="1"/>
  <c r="W956" i="1"/>
  <c r="V956" i="1"/>
  <c r="U956" i="1"/>
  <c r="T956" i="1"/>
  <c r="S956" i="1"/>
  <c r="R956" i="1"/>
  <c r="Q956" i="1"/>
  <c r="W955" i="1"/>
  <c r="V955" i="1"/>
  <c r="U955" i="1"/>
  <c r="T955" i="1"/>
  <c r="S955" i="1"/>
  <c r="R955" i="1"/>
  <c r="Q955" i="1"/>
  <c r="W954" i="1"/>
  <c r="V954" i="1"/>
  <c r="U954" i="1"/>
  <c r="T954" i="1"/>
  <c r="S954" i="1"/>
  <c r="R954" i="1"/>
  <c r="Q954" i="1"/>
  <c r="W953" i="1"/>
  <c r="V953" i="1"/>
  <c r="U953" i="1"/>
  <c r="T953" i="1"/>
  <c r="S953" i="1"/>
  <c r="R953" i="1"/>
  <c r="Q953" i="1"/>
  <c r="W952" i="1"/>
  <c r="V952" i="1"/>
  <c r="U952" i="1"/>
  <c r="T952" i="1"/>
  <c r="S952" i="1"/>
  <c r="R952" i="1"/>
  <c r="Q952" i="1"/>
  <c r="W951" i="1"/>
  <c r="V951" i="1"/>
  <c r="U951" i="1"/>
  <c r="T951" i="1"/>
  <c r="S951" i="1"/>
  <c r="R951" i="1"/>
  <c r="Q951" i="1"/>
  <c r="W950" i="1"/>
  <c r="V950" i="1"/>
  <c r="U950" i="1"/>
  <c r="T950" i="1"/>
  <c r="S950" i="1"/>
  <c r="R950" i="1"/>
  <c r="Q950" i="1"/>
  <c r="W949" i="1"/>
  <c r="V949" i="1"/>
  <c r="U949" i="1"/>
  <c r="T949" i="1"/>
  <c r="S949" i="1"/>
  <c r="R949" i="1"/>
  <c r="Q949" i="1"/>
  <c r="W948" i="1"/>
  <c r="V948" i="1"/>
  <c r="U948" i="1"/>
  <c r="T948" i="1"/>
  <c r="S948" i="1"/>
  <c r="R948" i="1"/>
  <c r="Q948" i="1"/>
  <c r="W947" i="1"/>
  <c r="V947" i="1"/>
  <c r="U947" i="1"/>
  <c r="T947" i="1"/>
  <c r="S947" i="1"/>
  <c r="R947" i="1"/>
  <c r="Q947" i="1"/>
  <c r="W946" i="1"/>
  <c r="V946" i="1"/>
  <c r="U946" i="1"/>
  <c r="T946" i="1"/>
  <c r="S946" i="1"/>
  <c r="R946" i="1"/>
  <c r="Q946" i="1"/>
  <c r="W945" i="1"/>
  <c r="V945" i="1"/>
  <c r="U945" i="1"/>
  <c r="T945" i="1"/>
  <c r="S945" i="1"/>
  <c r="R945" i="1"/>
  <c r="Q945" i="1"/>
  <c r="W944" i="1"/>
  <c r="V944" i="1"/>
  <c r="U944" i="1"/>
  <c r="T944" i="1"/>
  <c r="S944" i="1"/>
  <c r="R944" i="1"/>
  <c r="Q944" i="1"/>
  <c r="W943" i="1"/>
  <c r="V943" i="1"/>
  <c r="U943" i="1"/>
  <c r="T943" i="1"/>
  <c r="S943" i="1"/>
  <c r="R943" i="1"/>
  <c r="Q943" i="1"/>
  <c r="W942" i="1"/>
  <c r="V942" i="1"/>
  <c r="U942" i="1"/>
  <c r="T942" i="1"/>
  <c r="S942" i="1"/>
  <c r="R942" i="1"/>
  <c r="Q942" i="1"/>
  <c r="W941" i="1"/>
  <c r="V941" i="1"/>
  <c r="U941" i="1"/>
  <c r="T941" i="1"/>
  <c r="S941" i="1"/>
  <c r="R941" i="1"/>
  <c r="Q941" i="1"/>
  <c r="W940" i="1"/>
  <c r="V940" i="1"/>
  <c r="U940" i="1"/>
  <c r="T940" i="1"/>
  <c r="S940" i="1"/>
  <c r="R940" i="1"/>
  <c r="Q940" i="1"/>
  <c r="W939" i="1"/>
  <c r="V939" i="1"/>
  <c r="U939" i="1"/>
  <c r="T939" i="1"/>
  <c r="S939" i="1"/>
  <c r="R939" i="1"/>
  <c r="Q939" i="1"/>
  <c r="W938" i="1"/>
  <c r="V938" i="1"/>
  <c r="U938" i="1"/>
  <c r="T938" i="1"/>
  <c r="S938" i="1"/>
  <c r="R938" i="1"/>
  <c r="Q938" i="1"/>
  <c r="W937" i="1"/>
  <c r="V937" i="1"/>
  <c r="U937" i="1"/>
  <c r="T937" i="1"/>
  <c r="S937" i="1"/>
  <c r="R937" i="1"/>
  <c r="Q937" i="1"/>
  <c r="W936" i="1"/>
  <c r="V936" i="1"/>
  <c r="U936" i="1"/>
  <c r="T936" i="1"/>
  <c r="S936" i="1"/>
  <c r="R936" i="1"/>
  <c r="Q936" i="1"/>
  <c r="W935" i="1"/>
  <c r="V935" i="1"/>
  <c r="U935" i="1"/>
  <c r="T935" i="1"/>
  <c r="S935" i="1"/>
  <c r="R935" i="1"/>
  <c r="Q935" i="1"/>
  <c r="W934" i="1"/>
  <c r="V934" i="1"/>
  <c r="U934" i="1"/>
  <c r="T934" i="1"/>
  <c r="S934" i="1"/>
  <c r="R934" i="1"/>
  <c r="Q934" i="1"/>
  <c r="W933" i="1"/>
  <c r="V933" i="1"/>
  <c r="U933" i="1"/>
  <c r="T933" i="1"/>
  <c r="S933" i="1"/>
  <c r="R933" i="1"/>
  <c r="Q933" i="1"/>
  <c r="W932" i="1"/>
  <c r="V932" i="1"/>
  <c r="U932" i="1"/>
  <c r="T932" i="1"/>
  <c r="S932" i="1"/>
  <c r="R932" i="1"/>
  <c r="Q932" i="1"/>
  <c r="W931" i="1"/>
  <c r="V931" i="1"/>
  <c r="U931" i="1"/>
  <c r="T931" i="1"/>
  <c r="S931" i="1"/>
  <c r="R931" i="1"/>
  <c r="Q931" i="1"/>
  <c r="W930" i="1"/>
  <c r="V930" i="1"/>
  <c r="U930" i="1"/>
  <c r="T930" i="1"/>
  <c r="S930" i="1"/>
  <c r="R930" i="1"/>
  <c r="Q930" i="1"/>
  <c r="W929" i="1"/>
  <c r="V929" i="1"/>
  <c r="U929" i="1"/>
  <c r="T929" i="1"/>
  <c r="S929" i="1"/>
  <c r="R929" i="1"/>
  <c r="Q929" i="1"/>
  <c r="W928" i="1"/>
  <c r="V928" i="1"/>
  <c r="U928" i="1"/>
  <c r="T928" i="1"/>
  <c r="S928" i="1"/>
  <c r="R928" i="1"/>
  <c r="Q928" i="1"/>
  <c r="W927" i="1"/>
  <c r="V927" i="1"/>
  <c r="U927" i="1"/>
  <c r="T927" i="1"/>
  <c r="S927" i="1"/>
  <c r="R927" i="1"/>
  <c r="Q927" i="1"/>
  <c r="W926" i="1"/>
  <c r="V926" i="1"/>
  <c r="U926" i="1"/>
  <c r="T926" i="1"/>
  <c r="S926" i="1"/>
  <c r="R926" i="1"/>
  <c r="Q926" i="1"/>
  <c r="W925" i="1"/>
  <c r="V925" i="1"/>
  <c r="U925" i="1"/>
  <c r="T925" i="1"/>
  <c r="S925" i="1"/>
  <c r="R925" i="1"/>
  <c r="Q925" i="1"/>
  <c r="W924" i="1"/>
  <c r="V924" i="1"/>
  <c r="U924" i="1"/>
  <c r="T924" i="1"/>
  <c r="S924" i="1"/>
  <c r="R924" i="1"/>
  <c r="Q924" i="1"/>
  <c r="W923" i="1"/>
  <c r="V923" i="1"/>
  <c r="U923" i="1"/>
  <c r="T923" i="1"/>
  <c r="S923" i="1"/>
  <c r="R923" i="1"/>
  <c r="Q923" i="1"/>
  <c r="W922" i="1"/>
  <c r="V922" i="1"/>
  <c r="U922" i="1"/>
  <c r="T922" i="1"/>
  <c r="S922" i="1"/>
  <c r="R922" i="1"/>
  <c r="Q922" i="1"/>
  <c r="W921" i="1"/>
  <c r="V921" i="1"/>
  <c r="U921" i="1"/>
  <c r="T921" i="1"/>
  <c r="S921" i="1"/>
  <c r="R921" i="1"/>
  <c r="Q921" i="1"/>
  <c r="W920" i="1"/>
  <c r="V920" i="1"/>
  <c r="U920" i="1"/>
  <c r="T920" i="1"/>
  <c r="S920" i="1"/>
  <c r="R920" i="1"/>
  <c r="Q920" i="1"/>
  <c r="W919" i="1"/>
  <c r="V919" i="1"/>
  <c r="U919" i="1"/>
  <c r="T919" i="1"/>
  <c r="S919" i="1"/>
  <c r="R919" i="1"/>
  <c r="Q919" i="1"/>
  <c r="W918" i="1"/>
  <c r="V918" i="1"/>
  <c r="U918" i="1"/>
  <c r="T918" i="1"/>
  <c r="S918" i="1"/>
  <c r="R918" i="1"/>
  <c r="Q918" i="1"/>
  <c r="W917" i="1"/>
  <c r="V917" i="1"/>
  <c r="U917" i="1"/>
  <c r="T917" i="1"/>
  <c r="S917" i="1"/>
  <c r="R917" i="1"/>
  <c r="Q917" i="1"/>
  <c r="W916" i="1"/>
  <c r="V916" i="1"/>
  <c r="U916" i="1"/>
  <c r="T916" i="1"/>
  <c r="S916" i="1"/>
  <c r="R916" i="1"/>
  <c r="Q916" i="1"/>
  <c r="W915" i="1"/>
  <c r="V915" i="1"/>
  <c r="U915" i="1"/>
  <c r="T915" i="1"/>
  <c r="S915" i="1"/>
  <c r="R915" i="1"/>
  <c r="Q915" i="1"/>
  <c r="W914" i="1"/>
  <c r="V914" i="1"/>
  <c r="U914" i="1"/>
  <c r="T914" i="1"/>
  <c r="S914" i="1"/>
  <c r="R914" i="1"/>
  <c r="Q914" i="1"/>
  <c r="W913" i="1"/>
  <c r="V913" i="1"/>
  <c r="U913" i="1"/>
  <c r="T913" i="1"/>
  <c r="S913" i="1"/>
  <c r="R913" i="1"/>
  <c r="Q913" i="1"/>
  <c r="W912" i="1"/>
  <c r="V912" i="1"/>
  <c r="U912" i="1"/>
  <c r="T912" i="1"/>
  <c r="S912" i="1"/>
  <c r="R912" i="1"/>
  <c r="Q912" i="1"/>
  <c r="W911" i="1"/>
  <c r="V911" i="1"/>
  <c r="U911" i="1"/>
  <c r="T911" i="1"/>
  <c r="S911" i="1"/>
  <c r="R911" i="1"/>
  <c r="Q911" i="1"/>
  <c r="W910" i="1"/>
  <c r="V910" i="1"/>
  <c r="U910" i="1"/>
  <c r="T910" i="1"/>
  <c r="S910" i="1"/>
  <c r="R910" i="1"/>
  <c r="Q910" i="1"/>
  <c r="W909" i="1"/>
  <c r="V909" i="1"/>
  <c r="U909" i="1"/>
  <c r="T909" i="1"/>
  <c r="S909" i="1"/>
  <c r="R909" i="1"/>
  <c r="Q909" i="1"/>
  <c r="W908" i="1"/>
  <c r="V908" i="1"/>
  <c r="U908" i="1"/>
  <c r="T908" i="1"/>
  <c r="S908" i="1"/>
  <c r="R908" i="1"/>
  <c r="Q908" i="1"/>
  <c r="W907" i="1"/>
  <c r="V907" i="1"/>
  <c r="U907" i="1"/>
  <c r="T907" i="1"/>
  <c r="S907" i="1"/>
  <c r="R907" i="1"/>
  <c r="Q907" i="1"/>
  <c r="W906" i="1"/>
  <c r="V906" i="1"/>
  <c r="U906" i="1"/>
  <c r="T906" i="1"/>
  <c r="S906" i="1"/>
  <c r="R906" i="1"/>
  <c r="Q906" i="1"/>
  <c r="W905" i="1"/>
  <c r="V905" i="1"/>
  <c r="U905" i="1"/>
  <c r="T905" i="1"/>
  <c r="S905" i="1"/>
  <c r="R905" i="1"/>
  <c r="Q905" i="1"/>
  <c r="W904" i="1"/>
  <c r="V904" i="1"/>
  <c r="U904" i="1"/>
  <c r="T904" i="1"/>
  <c r="S904" i="1"/>
  <c r="R904" i="1"/>
  <c r="Q904" i="1"/>
  <c r="W903" i="1"/>
  <c r="V903" i="1"/>
  <c r="U903" i="1"/>
  <c r="T903" i="1"/>
  <c r="S903" i="1"/>
  <c r="R903" i="1"/>
  <c r="Q903" i="1"/>
  <c r="W902" i="1"/>
  <c r="V902" i="1"/>
  <c r="U902" i="1"/>
  <c r="T902" i="1"/>
  <c r="S902" i="1"/>
  <c r="R902" i="1"/>
  <c r="Q902" i="1"/>
  <c r="W901" i="1"/>
  <c r="V901" i="1"/>
  <c r="U901" i="1"/>
  <c r="T901" i="1"/>
  <c r="S901" i="1"/>
  <c r="R901" i="1"/>
  <c r="Q901" i="1"/>
  <c r="W900" i="1"/>
  <c r="V900" i="1"/>
  <c r="U900" i="1"/>
  <c r="T900" i="1"/>
  <c r="S900" i="1"/>
  <c r="R900" i="1"/>
  <c r="Q900" i="1"/>
  <c r="W899" i="1"/>
  <c r="V899" i="1"/>
  <c r="U899" i="1"/>
  <c r="T899" i="1"/>
  <c r="S899" i="1"/>
  <c r="R899" i="1"/>
  <c r="Q899" i="1"/>
  <c r="W898" i="1"/>
  <c r="V898" i="1"/>
  <c r="U898" i="1"/>
  <c r="T898" i="1"/>
  <c r="S898" i="1"/>
  <c r="R898" i="1"/>
  <c r="Q898" i="1"/>
  <c r="W897" i="1"/>
  <c r="V897" i="1"/>
  <c r="U897" i="1"/>
  <c r="T897" i="1"/>
  <c r="S897" i="1"/>
  <c r="R897" i="1"/>
  <c r="Q897" i="1"/>
  <c r="W896" i="1"/>
  <c r="V896" i="1"/>
  <c r="U896" i="1"/>
  <c r="T896" i="1"/>
  <c r="S896" i="1"/>
  <c r="R896" i="1"/>
  <c r="Q896" i="1"/>
  <c r="W895" i="1"/>
  <c r="V895" i="1"/>
  <c r="U895" i="1"/>
  <c r="T895" i="1"/>
  <c r="S895" i="1"/>
  <c r="R895" i="1"/>
  <c r="Q895" i="1"/>
  <c r="W894" i="1"/>
  <c r="V894" i="1"/>
  <c r="U894" i="1"/>
  <c r="T894" i="1"/>
  <c r="S894" i="1"/>
  <c r="R894" i="1"/>
  <c r="Q894" i="1"/>
  <c r="W893" i="1"/>
  <c r="V893" i="1"/>
  <c r="U893" i="1"/>
  <c r="T893" i="1"/>
  <c r="S893" i="1"/>
  <c r="R893" i="1"/>
  <c r="Q893" i="1"/>
  <c r="W892" i="1"/>
  <c r="V892" i="1"/>
  <c r="U892" i="1"/>
  <c r="T892" i="1"/>
  <c r="S892" i="1"/>
  <c r="R892" i="1"/>
  <c r="Q892" i="1"/>
  <c r="W891" i="1"/>
  <c r="V891" i="1"/>
  <c r="U891" i="1"/>
  <c r="T891" i="1"/>
  <c r="S891" i="1"/>
  <c r="R891" i="1"/>
  <c r="Q891" i="1"/>
  <c r="W890" i="1"/>
  <c r="V890" i="1"/>
  <c r="U890" i="1"/>
  <c r="T890" i="1"/>
  <c r="S890" i="1"/>
  <c r="R890" i="1"/>
  <c r="Q890" i="1"/>
  <c r="W889" i="1"/>
  <c r="V889" i="1"/>
  <c r="U889" i="1"/>
  <c r="T889" i="1"/>
  <c r="S889" i="1"/>
  <c r="R889" i="1"/>
  <c r="Q889" i="1"/>
  <c r="W888" i="1"/>
  <c r="V888" i="1"/>
  <c r="U888" i="1"/>
  <c r="T888" i="1"/>
  <c r="S888" i="1"/>
  <c r="R888" i="1"/>
  <c r="Q888" i="1"/>
  <c r="W887" i="1"/>
  <c r="V887" i="1"/>
  <c r="U887" i="1"/>
  <c r="T887" i="1"/>
  <c r="S887" i="1"/>
  <c r="R887" i="1"/>
  <c r="Q887" i="1"/>
  <c r="W886" i="1"/>
  <c r="V886" i="1"/>
  <c r="U886" i="1"/>
  <c r="T886" i="1"/>
  <c r="S886" i="1"/>
  <c r="R886" i="1"/>
  <c r="Q886" i="1"/>
  <c r="W885" i="1"/>
  <c r="V885" i="1"/>
  <c r="U885" i="1"/>
  <c r="T885" i="1"/>
  <c r="S885" i="1"/>
  <c r="R885" i="1"/>
  <c r="Q885" i="1"/>
  <c r="W884" i="1"/>
  <c r="V884" i="1"/>
  <c r="U884" i="1"/>
  <c r="T884" i="1"/>
  <c r="S884" i="1"/>
  <c r="R884" i="1"/>
  <c r="Q884" i="1"/>
  <c r="W883" i="1"/>
  <c r="V883" i="1"/>
  <c r="U883" i="1"/>
  <c r="T883" i="1"/>
  <c r="S883" i="1"/>
  <c r="R883" i="1"/>
  <c r="Q883" i="1"/>
  <c r="W882" i="1"/>
  <c r="V882" i="1"/>
  <c r="U882" i="1"/>
  <c r="T882" i="1"/>
  <c r="S882" i="1"/>
  <c r="R882" i="1"/>
  <c r="Q882" i="1"/>
  <c r="W881" i="1"/>
  <c r="V881" i="1"/>
  <c r="U881" i="1"/>
  <c r="T881" i="1"/>
  <c r="S881" i="1"/>
  <c r="R881" i="1"/>
  <c r="Q881" i="1"/>
  <c r="W880" i="1"/>
  <c r="V880" i="1"/>
  <c r="U880" i="1"/>
  <c r="T880" i="1"/>
  <c r="S880" i="1"/>
  <c r="R880" i="1"/>
  <c r="Q880" i="1"/>
  <c r="W879" i="1"/>
  <c r="V879" i="1"/>
  <c r="U879" i="1"/>
  <c r="T879" i="1"/>
  <c r="S879" i="1"/>
  <c r="R879" i="1"/>
  <c r="Q879" i="1"/>
  <c r="W878" i="1"/>
  <c r="V878" i="1"/>
  <c r="U878" i="1"/>
  <c r="T878" i="1"/>
  <c r="S878" i="1"/>
  <c r="R878" i="1"/>
  <c r="Q878" i="1"/>
  <c r="W877" i="1"/>
  <c r="V877" i="1"/>
  <c r="U877" i="1"/>
  <c r="T877" i="1"/>
  <c r="S877" i="1"/>
  <c r="R877" i="1"/>
  <c r="Q877" i="1"/>
  <c r="W876" i="1"/>
  <c r="V876" i="1"/>
  <c r="U876" i="1"/>
  <c r="T876" i="1"/>
  <c r="S876" i="1"/>
  <c r="R876" i="1"/>
  <c r="Q876" i="1"/>
  <c r="W875" i="1"/>
  <c r="V875" i="1"/>
  <c r="U875" i="1"/>
  <c r="T875" i="1"/>
  <c r="S875" i="1"/>
  <c r="R875" i="1"/>
  <c r="Q875" i="1"/>
  <c r="W874" i="1"/>
  <c r="V874" i="1"/>
  <c r="U874" i="1"/>
  <c r="T874" i="1"/>
  <c r="S874" i="1"/>
  <c r="R874" i="1"/>
  <c r="Q874" i="1"/>
  <c r="W873" i="1"/>
  <c r="V873" i="1"/>
  <c r="U873" i="1"/>
  <c r="T873" i="1"/>
  <c r="S873" i="1"/>
  <c r="R873" i="1"/>
  <c r="Q873" i="1"/>
  <c r="W872" i="1"/>
  <c r="V872" i="1"/>
  <c r="U872" i="1"/>
  <c r="T872" i="1"/>
  <c r="S872" i="1"/>
  <c r="R872" i="1"/>
  <c r="Q872" i="1"/>
  <c r="W871" i="1"/>
  <c r="V871" i="1"/>
  <c r="U871" i="1"/>
  <c r="T871" i="1"/>
  <c r="S871" i="1"/>
  <c r="R871" i="1"/>
  <c r="Q871" i="1"/>
  <c r="W870" i="1"/>
  <c r="V870" i="1"/>
  <c r="U870" i="1"/>
  <c r="T870" i="1"/>
  <c r="S870" i="1"/>
  <c r="R870" i="1"/>
  <c r="Q870" i="1"/>
  <c r="W869" i="1"/>
  <c r="V869" i="1"/>
  <c r="U869" i="1"/>
  <c r="T869" i="1"/>
  <c r="S869" i="1"/>
  <c r="R869" i="1"/>
  <c r="Q869" i="1"/>
  <c r="W868" i="1"/>
  <c r="V868" i="1"/>
  <c r="U868" i="1"/>
  <c r="T868" i="1"/>
  <c r="S868" i="1"/>
  <c r="R868" i="1"/>
  <c r="Q868" i="1"/>
  <c r="W867" i="1"/>
  <c r="V867" i="1"/>
  <c r="U867" i="1"/>
  <c r="T867" i="1"/>
  <c r="S867" i="1"/>
  <c r="R867" i="1"/>
  <c r="Q867" i="1"/>
  <c r="W866" i="1"/>
  <c r="V866" i="1"/>
  <c r="U866" i="1"/>
  <c r="T866" i="1"/>
  <c r="S866" i="1"/>
  <c r="R866" i="1"/>
  <c r="Q866" i="1"/>
  <c r="W865" i="1"/>
  <c r="V865" i="1"/>
  <c r="U865" i="1"/>
  <c r="T865" i="1"/>
  <c r="S865" i="1"/>
  <c r="R865" i="1"/>
  <c r="Q865" i="1"/>
  <c r="W864" i="1"/>
  <c r="V864" i="1"/>
  <c r="U864" i="1"/>
  <c r="T864" i="1"/>
  <c r="S864" i="1"/>
  <c r="R864" i="1"/>
  <c r="Q864" i="1"/>
  <c r="W863" i="1"/>
  <c r="V863" i="1"/>
  <c r="U863" i="1"/>
  <c r="T863" i="1"/>
  <c r="S863" i="1"/>
  <c r="R863" i="1"/>
  <c r="Q863" i="1"/>
  <c r="W862" i="1"/>
  <c r="V862" i="1"/>
  <c r="U862" i="1"/>
  <c r="T862" i="1"/>
  <c r="S862" i="1"/>
  <c r="R862" i="1"/>
  <c r="Q862" i="1"/>
  <c r="W861" i="1"/>
  <c r="V861" i="1"/>
  <c r="U861" i="1"/>
  <c r="T861" i="1"/>
  <c r="S861" i="1"/>
  <c r="R861" i="1"/>
  <c r="Q861" i="1"/>
  <c r="W860" i="1"/>
  <c r="V860" i="1"/>
  <c r="U860" i="1"/>
  <c r="T860" i="1"/>
  <c r="S860" i="1"/>
  <c r="R860" i="1"/>
  <c r="Q860" i="1"/>
  <c r="W859" i="1"/>
  <c r="V859" i="1"/>
  <c r="U859" i="1"/>
  <c r="T859" i="1"/>
  <c r="S859" i="1"/>
  <c r="R859" i="1"/>
  <c r="Q859" i="1"/>
  <c r="W858" i="1"/>
  <c r="V858" i="1"/>
  <c r="U858" i="1"/>
  <c r="T858" i="1"/>
  <c r="S858" i="1"/>
  <c r="R858" i="1"/>
  <c r="Q858" i="1"/>
  <c r="W857" i="1"/>
  <c r="V857" i="1"/>
  <c r="U857" i="1"/>
  <c r="T857" i="1"/>
  <c r="S857" i="1"/>
  <c r="R857" i="1"/>
  <c r="Q857" i="1"/>
  <c r="W856" i="1"/>
  <c r="V856" i="1"/>
  <c r="U856" i="1"/>
  <c r="T856" i="1"/>
  <c r="S856" i="1"/>
  <c r="R856" i="1"/>
  <c r="Q856" i="1"/>
  <c r="W855" i="1"/>
  <c r="V855" i="1"/>
  <c r="U855" i="1"/>
  <c r="T855" i="1"/>
  <c r="S855" i="1"/>
  <c r="R855" i="1"/>
  <c r="Q855" i="1"/>
  <c r="W854" i="1"/>
  <c r="V854" i="1"/>
  <c r="U854" i="1"/>
  <c r="T854" i="1"/>
  <c r="S854" i="1"/>
  <c r="R854" i="1"/>
  <c r="Q854" i="1"/>
  <c r="W853" i="1"/>
  <c r="V853" i="1"/>
  <c r="U853" i="1"/>
  <c r="T853" i="1"/>
  <c r="S853" i="1"/>
  <c r="R853" i="1"/>
  <c r="Q853" i="1"/>
  <c r="W852" i="1"/>
  <c r="V852" i="1"/>
  <c r="U852" i="1"/>
  <c r="T852" i="1"/>
  <c r="S852" i="1"/>
  <c r="R852" i="1"/>
  <c r="Q852" i="1"/>
  <c r="W851" i="1"/>
  <c r="V851" i="1"/>
  <c r="U851" i="1"/>
  <c r="T851" i="1"/>
  <c r="S851" i="1"/>
  <c r="R851" i="1"/>
  <c r="Q851" i="1"/>
  <c r="W850" i="1"/>
  <c r="V850" i="1"/>
  <c r="U850" i="1"/>
  <c r="T850" i="1"/>
  <c r="S850" i="1"/>
  <c r="R850" i="1"/>
  <c r="Q850" i="1"/>
  <c r="W849" i="1"/>
  <c r="V849" i="1"/>
  <c r="U849" i="1"/>
  <c r="T849" i="1"/>
  <c r="S849" i="1"/>
  <c r="R849" i="1"/>
  <c r="Q849" i="1"/>
  <c r="W848" i="1"/>
  <c r="V848" i="1"/>
  <c r="U848" i="1"/>
  <c r="T848" i="1"/>
  <c r="S848" i="1"/>
  <c r="R848" i="1"/>
  <c r="Q848" i="1"/>
  <c r="W847" i="1"/>
  <c r="V847" i="1"/>
  <c r="U847" i="1"/>
  <c r="T847" i="1"/>
  <c r="S847" i="1"/>
  <c r="R847" i="1"/>
  <c r="Q847" i="1"/>
  <c r="W846" i="1"/>
  <c r="V846" i="1"/>
  <c r="U846" i="1"/>
  <c r="T846" i="1"/>
  <c r="S846" i="1"/>
  <c r="R846" i="1"/>
  <c r="Q846" i="1"/>
  <c r="W845" i="1"/>
  <c r="V845" i="1"/>
  <c r="U845" i="1"/>
  <c r="T845" i="1"/>
  <c r="S845" i="1"/>
  <c r="R845" i="1"/>
  <c r="Q845" i="1"/>
  <c r="W844" i="1"/>
  <c r="V844" i="1"/>
  <c r="U844" i="1"/>
  <c r="T844" i="1"/>
  <c r="S844" i="1"/>
  <c r="R844" i="1"/>
  <c r="Q844" i="1"/>
  <c r="W843" i="1"/>
  <c r="V843" i="1"/>
  <c r="U843" i="1"/>
  <c r="T843" i="1"/>
  <c r="S843" i="1"/>
  <c r="R843" i="1"/>
  <c r="Q843" i="1"/>
  <c r="W842" i="1"/>
  <c r="V842" i="1"/>
  <c r="U842" i="1"/>
  <c r="T842" i="1"/>
  <c r="S842" i="1"/>
  <c r="R842" i="1"/>
  <c r="Q842" i="1"/>
  <c r="W841" i="1"/>
  <c r="V841" i="1"/>
  <c r="U841" i="1"/>
  <c r="T841" i="1"/>
  <c r="S841" i="1"/>
  <c r="R841" i="1"/>
  <c r="Q841" i="1"/>
  <c r="W840" i="1"/>
  <c r="V840" i="1"/>
  <c r="U840" i="1"/>
  <c r="T840" i="1"/>
  <c r="S840" i="1"/>
  <c r="R840" i="1"/>
  <c r="Q840" i="1"/>
  <c r="W839" i="1"/>
  <c r="V839" i="1"/>
  <c r="U839" i="1"/>
  <c r="T839" i="1"/>
  <c r="S839" i="1"/>
  <c r="R839" i="1"/>
  <c r="Q839" i="1"/>
  <c r="W838" i="1"/>
  <c r="V838" i="1"/>
  <c r="U838" i="1"/>
  <c r="T838" i="1"/>
  <c r="S838" i="1"/>
  <c r="R838" i="1"/>
  <c r="Q838" i="1"/>
  <c r="W837" i="1"/>
  <c r="V837" i="1"/>
  <c r="U837" i="1"/>
  <c r="T837" i="1"/>
  <c r="S837" i="1"/>
  <c r="R837" i="1"/>
  <c r="Q837" i="1"/>
  <c r="W836" i="1"/>
  <c r="V836" i="1"/>
  <c r="U836" i="1"/>
  <c r="T836" i="1"/>
  <c r="S836" i="1"/>
  <c r="R836" i="1"/>
  <c r="Q836" i="1"/>
  <c r="W835" i="1"/>
  <c r="V835" i="1"/>
  <c r="U835" i="1"/>
  <c r="T835" i="1"/>
  <c r="S835" i="1"/>
  <c r="R835" i="1"/>
  <c r="Q835" i="1"/>
  <c r="W834" i="1"/>
  <c r="V834" i="1"/>
  <c r="U834" i="1"/>
  <c r="T834" i="1"/>
  <c r="S834" i="1"/>
  <c r="R834" i="1"/>
  <c r="Q834" i="1"/>
  <c r="W833" i="1"/>
  <c r="V833" i="1"/>
  <c r="U833" i="1"/>
  <c r="T833" i="1"/>
  <c r="S833" i="1"/>
  <c r="R833" i="1"/>
  <c r="Q833" i="1"/>
  <c r="W832" i="1"/>
  <c r="V832" i="1"/>
  <c r="U832" i="1"/>
  <c r="T832" i="1"/>
  <c r="S832" i="1"/>
  <c r="R832" i="1"/>
  <c r="Q832" i="1"/>
  <c r="W831" i="1"/>
  <c r="V831" i="1"/>
  <c r="U831" i="1"/>
  <c r="T831" i="1"/>
  <c r="S831" i="1"/>
  <c r="R831" i="1"/>
  <c r="Q831" i="1"/>
  <c r="W830" i="1"/>
  <c r="V830" i="1"/>
  <c r="U830" i="1"/>
  <c r="T830" i="1"/>
  <c r="S830" i="1"/>
  <c r="R830" i="1"/>
  <c r="Q830" i="1"/>
  <c r="W829" i="1"/>
  <c r="V829" i="1"/>
  <c r="U829" i="1"/>
  <c r="T829" i="1"/>
  <c r="S829" i="1"/>
  <c r="R829" i="1"/>
  <c r="Q829" i="1"/>
  <c r="W828" i="1"/>
  <c r="V828" i="1"/>
  <c r="U828" i="1"/>
  <c r="T828" i="1"/>
  <c r="S828" i="1"/>
  <c r="R828" i="1"/>
  <c r="Q828" i="1"/>
  <c r="W827" i="1"/>
  <c r="V827" i="1"/>
  <c r="U827" i="1"/>
  <c r="T827" i="1"/>
  <c r="S827" i="1"/>
  <c r="R827" i="1"/>
  <c r="Q827" i="1"/>
  <c r="W826" i="1"/>
  <c r="V826" i="1"/>
  <c r="U826" i="1"/>
  <c r="T826" i="1"/>
  <c r="S826" i="1"/>
  <c r="R826" i="1"/>
  <c r="Q826" i="1"/>
  <c r="W825" i="1"/>
  <c r="V825" i="1"/>
  <c r="U825" i="1"/>
  <c r="T825" i="1"/>
  <c r="S825" i="1"/>
  <c r="R825" i="1"/>
  <c r="Q825" i="1"/>
  <c r="W824" i="1"/>
  <c r="V824" i="1"/>
  <c r="U824" i="1"/>
  <c r="T824" i="1"/>
  <c r="S824" i="1"/>
  <c r="R824" i="1"/>
  <c r="Q824" i="1"/>
  <c r="W823" i="1"/>
  <c r="V823" i="1"/>
  <c r="U823" i="1"/>
  <c r="T823" i="1"/>
  <c r="S823" i="1"/>
  <c r="R823" i="1"/>
  <c r="Q823" i="1"/>
  <c r="W822" i="1"/>
  <c r="V822" i="1"/>
  <c r="U822" i="1"/>
  <c r="T822" i="1"/>
  <c r="S822" i="1"/>
  <c r="R822" i="1"/>
  <c r="Q822" i="1"/>
  <c r="W821" i="1"/>
  <c r="V821" i="1"/>
  <c r="U821" i="1"/>
  <c r="T821" i="1"/>
  <c r="S821" i="1"/>
  <c r="R821" i="1"/>
  <c r="Q821" i="1"/>
  <c r="W820" i="1"/>
  <c r="V820" i="1"/>
  <c r="U820" i="1"/>
  <c r="T820" i="1"/>
  <c r="S820" i="1"/>
  <c r="R820" i="1"/>
  <c r="Q820" i="1"/>
  <c r="W819" i="1"/>
  <c r="V819" i="1"/>
  <c r="U819" i="1"/>
  <c r="T819" i="1"/>
  <c r="S819" i="1"/>
  <c r="R819" i="1"/>
  <c r="Q819" i="1"/>
  <c r="W818" i="1"/>
  <c r="V818" i="1"/>
  <c r="U818" i="1"/>
  <c r="T818" i="1"/>
  <c r="S818" i="1"/>
  <c r="R818" i="1"/>
  <c r="Q818" i="1"/>
  <c r="W817" i="1"/>
  <c r="V817" i="1"/>
  <c r="U817" i="1"/>
  <c r="T817" i="1"/>
  <c r="S817" i="1"/>
  <c r="R817" i="1"/>
  <c r="Q817" i="1"/>
  <c r="W816" i="1"/>
  <c r="V816" i="1"/>
  <c r="U816" i="1"/>
  <c r="T816" i="1"/>
  <c r="S816" i="1"/>
  <c r="R816" i="1"/>
  <c r="Q816" i="1"/>
  <c r="W815" i="1"/>
  <c r="V815" i="1"/>
  <c r="U815" i="1"/>
  <c r="T815" i="1"/>
  <c r="S815" i="1"/>
  <c r="R815" i="1"/>
  <c r="Q815" i="1"/>
  <c r="W814" i="1"/>
  <c r="V814" i="1"/>
  <c r="U814" i="1"/>
  <c r="T814" i="1"/>
  <c r="S814" i="1"/>
  <c r="R814" i="1"/>
  <c r="Q814" i="1"/>
  <c r="W813" i="1"/>
  <c r="V813" i="1"/>
  <c r="U813" i="1"/>
  <c r="T813" i="1"/>
  <c r="S813" i="1"/>
  <c r="R813" i="1"/>
  <c r="Q813" i="1"/>
  <c r="W812" i="1"/>
  <c r="V812" i="1"/>
  <c r="U812" i="1"/>
  <c r="T812" i="1"/>
  <c r="S812" i="1"/>
  <c r="R812" i="1"/>
  <c r="Q812" i="1"/>
  <c r="W811" i="1"/>
  <c r="V811" i="1"/>
  <c r="U811" i="1"/>
  <c r="T811" i="1"/>
  <c r="S811" i="1"/>
  <c r="R811" i="1"/>
  <c r="Q811" i="1"/>
  <c r="W810" i="1"/>
  <c r="V810" i="1"/>
  <c r="U810" i="1"/>
  <c r="T810" i="1"/>
  <c r="S810" i="1"/>
  <c r="R810" i="1"/>
  <c r="Q810" i="1"/>
  <c r="W809" i="1"/>
  <c r="V809" i="1"/>
  <c r="U809" i="1"/>
  <c r="T809" i="1"/>
  <c r="S809" i="1"/>
  <c r="R809" i="1"/>
  <c r="Q809" i="1"/>
  <c r="W808" i="1"/>
  <c r="V808" i="1"/>
  <c r="U808" i="1"/>
  <c r="T808" i="1"/>
  <c r="S808" i="1"/>
  <c r="R808" i="1"/>
  <c r="Q808" i="1"/>
  <c r="W807" i="1"/>
  <c r="V807" i="1"/>
  <c r="U807" i="1"/>
  <c r="T807" i="1"/>
  <c r="S807" i="1"/>
  <c r="R807" i="1"/>
  <c r="Q807" i="1"/>
  <c r="W806" i="1"/>
  <c r="V806" i="1"/>
  <c r="U806" i="1"/>
  <c r="T806" i="1"/>
  <c r="S806" i="1"/>
  <c r="R806" i="1"/>
  <c r="Q806" i="1"/>
  <c r="W805" i="1"/>
  <c r="V805" i="1"/>
  <c r="U805" i="1"/>
  <c r="T805" i="1"/>
  <c r="S805" i="1"/>
  <c r="R805" i="1"/>
  <c r="Q805" i="1"/>
  <c r="W804" i="1"/>
  <c r="V804" i="1"/>
  <c r="U804" i="1"/>
  <c r="T804" i="1"/>
  <c r="S804" i="1"/>
  <c r="R804" i="1"/>
  <c r="Q804" i="1"/>
  <c r="W803" i="1"/>
  <c r="V803" i="1"/>
  <c r="U803" i="1"/>
  <c r="T803" i="1"/>
  <c r="S803" i="1"/>
  <c r="R803" i="1"/>
  <c r="Q803" i="1"/>
  <c r="W802" i="1"/>
  <c r="V802" i="1"/>
  <c r="U802" i="1"/>
  <c r="T802" i="1"/>
  <c r="S802" i="1"/>
  <c r="R802" i="1"/>
  <c r="Q802" i="1"/>
  <c r="W801" i="1"/>
  <c r="V801" i="1"/>
  <c r="U801" i="1"/>
  <c r="T801" i="1"/>
  <c r="S801" i="1"/>
  <c r="R801" i="1"/>
  <c r="Q801" i="1"/>
  <c r="W800" i="1"/>
  <c r="V800" i="1"/>
  <c r="U800" i="1"/>
  <c r="T800" i="1"/>
  <c r="S800" i="1"/>
  <c r="R800" i="1"/>
  <c r="Q800" i="1"/>
  <c r="W799" i="1"/>
  <c r="V799" i="1"/>
  <c r="U799" i="1"/>
  <c r="T799" i="1"/>
  <c r="S799" i="1"/>
  <c r="R799" i="1"/>
  <c r="Q799" i="1"/>
  <c r="W798" i="1"/>
  <c r="V798" i="1"/>
  <c r="U798" i="1"/>
  <c r="T798" i="1"/>
  <c r="S798" i="1"/>
  <c r="R798" i="1"/>
  <c r="Q798" i="1"/>
  <c r="W797" i="1"/>
  <c r="V797" i="1"/>
  <c r="U797" i="1"/>
  <c r="T797" i="1"/>
  <c r="S797" i="1"/>
  <c r="R797" i="1"/>
  <c r="Q797" i="1"/>
  <c r="W796" i="1"/>
  <c r="V796" i="1"/>
  <c r="U796" i="1"/>
  <c r="T796" i="1"/>
  <c r="S796" i="1"/>
  <c r="R796" i="1"/>
  <c r="Q796" i="1"/>
  <c r="W795" i="1"/>
  <c r="V795" i="1"/>
  <c r="U795" i="1"/>
  <c r="T795" i="1"/>
  <c r="S795" i="1"/>
  <c r="R795" i="1"/>
  <c r="Q795" i="1"/>
  <c r="W794" i="1"/>
  <c r="V794" i="1"/>
  <c r="U794" i="1"/>
  <c r="T794" i="1"/>
  <c r="S794" i="1"/>
  <c r="R794" i="1"/>
  <c r="Q794" i="1"/>
  <c r="W793" i="1"/>
  <c r="V793" i="1"/>
  <c r="U793" i="1"/>
  <c r="T793" i="1"/>
  <c r="S793" i="1"/>
  <c r="R793" i="1"/>
  <c r="Q793" i="1"/>
  <c r="W792" i="1"/>
  <c r="V792" i="1"/>
  <c r="U792" i="1"/>
  <c r="T792" i="1"/>
  <c r="S792" i="1"/>
  <c r="R792" i="1"/>
  <c r="Q792" i="1"/>
  <c r="W791" i="1"/>
  <c r="V791" i="1"/>
  <c r="U791" i="1"/>
  <c r="T791" i="1"/>
  <c r="S791" i="1"/>
  <c r="R791" i="1"/>
  <c r="Q791" i="1"/>
  <c r="W790" i="1"/>
  <c r="V790" i="1"/>
  <c r="U790" i="1"/>
  <c r="T790" i="1"/>
  <c r="S790" i="1"/>
  <c r="R790" i="1"/>
  <c r="Q790" i="1"/>
  <c r="W789" i="1"/>
  <c r="V789" i="1"/>
  <c r="U789" i="1"/>
  <c r="T789" i="1"/>
  <c r="S789" i="1"/>
  <c r="R789" i="1"/>
  <c r="Q789" i="1"/>
  <c r="W788" i="1"/>
  <c r="V788" i="1"/>
  <c r="U788" i="1"/>
  <c r="T788" i="1"/>
  <c r="S788" i="1"/>
  <c r="R788" i="1"/>
  <c r="Q788" i="1"/>
  <c r="W787" i="1"/>
  <c r="V787" i="1"/>
  <c r="U787" i="1"/>
  <c r="T787" i="1"/>
  <c r="S787" i="1"/>
  <c r="R787" i="1"/>
  <c r="Q787" i="1"/>
  <c r="W786" i="1"/>
  <c r="V786" i="1"/>
  <c r="U786" i="1"/>
  <c r="T786" i="1"/>
  <c r="S786" i="1"/>
  <c r="R786" i="1"/>
  <c r="Q786" i="1"/>
  <c r="W785" i="1"/>
  <c r="V785" i="1"/>
  <c r="U785" i="1"/>
  <c r="T785" i="1"/>
  <c r="S785" i="1"/>
  <c r="R785" i="1"/>
  <c r="Q785" i="1"/>
  <c r="W784" i="1"/>
  <c r="V784" i="1"/>
  <c r="U784" i="1"/>
  <c r="T784" i="1"/>
  <c r="S784" i="1"/>
  <c r="R784" i="1"/>
  <c r="Q784" i="1"/>
  <c r="W783" i="1"/>
  <c r="V783" i="1"/>
  <c r="U783" i="1"/>
  <c r="T783" i="1"/>
  <c r="S783" i="1"/>
  <c r="R783" i="1"/>
  <c r="Q783" i="1"/>
  <c r="W782" i="1"/>
  <c r="V782" i="1"/>
  <c r="U782" i="1"/>
  <c r="T782" i="1"/>
  <c r="S782" i="1"/>
  <c r="R782" i="1"/>
  <c r="Q782" i="1"/>
  <c r="W781" i="1"/>
  <c r="V781" i="1"/>
  <c r="U781" i="1"/>
  <c r="T781" i="1"/>
  <c r="S781" i="1"/>
  <c r="R781" i="1"/>
  <c r="Q781" i="1"/>
  <c r="W780" i="1"/>
  <c r="V780" i="1"/>
  <c r="U780" i="1"/>
  <c r="T780" i="1"/>
  <c r="S780" i="1"/>
  <c r="R780" i="1"/>
  <c r="Q780" i="1"/>
  <c r="W779" i="1"/>
  <c r="V779" i="1"/>
  <c r="U779" i="1"/>
  <c r="T779" i="1"/>
  <c r="S779" i="1"/>
  <c r="R779" i="1"/>
  <c r="Q779" i="1"/>
  <c r="W778" i="1"/>
  <c r="V778" i="1"/>
  <c r="U778" i="1"/>
  <c r="T778" i="1"/>
  <c r="S778" i="1"/>
  <c r="R778" i="1"/>
  <c r="Q778" i="1"/>
  <c r="W777" i="1"/>
  <c r="V777" i="1"/>
  <c r="U777" i="1"/>
  <c r="T777" i="1"/>
  <c r="S777" i="1"/>
  <c r="R777" i="1"/>
  <c r="Q777" i="1"/>
  <c r="W776" i="1"/>
  <c r="V776" i="1"/>
  <c r="U776" i="1"/>
  <c r="T776" i="1"/>
  <c r="S776" i="1"/>
  <c r="R776" i="1"/>
  <c r="Q776" i="1"/>
  <c r="W775" i="1"/>
  <c r="V775" i="1"/>
  <c r="U775" i="1"/>
  <c r="T775" i="1"/>
  <c r="S775" i="1"/>
  <c r="R775" i="1"/>
  <c r="Q775" i="1"/>
  <c r="W774" i="1"/>
  <c r="V774" i="1"/>
  <c r="U774" i="1"/>
  <c r="T774" i="1"/>
  <c r="S774" i="1"/>
  <c r="R774" i="1"/>
  <c r="Q774" i="1"/>
  <c r="W773" i="1"/>
  <c r="V773" i="1"/>
  <c r="U773" i="1"/>
  <c r="T773" i="1"/>
  <c r="S773" i="1"/>
  <c r="R773" i="1"/>
  <c r="Q773" i="1"/>
  <c r="W772" i="1"/>
  <c r="V772" i="1"/>
  <c r="U772" i="1"/>
  <c r="T772" i="1"/>
  <c r="S772" i="1"/>
  <c r="R772" i="1"/>
  <c r="Q772" i="1"/>
  <c r="W771" i="1"/>
  <c r="V771" i="1"/>
  <c r="U771" i="1"/>
  <c r="T771" i="1"/>
  <c r="S771" i="1"/>
  <c r="R771" i="1"/>
  <c r="Q771" i="1"/>
  <c r="W770" i="1"/>
  <c r="V770" i="1"/>
  <c r="U770" i="1"/>
  <c r="T770" i="1"/>
  <c r="S770" i="1"/>
  <c r="R770" i="1"/>
  <c r="Q770" i="1"/>
  <c r="W769" i="1"/>
  <c r="V769" i="1"/>
  <c r="U769" i="1"/>
  <c r="T769" i="1"/>
  <c r="S769" i="1"/>
  <c r="R769" i="1"/>
  <c r="Q769" i="1"/>
  <c r="W768" i="1"/>
  <c r="V768" i="1"/>
  <c r="U768" i="1"/>
  <c r="T768" i="1"/>
  <c r="S768" i="1"/>
  <c r="R768" i="1"/>
  <c r="Q768" i="1"/>
  <c r="W767" i="1"/>
  <c r="V767" i="1"/>
  <c r="U767" i="1"/>
  <c r="T767" i="1"/>
  <c r="S767" i="1"/>
  <c r="R767" i="1"/>
  <c r="Q767" i="1"/>
  <c r="W766" i="1"/>
  <c r="V766" i="1"/>
  <c r="U766" i="1"/>
  <c r="T766" i="1"/>
  <c r="S766" i="1"/>
  <c r="R766" i="1"/>
  <c r="Q766" i="1"/>
  <c r="W765" i="1"/>
  <c r="V765" i="1"/>
  <c r="U765" i="1"/>
  <c r="T765" i="1"/>
  <c r="S765" i="1"/>
  <c r="R765" i="1"/>
  <c r="Q765" i="1"/>
  <c r="W764" i="1"/>
  <c r="V764" i="1"/>
  <c r="U764" i="1"/>
  <c r="T764" i="1"/>
  <c r="S764" i="1"/>
  <c r="R764" i="1"/>
  <c r="Q764" i="1"/>
  <c r="W763" i="1"/>
  <c r="V763" i="1"/>
  <c r="U763" i="1"/>
  <c r="T763" i="1"/>
  <c r="S763" i="1"/>
  <c r="R763" i="1"/>
  <c r="Q763" i="1"/>
  <c r="W762" i="1"/>
  <c r="V762" i="1"/>
  <c r="U762" i="1"/>
  <c r="T762" i="1"/>
  <c r="S762" i="1"/>
  <c r="R762" i="1"/>
  <c r="Q762" i="1"/>
  <c r="W761" i="1"/>
  <c r="V761" i="1"/>
  <c r="U761" i="1"/>
  <c r="T761" i="1"/>
  <c r="S761" i="1"/>
  <c r="R761" i="1"/>
  <c r="Q761" i="1"/>
  <c r="W760" i="1"/>
  <c r="V760" i="1"/>
  <c r="U760" i="1"/>
  <c r="T760" i="1"/>
  <c r="S760" i="1"/>
  <c r="R760" i="1"/>
  <c r="Q760" i="1"/>
  <c r="W759" i="1"/>
  <c r="V759" i="1"/>
  <c r="U759" i="1"/>
  <c r="T759" i="1"/>
  <c r="S759" i="1"/>
  <c r="R759" i="1"/>
  <c r="Q759" i="1"/>
  <c r="W758" i="1"/>
  <c r="V758" i="1"/>
  <c r="U758" i="1"/>
  <c r="T758" i="1"/>
  <c r="S758" i="1"/>
  <c r="R758" i="1"/>
  <c r="Q758" i="1"/>
  <c r="W757" i="1"/>
  <c r="V757" i="1"/>
  <c r="U757" i="1"/>
  <c r="T757" i="1"/>
  <c r="S757" i="1"/>
  <c r="R757" i="1"/>
  <c r="Q757" i="1"/>
  <c r="W756" i="1"/>
  <c r="V756" i="1"/>
  <c r="U756" i="1"/>
  <c r="T756" i="1"/>
  <c r="S756" i="1"/>
  <c r="R756" i="1"/>
  <c r="Q756" i="1"/>
  <c r="W755" i="1"/>
  <c r="V755" i="1"/>
  <c r="U755" i="1"/>
  <c r="T755" i="1"/>
  <c r="S755" i="1"/>
  <c r="R755" i="1"/>
  <c r="Q755" i="1"/>
  <c r="W754" i="1"/>
  <c r="V754" i="1"/>
  <c r="U754" i="1"/>
  <c r="T754" i="1"/>
  <c r="S754" i="1"/>
  <c r="R754" i="1"/>
  <c r="Q754" i="1"/>
  <c r="W753" i="1"/>
  <c r="V753" i="1"/>
  <c r="U753" i="1"/>
  <c r="T753" i="1"/>
  <c r="S753" i="1"/>
  <c r="R753" i="1"/>
  <c r="Q753" i="1"/>
  <c r="W752" i="1"/>
  <c r="V752" i="1"/>
  <c r="U752" i="1"/>
  <c r="T752" i="1"/>
  <c r="S752" i="1"/>
  <c r="R752" i="1"/>
  <c r="Q752" i="1"/>
  <c r="W751" i="1"/>
  <c r="V751" i="1"/>
  <c r="U751" i="1"/>
  <c r="T751" i="1"/>
  <c r="S751" i="1"/>
  <c r="R751" i="1"/>
  <c r="Q751" i="1"/>
  <c r="W750" i="1"/>
  <c r="V750" i="1"/>
  <c r="U750" i="1"/>
  <c r="T750" i="1"/>
  <c r="S750" i="1"/>
  <c r="R750" i="1"/>
  <c r="Q750" i="1"/>
  <c r="W749" i="1"/>
  <c r="V749" i="1"/>
  <c r="U749" i="1"/>
  <c r="T749" i="1"/>
  <c r="S749" i="1"/>
  <c r="R749" i="1"/>
  <c r="Q749" i="1"/>
  <c r="W748" i="1"/>
  <c r="V748" i="1"/>
  <c r="U748" i="1"/>
  <c r="T748" i="1"/>
  <c r="S748" i="1"/>
  <c r="R748" i="1"/>
  <c r="Q748" i="1"/>
  <c r="W747" i="1"/>
  <c r="V747" i="1"/>
  <c r="U747" i="1"/>
  <c r="T747" i="1"/>
  <c r="S747" i="1"/>
  <c r="R747" i="1"/>
  <c r="Q747" i="1"/>
  <c r="W746" i="1"/>
  <c r="V746" i="1"/>
  <c r="U746" i="1"/>
  <c r="T746" i="1"/>
  <c r="S746" i="1"/>
  <c r="R746" i="1"/>
  <c r="Q746" i="1"/>
  <c r="W745" i="1"/>
  <c r="V745" i="1"/>
  <c r="U745" i="1"/>
  <c r="T745" i="1"/>
  <c r="S745" i="1"/>
  <c r="R745" i="1"/>
  <c r="Q745" i="1"/>
  <c r="W744" i="1"/>
  <c r="V744" i="1"/>
  <c r="U744" i="1"/>
  <c r="T744" i="1"/>
  <c r="S744" i="1"/>
  <c r="R744" i="1"/>
  <c r="Q744" i="1"/>
  <c r="W743" i="1"/>
  <c r="V743" i="1"/>
  <c r="U743" i="1"/>
  <c r="T743" i="1"/>
  <c r="S743" i="1"/>
  <c r="R743" i="1"/>
  <c r="Q743" i="1"/>
  <c r="W742" i="1"/>
  <c r="V742" i="1"/>
  <c r="U742" i="1"/>
  <c r="T742" i="1"/>
  <c r="S742" i="1"/>
  <c r="R742" i="1"/>
  <c r="Q742" i="1"/>
  <c r="W741" i="1"/>
  <c r="V741" i="1"/>
  <c r="U741" i="1"/>
  <c r="T741" i="1"/>
  <c r="S741" i="1"/>
  <c r="R741" i="1"/>
  <c r="Q741" i="1"/>
  <c r="W740" i="1"/>
  <c r="V740" i="1"/>
  <c r="U740" i="1"/>
  <c r="T740" i="1"/>
  <c r="S740" i="1"/>
  <c r="R740" i="1"/>
  <c r="Q740" i="1"/>
  <c r="W739" i="1"/>
  <c r="V739" i="1"/>
  <c r="U739" i="1"/>
  <c r="T739" i="1"/>
  <c r="S739" i="1"/>
  <c r="R739" i="1"/>
  <c r="Q739" i="1"/>
  <c r="W738" i="1"/>
  <c r="V738" i="1"/>
  <c r="U738" i="1"/>
  <c r="T738" i="1"/>
  <c r="S738" i="1"/>
  <c r="R738" i="1"/>
  <c r="Q738" i="1"/>
  <c r="W737" i="1"/>
  <c r="V737" i="1"/>
  <c r="U737" i="1"/>
  <c r="T737" i="1"/>
  <c r="S737" i="1"/>
  <c r="R737" i="1"/>
  <c r="Q737" i="1"/>
  <c r="W736" i="1"/>
  <c r="V736" i="1"/>
  <c r="U736" i="1"/>
  <c r="T736" i="1"/>
  <c r="S736" i="1"/>
  <c r="R736" i="1"/>
  <c r="Q736" i="1"/>
  <c r="W735" i="1"/>
  <c r="V735" i="1"/>
  <c r="U735" i="1"/>
  <c r="T735" i="1"/>
  <c r="S735" i="1"/>
  <c r="R735" i="1"/>
  <c r="Q735" i="1"/>
  <c r="W734" i="1"/>
  <c r="V734" i="1"/>
  <c r="U734" i="1"/>
  <c r="T734" i="1"/>
  <c r="S734" i="1"/>
  <c r="R734" i="1"/>
  <c r="Q734" i="1"/>
  <c r="W733" i="1"/>
  <c r="V733" i="1"/>
  <c r="U733" i="1"/>
  <c r="T733" i="1"/>
  <c r="S733" i="1"/>
  <c r="R733" i="1"/>
  <c r="Q733" i="1"/>
  <c r="W732" i="1"/>
  <c r="V732" i="1"/>
  <c r="U732" i="1"/>
  <c r="T732" i="1"/>
  <c r="S732" i="1"/>
  <c r="R732" i="1"/>
  <c r="Q732" i="1"/>
  <c r="W731" i="1"/>
  <c r="V731" i="1"/>
  <c r="U731" i="1"/>
  <c r="T731" i="1"/>
  <c r="S731" i="1"/>
  <c r="R731" i="1"/>
  <c r="Q731" i="1"/>
  <c r="W730" i="1"/>
  <c r="V730" i="1"/>
  <c r="U730" i="1"/>
  <c r="T730" i="1"/>
  <c r="S730" i="1"/>
  <c r="R730" i="1"/>
  <c r="Q730" i="1"/>
  <c r="W729" i="1"/>
  <c r="V729" i="1"/>
  <c r="U729" i="1"/>
  <c r="T729" i="1"/>
  <c r="S729" i="1"/>
  <c r="R729" i="1"/>
  <c r="Q729" i="1"/>
  <c r="W728" i="1"/>
  <c r="V728" i="1"/>
  <c r="U728" i="1"/>
  <c r="T728" i="1"/>
  <c r="S728" i="1"/>
  <c r="R728" i="1"/>
  <c r="Q728" i="1"/>
  <c r="W727" i="1"/>
  <c r="V727" i="1"/>
  <c r="U727" i="1"/>
  <c r="T727" i="1"/>
  <c r="S727" i="1"/>
  <c r="R727" i="1"/>
  <c r="Q727" i="1"/>
  <c r="W726" i="1"/>
  <c r="V726" i="1"/>
  <c r="U726" i="1"/>
  <c r="T726" i="1"/>
  <c r="S726" i="1"/>
  <c r="R726" i="1"/>
  <c r="Q726" i="1"/>
  <c r="W725" i="1"/>
  <c r="V725" i="1"/>
  <c r="U725" i="1"/>
  <c r="T725" i="1"/>
  <c r="S725" i="1"/>
  <c r="R725" i="1"/>
  <c r="Q725" i="1"/>
  <c r="W724" i="1"/>
  <c r="V724" i="1"/>
  <c r="U724" i="1"/>
  <c r="T724" i="1"/>
  <c r="S724" i="1"/>
  <c r="R724" i="1"/>
  <c r="Q724" i="1"/>
  <c r="W723" i="1"/>
  <c r="V723" i="1"/>
  <c r="U723" i="1"/>
  <c r="T723" i="1"/>
  <c r="S723" i="1"/>
  <c r="R723" i="1"/>
  <c r="Q723" i="1"/>
  <c r="W722" i="1"/>
  <c r="V722" i="1"/>
  <c r="U722" i="1"/>
  <c r="T722" i="1"/>
  <c r="S722" i="1"/>
  <c r="R722" i="1"/>
  <c r="Q722" i="1"/>
  <c r="W721" i="1"/>
  <c r="V721" i="1"/>
  <c r="U721" i="1"/>
  <c r="T721" i="1"/>
  <c r="S721" i="1"/>
  <c r="R721" i="1"/>
  <c r="Q721" i="1"/>
  <c r="W720" i="1"/>
  <c r="V720" i="1"/>
  <c r="U720" i="1"/>
  <c r="T720" i="1"/>
  <c r="S720" i="1"/>
  <c r="R720" i="1"/>
  <c r="Q720" i="1"/>
  <c r="W719" i="1"/>
  <c r="V719" i="1"/>
  <c r="U719" i="1"/>
  <c r="T719" i="1"/>
  <c r="S719" i="1"/>
  <c r="R719" i="1"/>
  <c r="Q719" i="1"/>
  <c r="W718" i="1"/>
  <c r="V718" i="1"/>
  <c r="U718" i="1"/>
  <c r="T718" i="1"/>
  <c r="S718" i="1"/>
  <c r="R718" i="1"/>
  <c r="Q718" i="1"/>
  <c r="W717" i="1"/>
  <c r="V717" i="1"/>
  <c r="U717" i="1"/>
  <c r="T717" i="1"/>
  <c r="S717" i="1"/>
  <c r="R717" i="1"/>
  <c r="Q717" i="1"/>
  <c r="W716" i="1"/>
  <c r="V716" i="1"/>
  <c r="U716" i="1"/>
  <c r="T716" i="1"/>
  <c r="S716" i="1"/>
  <c r="R716" i="1"/>
  <c r="Q716" i="1"/>
  <c r="W715" i="1"/>
  <c r="V715" i="1"/>
  <c r="U715" i="1"/>
  <c r="T715" i="1"/>
  <c r="S715" i="1"/>
  <c r="R715" i="1"/>
  <c r="Q715" i="1"/>
  <c r="W714" i="1"/>
  <c r="V714" i="1"/>
  <c r="U714" i="1"/>
  <c r="T714" i="1"/>
  <c r="S714" i="1"/>
  <c r="R714" i="1"/>
  <c r="Q714" i="1"/>
  <c r="W713" i="1"/>
  <c r="V713" i="1"/>
  <c r="U713" i="1"/>
  <c r="T713" i="1"/>
  <c r="S713" i="1"/>
  <c r="R713" i="1"/>
  <c r="Q713" i="1"/>
  <c r="W712" i="1"/>
  <c r="V712" i="1"/>
  <c r="U712" i="1"/>
  <c r="T712" i="1"/>
  <c r="S712" i="1"/>
  <c r="R712" i="1"/>
  <c r="Q712" i="1"/>
  <c r="W711" i="1"/>
  <c r="V711" i="1"/>
  <c r="U711" i="1"/>
  <c r="T711" i="1"/>
  <c r="S711" i="1"/>
  <c r="R711" i="1"/>
  <c r="Q711" i="1"/>
  <c r="W710" i="1"/>
  <c r="V710" i="1"/>
  <c r="U710" i="1"/>
  <c r="T710" i="1"/>
  <c r="S710" i="1"/>
  <c r="R710" i="1"/>
  <c r="Q710" i="1"/>
  <c r="W709" i="1"/>
  <c r="V709" i="1"/>
  <c r="U709" i="1"/>
  <c r="T709" i="1"/>
  <c r="S709" i="1"/>
  <c r="R709" i="1"/>
  <c r="Q709" i="1"/>
  <c r="W708" i="1"/>
  <c r="V708" i="1"/>
  <c r="U708" i="1"/>
  <c r="T708" i="1"/>
  <c r="S708" i="1"/>
  <c r="R708" i="1"/>
  <c r="Q708" i="1"/>
  <c r="W707" i="1"/>
  <c r="V707" i="1"/>
  <c r="U707" i="1"/>
  <c r="T707" i="1"/>
  <c r="S707" i="1"/>
  <c r="R707" i="1"/>
  <c r="Q707" i="1"/>
  <c r="W706" i="1"/>
  <c r="V706" i="1"/>
  <c r="U706" i="1"/>
  <c r="T706" i="1"/>
  <c r="S706" i="1"/>
  <c r="R706" i="1"/>
  <c r="Q706" i="1"/>
  <c r="W705" i="1"/>
  <c r="V705" i="1"/>
  <c r="U705" i="1"/>
  <c r="T705" i="1"/>
  <c r="S705" i="1"/>
  <c r="R705" i="1"/>
  <c r="Q705" i="1"/>
  <c r="W704" i="1"/>
  <c r="V704" i="1"/>
  <c r="U704" i="1"/>
  <c r="T704" i="1"/>
  <c r="S704" i="1"/>
  <c r="R704" i="1"/>
  <c r="Q704" i="1"/>
  <c r="W703" i="1"/>
  <c r="V703" i="1"/>
  <c r="U703" i="1"/>
  <c r="T703" i="1"/>
  <c r="S703" i="1"/>
  <c r="R703" i="1"/>
  <c r="Q703" i="1"/>
  <c r="W702" i="1"/>
  <c r="V702" i="1"/>
  <c r="U702" i="1"/>
  <c r="T702" i="1"/>
  <c r="S702" i="1"/>
  <c r="R702" i="1"/>
  <c r="Q702" i="1"/>
  <c r="W701" i="1"/>
  <c r="V701" i="1"/>
  <c r="U701" i="1"/>
  <c r="T701" i="1"/>
  <c r="S701" i="1"/>
  <c r="R701" i="1"/>
  <c r="Q701" i="1"/>
  <c r="W700" i="1"/>
  <c r="V700" i="1"/>
  <c r="U700" i="1"/>
  <c r="T700" i="1"/>
  <c r="S700" i="1"/>
  <c r="R700" i="1"/>
  <c r="Q700" i="1"/>
  <c r="W699" i="1"/>
  <c r="V699" i="1"/>
  <c r="U699" i="1"/>
  <c r="T699" i="1"/>
  <c r="S699" i="1"/>
  <c r="R699" i="1"/>
  <c r="Q699" i="1"/>
  <c r="W698" i="1"/>
  <c r="V698" i="1"/>
  <c r="U698" i="1"/>
  <c r="T698" i="1"/>
  <c r="S698" i="1"/>
  <c r="R698" i="1"/>
  <c r="Q698" i="1"/>
  <c r="W697" i="1"/>
  <c r="V697" i="1"/>
  <c r="U697" i="1"/>
  <c r="T697" i="1"/>
  <c r="S697" i="1"/>
  <c r="R697" i="1"/>
  <c r="Q697" i="1"/>
  <c r="W696" i="1"/>
  <c r="V696" i="1"/>
  <c r="U696" i="1"/>
  <c r="T696" i="1"/>
  <c r="S696" i="1"/>
  <c r="R696" i="1"/>
  <c r="Q696" i="1"/>
  <c r="W695" i="1"/>
  <c r="V695" i="1"/>
  <c r="U695" i="1"/>
  <c r="T695" i="1"/>
  <c r="S695" i="1"/>
  <c r="R695" i="1"/>
  <c r="Q695" i="1"/>
  <c r="W694" i="1"/>
  <c r="V694" i="1"/>
  <c r="U694" i="1"/>
  <c r="T694" i="1"/>
  <c r="S694" i="1"/>
  <c r="R694" i="1"/>
  <c r="Q694" i="1"/>
  <c r="W693" i="1"/>
  <c r="V693" i="1"/>
  <c r="U693" i="1"/>
  <c r="T693" i="1"/>
  <c r="S693" i="1"/>
  <c r="R693" i="1"/>
  <c r="Q693" i="1"/>
  <c r="W692" i="1"/>
  <c r="V692" i="1"/>
  <c r="U692" i="1"/>
  <c r="T692" i="1"/>
  <c r="S692" i="1"/>
  <c r="R692" i="1"/>
  <c r="Q692" i="1"/>
  <c r="W691" i="1"/>
  <c r="V691" i="1"/>
  <c r="U691" i="1"/>
  <c r="T691" i="1"/>
  <c r="S691" i="1"/>
  <c r="R691" i="1"/>
  <c r="Q691" i="1"/>
  <c r="W690" i="1"/>
  <c r="V690" i="1"/>
  <c r="U690" i="1"/>
  <c r="T690" i="1"/>
  <c r="S690" i="1"/>
  <c r="R690" i="1"/>
  <c r="Q690" i="1"/>
  <c r="W689" i="1"/>
  <c r="V689" i="1"/>
  <c r="U689" i="1"/>
  <c r="T689" i="1"/>
  <c r="S689" i="1"/>
  <c r="R689" i="1"/>
  <c r="Q689" i="1"/>
  <c r="W688" i="1"/>
  <c r="V688" i="1"/>
  <c r="U688" i="1"/>
  <c r="T688" i="1"/>
  <c r="S688" i="1"/>
  <c r="R688" i="1"/>
  <c r="Q688" i="1"/>
  <c r="W687" i="1"/>
  <c r="V687" i="1"/>
  <c r="U687" i="1"/>
  <c r="T687" i="1"/>
  <c r="S687" i="1"/>
  <c r="R687" i="1"/>
  <c r="Q687" i="1"/>
  <c r="W686" i="1"/>
  <c r="V686" i="1"/>
  <c r="U686" i="1"/>
  <c r="T686" i="1"/>
  <c r="S686" i="1"/>
  <c r="R686" i="1"/>
  <c r="Q686" i="1"/>
  <c r="W685" i="1"/>
  <c r="V685" i="1"/>
  <c r="U685" i="1"/>
  <c r="T685" i="1"/>
  <c r="S685" i="1"/>
  <c r="R685" i="1"/>
  <c r="Q685" i="1"/>
  <c r="W684" i="1"/>
  <c r="V684" i="1"/>
  <c r="U684" i="1"/>
  <c r="T684" i="1"/>
  <c r="S684" i="1"/>
  <c r="R684" i="1"/>
  <c r="Q684" i="1"/>
  <c r="W683" i="1"/>
  <c r="V683" i="1"/>
  <c r="U683" i="1"/>
  <c r="T683" i="1"/>
  <c r="S683" i="1"/>
  <c r="R683" i="1"/>
  <c r="Q683" i="1"/>
  <c r="W682" i="1"/>
  <c r="V682" i="1"/>
  <c r="U682" i="1"/>
  <c r="T682" i="1"/>
  <c r="S682" i="1"/>
  <c r="R682" i="1"/>
  <c r="Q682" i="1"/>
  <c r="W681" i="1"/>
  <c r="V681" i="1"/>
  <c r="U681" i="1"/>
  <c r="T681" i="1"/>
  <c r="S681" i="1"/>
  <c r="R681" i="1"/>
  <c r="Q681" i="1"/>
  <c r="W680" i="1"/>
  <c r="V680" i="1"/>
  <c r="U680" i="1"/>
  <c r="T680" i="1"/>
  <c r="S680" i="1"/>
  <c r="R680" i="1"/>
  <c r="Q680" i="1"/>
  <c r="W679" i="1"/>
  <c r="V679" i="1"/>
  <c r="U679" i="1"/>
  <c r="T679" i="1"/>
  <c r="S679" i="1"/>
  <c r="R679" i="1"/>
  <c r="Q679" i="1"/>
  <c r="W678" i="1"/>
  <c r="V678" i="1"/>
  <c r="U678" i="1"/>
  <c r="T678" i="1"/>
  <c r="S678" i="1"/>
  <c r="R678" i="1"/>
  <c r="Q678" i="1"/>
  <c r="W677" i="1"/>
  <c r="V677" i="1"/>
  <c r="U677" i="1"/>
  <c r="T677" i="1"/>
  <c r="S677" i="1"/>
  <c r="R677" i="1"/>
  <c r="Q677" i="1"/>
  <c r="W676" i="1"/>
  <c r="V676" i="1"/>
  <c r="U676" i="1"/>
  <c r="T676" i="1"/>
  <c r="S676" i="1"/>
  <c r="R676" i="1"/>
  <c r="Q676" i="1"/>
  <c r="W675" i="1"/>
  <c r="V675" i="1"/>
  <c r="U675" i="1"/>
  <c r="T675" i="1"/>
  <c r="S675" i="1"/>
  <c r="R675" i="1"/>
  <c r="Q675" i="1"/>
  <c r="W674" i="1"/>
  <c r="V674" i="1"/>
  <c r="U674" i="1"/>
  <c r="T674" i="1"/>
  <c r="S674" i="1"/>
  <c r="R674" i="1"/>
  <c r="Q674" i="1"/>
  <c r="W673" i="1"/>
  <c r="V673" i="1"/>
  <c r="U673" i="1"/>
  <c r="T673" i="1"/>
  <c r="S673" i="1"/>
  <c r="R673" i="1"/>
  <c r="Q673" i="1"/>
  <c r="W672" i="1"/>
  <c r="V672" i="1"/>
  <c r="U672" i="1"/>
  <c r="T672" i="1"/>
  <c r="S672" i="1"/>
  <c r="R672" i="1"/>
  <c r="Q672" i="1"/>
  <c r="W671" i="1"/>
  <c r="V671" i="1"/>
  <c r="U671" i="1"/>
  <c r="T671" i="1"/>
  <c r="S671" i="1"/>
  <c r="R671" i="1"/>
  <c r="Q671" i="1"/>
  <c r="W670" i="1"/>
  <c r="V670" i="1"/>
  <c r="U670" i="1"/>
  <c r="T670" i="1"/>
  <c r="S670" i="1"/>
  <c r="R670" i="1"/>
  <c r="Q670" i="1"/>
  <c r="W669" i="1"/>
  <c r="V669" i="1"/>
  <c r="U669" i="1"/>
  <c r="T669" i="1"/>
  <c r="S669" i="1"/>
  <c r="R669" i="1"/>
  <c r="Q669" i="1"/>
  <c r="W668" i="1"/>
  <c r="V668" i="1"/>
  <c r="U668" i="1"/>
  <c r="T668" i="1"/>
  <c r="S668" i="1"/>
  <c r="R668" i="1"/>
  <c r="Q668" i="1"/>
  <c r="W667" i="1"/>
  <c r="V667" i="1"/>
  <c r="U667" i="1"/>
  <c r="T667" i="1"/>
  <c r="S667" i="1"/>
  <c r="R667" i="1"/>
  <c r="Q667" i="1"/>
  <c r="W666" i="1"/>
  <c r="V666" i="1"/>
  <c r="U666" i="1"/>
  <c r="T666" i="1"/>
  <c r="S666" i="1"/>
  <c r="R666" i="1"/>
  <c r="Q666" i="1"/>
  <c r="W665" i="1"/>
  <c r="V665" i="1"/>
  <c r="U665" i="1"/>
  <c r="T665" i="1"/>
  <c r="S665" i="1"/>
  <c r="R665" i="1"/>
  <c r="Q665" i="1"/>
  <c r="W664" i="1"/>
  <c r="V664" i="1"/>
  <c r="U664" i="1"/>
  <c r="T664" i="1"/>
  <c r="S664" i="1"/>
  <c r="R664" i="1"/>
  <c r="Q664" i="1"/>
  <c r="W663" i="1"/>
  <c r="V663" i="1"/>
  <c r="U663" i="1"/>
  <c r="T663" i="1"/>
  <c r="S663" i="1"/>
  <c r="R663" i="1"/>
  <c r="Q663" i="1"/>
  <c r="W662" i="1"/>
  <c r="V662" i="1"/>
  <c r="U662" i="1"/>
  <c r="T662" i="1"/>
  <c r="S662" i="1"/>
  <c r="R662" i="1"/>
  <c r="Q662" i="1"/>
  <c r="W661" i="1"/>
  <c r="V661" i="1"/>
  <c r="U661" i="1"/>
  <c r="T661" i="1"/>
  <c r="S661" i="1"/>
  <c r="R661" i="1"/>
  <c r="Q661" i="1"/>
  <c r="W660" i="1"/>
  <c r="V660" i="1"/>
  <c r="U660" i="1"/>
  <c r="T660" i="1"/>
  <c r="S660" i="1"/>
  <c r="R660" i="1"/>
  <c r="Q660" i="1"/>
  <c r="W659" i="1"/>
  <c r="V659" i="1"/>
  <c r="U659" i="1"/>
  <c r="T659" i="1"/>
  <c r="S659" i="1"/>
  <c r="R659" i="1"/>
  <c r="Q659" i="1"/>
  <c r="W658" i="1"/>
  <c r="V658" i="1"/>
  <c r="U658" i="1"/>
  <c r="T658" i="1"/>
  <c r="S658" i="1"/>
  <c r="R658" i="1"/>
  <c r="Q658" i="1"/>
  <c r="W657" i="1"/>
  <c r="V657" i="1"/>
  <c r="U657" i="1"/>
  <c r="T657" i="1"/>
  <c r="S657" i="1"/>
  <c r="R657" i="1"/>
  <c r="Q657" i="1"/>
  <c r="W656" i="1"/>
  <c r="V656" i="1"/>
  <c r="U656" i="1"/>
  <c r="T656" i="1"/>
  <c r="S656" i="1"/>
  <c r="R656" i="1"/>
  <c r="Q656" i="1"/>
  <c r="W655" i="1"/>
  <c r="V655" i="1"/>
  <c r="U655" i="1"/>
  <c r="T655" i="1"/>
  <c r="S655" i="1"/>
  <c r="R655" i="1"/>
  <c r="Q655" i="1"/>
  <c r="W654" i="1"/>
  <c r="V654" i="1"/>
  <c r="U654" i="1"/>
  <c r="T654" i="1"/>
  <c r="S654" i="1"/>
  <c r="R654" i="1"/>
  <c r="Q654" i="1"/>
  <c r="W653" i="1"/>
  <c r="V653" i="1"/>
  <c r="U653" i="1"/>
  <c r="T653" i="1"/>
  <c r="S653" i="1"/>
  <c r="R653" i="1"/>
  <c r="Q653" i="1"/>
  <c r="W652" i="1"/>
  <c r="V652" i="1"/>
  <c r="U652" i="1"/>
  <c r="T652" i="1"/>
  <c r="S652" i="1"/>
  <c r="R652" i="1"/>
  <c r="Q652" i="1"/>
  <c r="W651" i="1"/>
  <c r="V651" i="1"/>
  <c r="U651" i="1"/>
  <c r="T651" i="1"/>
  <c r="S651" i="1"/>
  <c r="R651" i="1"/>
  <c r="Q651" i="1"/>
  <c r="W650" i="1"/>
  <c r="V650" i="1"/>
  <c r="U650" i="1"/>
  <c r="T650" i="1"/>
  <c r="S650" i="1"/>
  <c r="R650" i="1"/>
  <c r="Q650" i="1"/>
  <c r="W649" i="1"/>
  <c r="V649" i="1"/>
  <c r="U649" i="1"/>
  <c r="T649" i="1"/>
  <c r="S649" i="1"/>
  <c r="R649" i="1"/>
  <c r="Q649" i="1"/>
  <c r="W648" i="1"/>
  <c r="V648" i="1"/>
  <c r="U648" i="1"/>
  <c r="T648" i="1"/>
  <c r="S648" i="1"/>
  <c r="R648" i="1"/>
  <c r="Q648" i="1"/>
  <c r="W647" i="1"/>
  <c r="V647" i="1"/>
  <c r="U647" i="1"/>
  <c r="T647" i="1"/>
  <c r="S647" i="1"/>
  <c r="R647" i="1"/>
  <c r="Q647" i="1"/>
  <c r="W646" i="1"/>
  <c r="V646" i="1"/>
  <c r="U646" i="1"/>
  <c r="T646" i="1"/>
  <c r="S646" i="1"/>
  <c r="R646" i="1"/>
  <c r="Q646" i="1"/>
  <c r="W645" i="1"/>
  <c r="V645" i="1"/>
  <c r="U645" i="1"/>
  <c r="T645" i="1"/>
  <c r="S645" i="1"/>
  <c r="R645" i="1"/>
  <c r="Q645" i="1"/>
  <c r="W644" i="1"/>
  <c r="V644" i="1"/>
  <c r="U644" i="1"/>
  <c r="T644" i="1"/>
  <c r="S644" i="1"/>
  <c r="R644" i="1"/>
  <c r="Q644" i="1"/>
  <c r="W643" i="1"/>
  <c r="V643" i="1"/>
  <c r="U643" i="1"/>
  <c r="T643" i="1"/>
  <c r="S643" i="1"/>
  <c r="R643" i="1"/>
  <c r="Q643" i="1"/>
  <c r="W642" i="1"/>
  <c r="V642" i="1"/>
  <c r="U642" i="1"/>
  <c r="T642" i="1"/>
  <c r="S642" i="1"/>
  <c r="R642" i="1"/>
  <c r="Q642" i="1"/>
  <c r="W641" i="1"/>
  <c r="V641" i="1"/>
  <c r="U641" i="1"/>
  <c r="T641" i="1"/>
  <c r="S641" i="1"/>
  <c r="R641" i="1"/>
  <c r="Q641" i="1"/>
  <c r="W640" i="1"/>
  <c r="V640" i="1"/>
  <c r="U640" i="1"/>
  <c r="T640" i="1"/>
  <c r="S640" i="1"/>
  <c r="R640" i="1"/>
  <c r="Q640" i="1"/>
  <c r="W639" i="1"/>
  <c r="V639" i="1"/>
  <c r="U639" i="1"/>
  <c r="T639" i="1"/>
  <c r="S639" i="1"/>
  <c r="R639" i="1"/>
  <c r="Q639" i="1"/>
  <c r="W638" i="1"/>
  <c r="V638" i="1"/>
  <c r="U638" i="1"/>
  <c r="T638" i="1"/>
  <c r="S638" i="1"/>
  <c r="R638" i="1"/>
  <c r="Q638" i="1"/>
  <c r="W637" i="1"/>
  <c r="V637" i="1"/>
  <c r="U637" i="1"/>
  <c r="T637" i="1"/>
  <c r="S637" i="1"/>
  <c r="R637" i="1"/>
  <c r="Q637" i="1"/>
  <c r="W636" i="1"/>
  <c r="V636" i="1"/>
  <c r="U636" i="1"/>
  <c r="T636" i="1"/>
  <c r="S636" i="1"/>
  <c r="R636" i="1"/>
  <c r="Q636" i="1"/>
  <c r="W635" i="1"/>
  <c r="V635" i="1"/>
  <c r="U635" i="1"/>
  <c r="T635" i="1"/>
  <c r="S635" i="1"/>
  <c r="R635" i="1"/>
  <c r="Q635" i="1"/>
  <c r="W634" i="1"/>
  <c r="V634" i="1"/>
  <c r="U634" i="1"/>
  <c r="T634" i="1"/>
  <c r="S634" i="1"/>
  <c r="R634" i="1"/>
  <c r="Q634" i="1"/>
  <c r="W633" i="1"/>
  <c r="V633" i="1"/>
  <c r="U633" i="1"/>
  <c r="T633" i="1"/>
  <c r="S633" i="1"/>
  <c r="R633" i="1"/>
  <c r="Q633" i="1"/>
  <c r="W632" i="1"/>
  <c r="V632" i="1"/>
  <c r="U632" i="1"/>
  <c r="T632" i="1"/>
  <c r="S632" i="1"/>
  <c r="R632" i="1"/>
  <c r="Q632" i="1"/>
  <c r="W631" i="1"/>
  <c r="V631" i="1"/>
  <c r="U631" i="1"/>
  <c r="T631" i="1"/>
  <c r="S631" i="1"/>
  <c r="R631" i="1"/>
  <c r="Q631" i="1"/>
  <c r="W630" i="1"/>
  <c r="V630" i="1"/>
  <c r="U630" i="1"/>
  <c r="T630" i="1"/>
  <c r="S630" i="1"/>
  <c r="R630" i="1"/>
  <c r="Q630" i="1"/>
  <c r="W629" i="1"/>
  <c r="V629" i="1"/>
  <c r="U629" i="1"/>
  <c r="T629" i="1"/>
  <c r="S629" i="1"/>
  <c r="R629" i="1"/>
  <c r="Q629" i="1"/>
  <c r="W628" i="1"/>
  <c r="V628" i="1"/>
  <c r="U628" i="1"/>
  <c r="T628" i="1"/>
  <c r="S628" i="1"/>
  <c r="R628" i="1"/>
  <c r="Q628" i="1"/>
  <c r="W627" i="1"/>
  <c r="V627" i="1"/>
  <c r="U627" i="1"/>
  <c r="T627" i="1"/>
  <c r="S627" i="1"/>
  <c r="R627" i="1"/>
  <c r="Q627" i="1"/>
  <c r="W626" i="1"/>
  <c r="V626" i="1"/>
  <c r="U626" i="1"/>
  <c r="T626" i="1"/>
  <c r="S626" i="1"/>
  <c r="R626" i="1"/>
  <c r="Q626" i="1"/>
  <c r="W625" i="1"/>
  <c r="V625" i="1"/>
  <c r="U625" i="1"/>
  <c r="T625" i="1"/>
  <c r="S625" i="1"/>
  <c r="R625" i="1"/>
  <c r="Q625" i="1"/>
  <c r="W624" i="1"/>
  <c r="V624" i="1"/>
  <c r="U624" i="1"/>
  <c r="T624" i="1"/>
  <c r="S624" i="1"/>
  <c r="R624" i="1"/>
  <c r="Q624" i="1"/>
  <c r="W623" i="1"/>
  <c r="V623" i="1"/>
  <c r="U623" i="1"/>
  <c r="T623" i="1"/>
  <c r="S623" i="1"/>
  <c r="R623" i="1"/>
  <c r="Q623" i="1"/>
  <c r="W622" i="1"/>
  <c r="V622" i="1"/>
  <c r="U622" i="1"/>
  <c r="T622" i="1"/>
  <c r="S622" i="1"/>
  <c r="R622" i="1"/>
  <c r="Q622" i="1"/>
  <c r="W621" i="1"/>
  <c r="V621" i="1"/>
  <c r="U621" i="1"/>
  <c r="T621" i="1"/>
  <c r="S621" i="1"/>
  <c r="R621" i="1"/>
  <c r="Q621" i="1"/>
  <c r="W620" i="1"/>
  <c r="V620" i="1"/>
  <c r="U620" i="1"/>
  <c r="T620" i="1"/>
  <c r="S620" i="1"/>
  <c r="R620" i="1"/>
  <c r="Q620" i="1"/>
  <c r="W619" i="1"/>
  <c r="V619" i="1"/>
  <c r="U619" i="1"/>
  <c r="T619" i="1"/>
  <c r="S619" i="1"/>
  <c r="R619" i="1"/>
  <c r="Q619" i="1"/>
  <c r="W618" i="1"/>
  <c r="V618" i="1"/>
  <c r="U618" i="1"/>
  <c r="T618" i="1"/>
  <c r="S618" i="1"/>
  <c r="R618" i="1"/>
  <c r="Q618" i="1"/>
  <c r="W617" i="1"/>
  <c r="V617" i="1"/>
  <c r="U617" i="1"/>
  <c r="T617" i="1"/>
  <c r="S617" i="1"/>
  <c r="R617" i="1"/>
  <c r="Q617" i="1"/>
  <c r="W616" i="1"/>
  <c r="V616" i="1"/>
  <c r="U616" i="1"/>
  <c r="T616" i="1"/>
  <c r="S616" i="1"/>
  <c r="R616" i="1"/>
  <c r="Q616" i="1"/>
  <c r="W615" i="1"/>
  <c r="V615" i="1"/>
  <c r="U615" i="1"/>
  <c r="T615" i="1"/>
  <c r="S615" i="1"/>
  <c r="R615" i="1"/>
  <c r="Q615" i="1"/>
  <c r="W614" i="1"/>
  <c r="V614" i="1"/>
  <c r="U614" i="1"/>
  <c r="T614" i="1"/>
  <c r="S614" i="1"/>
  <c r="R614" i="1"/>
  <c r="Q614" i="1"/>
  <c r="W613" i="1"/>
  <c r="V613" i="1"/>
  <c r="U613" i="1"/>
  <c r="T613" i="1"/>
  <c r="S613" i="1"/>
  <c r="R613" i="1"/>
  <c r="Q613" i="1"/>
  <c r="W612" i="1"/>
  <c r="V612" i="1"/>
  <c r="U612" i="1"/>
  <c r="T612" i="1"/>
  <c r="S612" i="1"/>
  <c r="R612" i="1"/>
  <c r="Q612" i="1"/>
  <c r="W611" i="1"/>
  <c r="V611" i="1"/>
  <c r="U611" i="1"/>
  <c r="T611" i="1"/>
  <c r="S611" i="1"/>
  <c r="R611" i="1"/>
  <c r="Q611" i="1"/>
  <c r="W610" i="1"/>
  <c r="V610" i="1"/>
  <c r="U610" i="1"/>
  <c r="T610" i="1"/>
  <c r="S610" i="1"/>
  <c r="R610" i="1"/>
  <c r="Q610" i="1"/>
  <c r="W609" i="1"/>
  <c r="V609" i="1"/>
  <c r="U609" i="1"/>
  <c r="T609" i="1"/>
  <c r="S609" i="1"/>
  <c r="R609" i="1"/>
  <c r="Q609" i="1"/>
  <c r="W608" i="1"/>
  <c r="V608" i="1"/>
  <c r="U608" i="1"/>
  <c r="T608" i="1"/>
  <c r="S608" i="1"/>
  <c r="R608" i="1"/>
  <c r="Q608" i="1"/>
  <c r="W607" i="1"/>
  <c r="V607" i="1"/>
  <c r="U607" i="1"/>
  <c r="T607" i="1"/>
  <c r="S607" i="1"/>
  <c r="R607" i="1"/>
  <c r="Q607" i="1"/>
  <c r="W606" i="1"/>
  <c r="V606" i="1"/>
  <c r="U606" i="1"/>
  <c r="T606" i="1"/>
  <c r="S606" i="1"/>
  <c r="R606" i="1"/>
  <c r="Q606" i="1"/>
  <c r="W605" i="1"/>
  <c r="V605" i="1"/>
  <c r="U605" i="1"/>
  <c r="T605" i="1"/>
  <c r="S605" i="1"/>
  <c r="R605" i="1"/>
  <c r="Q605" i="1"/>
  <c r="W604" i="1"/>
  <c r="V604" i="1"/>
  <c r="U604" i="1"/>
  <c r="T604" i="1"/>
  <c r="S604" i="1"/>
  <c r="R604" i="1"/>
  <c r="Q604" i="1"/>
  <c r="W603" i="1"/>
  <c r="V603" i="1"/>
  <c r="U603" i="1"/>
  <c r="T603" i="1"/>
  <c r="S603" i="1"/>
  <c r="R603" i="1"/>
  <c r="Q603" i="1"/>
  <c r="W602" i="1"/>
  <c r="V602" i="1"/>
  <c r="U602" i="1"/>
  <c r="T602" i="1"/>
  <c r="S602" i="1"/>
  <c r="R602" i="1"/>
  <c r="Q602" i="1"/>
  <c r="W601" i="1"/>
  <c r="V601" i="1"/>
  <c r="U601" i="1"/>
  <c r="T601" i="1"/>
  <c r="S601" i="1"/>
  <c r="R601" i="1"/>
  <c r="Q601" i="1"/>
  <c r="W600" i="1"/>
  <c r="V600" i="1"/>
  <c r="U600" i="1"/>
  <c r="T600" i="1"/>
  <c r="S600" i="1"/>
  <c r="R600" i="1"/>
  <c r="Q600" i="1"/>
  <c r="W599" i="1"/>
  <c r="V599" i="1"/>
  <c r="U599" i="1"/>
  <c r="T599" i="1"/>
  <c r="S599" i="1"/>
  <c r="R599" i="1"/>
  <c r="Q599" i="1"/>
  <c r="W598" i="1"/>
  <c r="V598" i="1"/>
  <c r="U598" i="1"/>
  <c r="T598" i="1"/>
  <c r="S598" i="1"/>
  <c r="R598" i="1"/>
  <c r="Q598" i="1"/>
  <c r="W597" i="1"/>
  <c r="V597" i="1"/>
  <c r="U597" i="1"/>
  <c r="T597" i="1"/>
  <c r="S597" i="1"/>
  <c r="R597" i="1"/>
  <c r="Q597" i="1"/>
  <c r="W596" i="1"/>
  <c r="V596" i="1"/>
  <c r="U596" i="1"/>
  <c r="T596" i="1"/>
  <c r="S596" i="1"/>
  <c r="R596" i="1"/>
  <c r="Q596" i="1"/>
  <c r="W595" i="1"/>
  <c r="V595" i="1"/>
  <c r="U595" i="1"/>
  <c r="T595" i="1"/>
  <c r="S595" i="1"/>
  <c r="R595" i="1"/>
  <c r="Q595" i="1"/>
  <c r="W594" i="1"/>
  <c r="V594" i="1"/>
  <c r="U594" i="1"/>
  <c r="T594" i="1"/>
  <c r="S594" i="1"/>
  <c r="R594" i="1"/>
  <c r="Q594" i="1"/>
  <c r="W593" i="1"/>
  <c r="V593" i="1"/>
  <c r="U593" i="1"/>
  <c r="T593" i="1"/>
  <c r="S593" i="1"/>
  <c r="R593" i="1"/>
  <c r="Q593" i="1"/>
  <c r="W592" i="1"/>
  <c r="V592" i="1"/>
  <c r="U592" i="1"/>
  <c r="T592" i="1"/>
  <c r="S592" i="1"/>
  <c r="R592" i="1"/>
  <c r="Q592" i="1"/>
  <c r="W591" i="1"/>
  <c r="V591" i="1"/>
  <c r="U591" i="1"/>
  <c r="T591" i="1"/>
  <c r="S591" i="1"/>
  <c r="R591" i="1"/>
  <c r="Q591" i="1"/>
  <c r="W590" i="1"/>
  <c r="V590" i="1"/>
  <c r="U590" i="1"/>
  <c r="T590" i="1"/>
  <c r="S590" i="1"/>
  <c r="R590" i="1"/>
  <c r="Q590" i="1"/>
  <c r="W589" i="1"/>
  <c r="V589" i="1"/>
  <c r="U589" i="1"/>
  <c r="T589" i="1"/>
  <c r="S589" i="1"/>
  <c r="R589" i="1"/>
  <c r="Q589" i="1"/>
  <c r="W588" i="1"/>
  <c r="V588" i="1"/>
  <c r="U588" i="1"/>
  <c r="T588" i="1"/>
  <c r="S588" i="1"/>
  <c r="R588" i="1"/>
  <c r="Q588" i="1"/>
  <c r="W587" i="1"/>
  <c r="V587" i="1"/>
  <c r="U587" i="1"/>
  <c r="T587" i="1"/>
  <c r="S587" i="1"/>
  <c r="R587" i="1"/>
  <c r="Q587" i="1"/>
  <c r="W586" i="1"/>
  <c r="V586" i="1"/>
  <c r="U586" i="1"/>
  <c r="T586" i="1"/>
  <c r="S586" i="1"/>
  <c r="R586" i="1"/>
  <c r="Q586" i="1"/>
  <c r="W585" i="1"/>
  <c r="V585" i="1"/>
  <c r="U585" i="1"/>
  <c r="T585" i="1"/>
  <c r="S585" i="1"/>
  <c r="R585" i="1"/>
  <c r="Q585" i="1"/>
  <c r="W584" i="1"/>
  <c r="V584" i="1"/>
  <c r="U584" i="1"/>
  <c r="T584" i="1"/>
  <c r="S584" i="1"/>
  <c r="R584" i="1"/>
  <c r="Q584" i="1"/>
  <c r="W583" i="1"/>
  <c r="V583" i="1"/>
  <c r="U583" i="1"/>
  <c r="T583" i="1"/>
  <c r="S583" i="1"/>
  <c r="R583" i="1"/>
  <c r="Q583" i="1"/>
  <c r="W582" i="1"/>
  <c r="V582" i="1"/>
  <c r="U582" i="1"/>
  <c r="T582" i="1"/>
  <c r="S582" i="1"/>
  <c r="R582" i="1"/>
  <c r="Q582" i="1"/>
  <c r="W581" i="1"/>
  <c r="V581" i="1"/>
  <c r="U581" i="1"/>
  <c r="T581" i="1"/>
  <c r="S581" i="1"/>
  <c r="R581" i="1"/>
  <c r="Q581" i="1"/>
  <c r="W580" i="1"/>
  <c r="V580" i="1"/>
  <c r="U580" i="1"/>
  <c r="T580" i="1"/>
  <c r="S580" i="1"/>
  <c r="R580" i="1"/>
  <c r="Q580" i="1"/>
  <c r="W579" i="1"/>
  <c r="V579" i="1"/>
  <c r="U579" i="1"/>
  <c r="T579" i="1"/>
  <c r="S579" i="1"/>
  <c r="R579" i="1"/>
  <c r="Q579" i="1"/>
  <c r="W578" i="1"/>
  <c r="V578" i="1"/>
  <c r="U578" i="1"/>
  <c r="T578" i="1"/>
  <c r="S578" i="1"/>
  <c r="R578" i="1"/>
  <c r="Q578" i="1"/>
  <c r="W577" i="1"/>
  <c r="V577" i="1"/>
  <c r="U577" i="1"/>
  <c r="T577" i="1"/>
  <c r="S577" i="1"/>
  <c r="R577" i="1"/>
  <c r="Q577" i="1"/>
  <c r="W576" i="1"/>
  <c r="V576" i="1"/>
  <c r="U576" i="1"/>
  <c r="T576" i="1"/>
  <c r="S576" i="1"/>
  <c r="R576" i="1"/>
  <c r="Q576" i="1"/>
  <c r="W575" i="1"/>
  <c r="V575" i="1"/>
  <c r="U575" i="1"/>
  <c r="T575" i="1"/>
  <c r="S575" i="1"/>
  <c r="R575" i="1"/>
  <c r="Q575" i="1"/>
  <c r="W574" i="1"/>
  <c r="V574" i="1"/>
  <c r="U574" i="1"/>
  <c r="T574" i="1"/>
  <c r="S574" i="1"/>
  <c r="R574" i="1"/>
  <c r="Q574" i="1"/>
  <c r="W573" i="1"/>
  <c r="V573" i="1"/>
  <c r="U573" i="1"/>
  <c r="T573" i="1"/>
  <c r="S573" i="1"/>
  <c r="R573" i="1"/>
  <c r="Q573" i="1"/>
  <c r="W572" i="1"/>
  <c r="V572" i="1"/>
  <c r="U572" i="1"/>
  <c r="T572" i="1"/>
  <c r="S572" i="1"/>
  <c r="R572" i="1"/>
  <c r="Q572" i="1"/>
  <c r="W571" i="1"/>
  <c r="V571" i="1"/>
  <c r="U571" i="1"/>
  <c r="T571" i="1"/>
  <c r="S571" i="1"/>
  <c r="R571" i="1"/>
  <c r="Q571" i="1"/>
  <c r="W570" i="1"/>
  <c r="V570" i="1"/>
  <c r="U570" i="1"/>
  <c r="T570" i="1"/>
  <c r="S570" i="1"/>
  <c r="R570" i="1"/>
  <c r="Q570" i="1"/>
  <c r="W569" i="1"/>
  <c r="V569" i="1"/>
  <c r="U569" i="1"/>
  <c r="T569" i="1"/>
  <c r="S569" i="1"/>
  <c r="R569" i="1"/>
  <c r="Q569" i="1"/>
  <c r="W568" i="1"/>
  <c r="V568" i="1"/>
  <c r="U568" i="1"/>
  <c r="T568" i="1"/>
  <c r="S568" i="1"/>
  <c r="R568" i="1"/>
  <c r="Q568" i="1"/>
  <c r="W567" i="1"/>
  <c r="V567" i="1"/>
  <c r="U567" i="1"/>
  <c r="T567" i="1"/>
  <c r="S567" i="1"/>
  <c r="R567" i="1"/>
  <c r="Q567" i="1"/>
  <c r="W566" i="1"/>
  <c r="V566" i="1"/>
  <c r="U566" i="1"/>
  <c r="T566" i="1"/>
  <c r="S566" i="1"/>
  <c r="R566" i="1"/>
  <c r="Q566" i="1"/>
  <c r="W565" i="1"/>
  <c r="V565" i="1"/>
  <c r="U565" i="1"/>
  <c r="T565" i="1"/>
  <c r="S565" i="1"/>
  <c r="R565" i="1"/>
  <c r="Q565" i="1"/>
  <c r="W564" i="1"/>
  <c r="V564" i="1"/>
  <c r="U564" i="1"/>
  <c r="T564" i="1"/>
  <c r="S564" i="1"/>
  <c r="R564" i="1"/>
  <c r="Q564" i="1"/>
  <c r="W563" i="1"/>
  <c r="V563" i="1"/>
  <c r="U563" i="1"/>
  <c r="T563" i="1"/>
  <c r="S563" i="1"/>
  <c r="R563" i="1"/>
  <c r="Q563" i="1"/>
  <c r="W562" i="1"/>
  <c r="V562" i="1"/>
  <c r="U562" i="1"/>
  <c r="T562" i="1"/>
  <c r="S562" i="1"/>
  <c r="R562" i="1"/>
  <c r="Q562" i="1"/>
  <c r="W561" i="1"/>
  <c r="V561" i="1"/>
  <c r="U561" i="1"/>
  <c r="T561" i="1"/>
  <c r="S561" i="1"/>
  <c r="R561" i="1"/>
  <c r="Q561" i="1"/>
  <c r="W560" i="1"/>
  <c r="V560" i="1"/>
  <c r="U560" i="1"/>
  <c r="T560" i="1"/>
  <c r="S560" i="1"/>
  <c r="R560" i="1"/>
  <c r="Q560" i="1"/>
  <c r="W559" i="1"/>
  <c r="V559" i="1"/>
  <c r="U559" i="1"/>
  <c r="T559" i="1"/>
  <c r="S559" i="1"/>
  <c r="R559" i="1"/>
  <c r="Q559" i="1"/>
  <c r="W558" i="1"/>
  <c r="V558" i="1"/>
  <c r="U558" i="1"/>
  <c r="T558" i="1"/>
  <c r="S558" i="1"/>
  <c r="R558" i="1"/>
  <c r="Q558" i="1"/>
  <c r="W557" i="1"/>
  <c r="V557" i="1"/>
  <c r="U557" i="1"/>
  <c r="T557" i="1"/>
  <c r="S557" i="1"/>
  <c r="R557" i="1"/>
  <c r="Q557" i="1"/>
  <c r="W556" i="1"/>
  <c r="V556" i="1"/>
  <c r="U556" i="1"/>
  <c r="T556" i="1"/>
  <c r="S556" i="1"/>
  <c r="R556" i="1"/>
  <c r="Q556" i="1"/>
  <c r="W555" i="1"/>
  <c r="V555" i="1"/>
  <c r="U555" i="1"/>
  <c r="T555" i="1"/>
  <c r="S555" i="1"/>
  <c r="R555" i="1"/>
  <c r="Q555" i="1"/>
  <c r="W554" i="1"/>
  <c r="V554" i="1"/>
  <c r="U554" i="1"/>
  <c r="T554" i="1"/>
  <c r="S554" i="1"/>
  <c r="R554" i="1"/>
  <c r="Q554" i="1"/>
  <c r="W553" i="1"/>
  <c r="V553" i="1"/>
  <c r="U553" i="1"/>
  <c r="T553" i="1"/>
  <c r="S553" i="1"/>
  <c r="R553" i="1"/>
  <c r="Q553" i="1"/>
  <c r="W552" i="1"/>
  <c r="V552" i="1"/>
  <c r="U552" i="1"/>
  <c r="T552" i="1"/>
  <c r="S552" i="1"/>
  <c r="R552" i="1"/>
  <c r="Q552" i="1"/>
  <c r="W551" i="1"/>
  <c r="V551" i="1"/>
  <c r="U551" i="1"/>
  <c r="T551" i="1"/>
  <c r="S551" i="1"/>
  <c r="R551" i="1"/>
  <c r="Q551" i="1"/>
  <c r="W550" i="1"/>
  <c r="V550" i="1"/>
  <c r="U550" i="1"/>
  <c r="T550" i="1"/>
  <c r="S550" i="1"/>
  <c r="R550" i="1"/>
  <c r="Q550" i="1"/>
  <c r="W549" i="1"/>
  <c r="V549" i="1"/>
  <c r="U549" i="1"/>
  <c r="T549" i="1"/>
  <c r="S549" i="1"/>
  <c r="R549" i="1"/>
  <c r="Q549" i="1"/>
  <c r="W548" i="1"/>
  <c r="V548" i="1"/>
  <c r="U548" i="1"/>
  <c r="T548" i="1"/>
  <c r="S548" i="1"/>
  <c r="R548" i="1"/>
  <c r="Q548" i="1"/>
  <c r="W547" i="1"/>
  <c r="V547" i="1"/>
  <c r="U547" i="1"/>
  <c r="T547" i="1"/>
  <c r="S547" i="1"/>
  <c r="R547" i="1"/>
  <c r="Q547" i="1"/>
  <c r="W546" i="1"/>
  <c r="V546" i="1"/>
  <c r="U546" i="1"/>
  <c r="T546" i="1"/>
  <c r="S546" i="1"/>
  <c r="R546" i="1"/>
  <c r="Q546" i="1"/>
  <c r="W545" i="1"/>
  <c r="V545" i="1"/>
  <c r="U545" i="1"/>
  <c r="T545" i="1"/>
  <c r="S545" i="1"/>
  <c r="R545" i="1"/>
  <c r="Q545" i="1"/>
  <c r="W544" i="1"/>
  <c r="V544" i="1"/>
  <c r="U544" i="1"/>
  <c r="T544" i="1"/>
  <c r="S544" i="1"/>
  <c r="R544" i="1"/>
  <c r="Q544" i="1"/>
  <c r="W543" i="1"/>
  <c r="V543" i="1"/>
  <c r="U543" i="1"/>
  <c r="T543" i="1"/>
  <c r="S543" i="1"/>
  <c r="R543" i="1"/>
  <c r="Q543" i="1"/>
  <c r="W542" i="1"/>
  <c r="V542" i="1"/>
  <c r="U542" i="1"/>
  <c r="T542" i="1"/>
  <c r="S542" i="1"/>
  <c r="R542" i="1"/>
  <c r="Q542" i="1"/>
  <c r="W541" i="1"/>
  <c r="V541" i="1"/>
  <c r="U541" i="1"/>
  <c r="T541" i="1"/>
  <c r="S541" i="1"/>
  <c r="R541" i="1"/>
  <c r="Q541" i="1"/>
  <c r="W540" i="1"/>
  <c r="V540" i="1"/>
  <c r="U540" i="1"/>
  <c r="T540" i="1"/>
  <c r="S540" i="1"/>
  <c r="R540" i="1"/>
  <c r="Q540" i="1"/>
  <c r="W539" i="1"/>
  <c r="V539" i="1"/>
  <c r="U539" i="1"/>
  <c r="T539" i="1"/>
  <c r="S539" i="1"/>
  <c r="R539" i="1"/>
  <c r="Q539" i="1"/>
  <c r="W538" i="1"/>
  <c r="V538" i="1"/>
  <c r="U538" i="1"/>
  <c r="T538" i="1"/>
  <c r="S538" i="1"/>
  <c r="R538" i="1"/>
  <c r="Q538" i="1"/>
  <c r="W537" i="1"/>
  <c r="V537" i="1"/>
  <c r="U537" i="1"/>
  <c r="T537" i="1"/>
  <c r="S537" i="1"/>
  <c r="R537" i="1"/>
  <c r="Q537" i="1"/>
  <c r="W536" i="1"/>
  <c r="V536" i="1"/>
  <c r="U536" i="1"/>
  <c r="T536" i="1"/>
  <c r="S536" i="1"/>
  <c r="R536" i="1"/>
  <c r="Q536" i="1"/>
  <c r="W535" i="1"/>
  <c r="V535" i="1"/>
  <c r="U535" i="1"/>
  <c r="T535" i="1"/>
  <c r="S535" i="1"/>
  <c r="R535" i="1"/>
  <c r="Q535" i="1"/>
  <c r="W534" i="1"/>
  <c r="V534" i="1"/>
  <c r="U534" i="1"/>
  <c r="T534" i="1"/>
  <c r="S534" i="1"/>
  <c r="R534" i="1"/>
  <c r="Q534" i="1"/>
  <c r="W533" i="1"/>
  <c r="V533" i="1"/>
  <c r="U533" i="1"/>
  <c r="T533" i="1"/>
  <c r="S533" i="1"/>
  <c r="R533" i="1"/>
  <c r="Q533" i="1"/>
  <c r="W532" i="1"/>
  <c r="V532" i="1"/>
  <c r="U532" i="1"/>
  <c r="T532" i="1"/>
  <c r="S532" i="1"/>
  <c r="R532" i="1"/>
  <c r="Q532" i="1"/>
  <c r="W531" i="1"/>
  <c r="V531" i="1"/>
  <c r="U531" i="1"/>
  <c r="T531" i="1"/>
  <c r="S531" i="1"/>
  <c r="R531" i="1"/>
  <c r="Q531" i="1"/>
  <c r="W530" i="1"/>
  <c r="V530" i="1"/>
  <c r="U530" i="1"/>
  <c r="T530" i="1"/>
  <c r="S530" i="1"/>
  <c r="R530" i="1"/>
  <c r="Q530" i="1"/>
  <c r="W529" i="1"/>
  <c r="V529" i="1"/>
  <c r="U529" i="1"/>
  <c r="T529" i="1"/>
  <c r="S529" i="1"/>
  <c r="R529" i="1"/>
  <c r="Q529" i="1"/>
  <c r="W528" i="1"/>
  <c r="V528" i="1"/>
  <c r="U528" i="1"/>
  <c r="T528" i="1"/>
  <c r="S528" i="1"/>
  <c r="R528" i="1"/>
  <c r="Q528" i="1"/>
  <c r="W527" i="1"/>
  <c r="V527" i="1"/>
  <c r="U527" i="1"/>
  <c r="T527" i="1"/>
  <c r="S527" i="1"/>
  <c r="R527" i="1"/>
  <c r="Q527" i="1"/>
  <c r="W526" i="1"/>
  <c r="V526" i="1"/>
  <c r="U526" i="1"/>
  <c r="T526" i="1"/>
  <c r="S526" i="1"/>
  <c r="R526" i="1"/>
  <c r="Q526" i="1"/>
  <c r="W525" i="1"/>
  <c r="V525" i="1"/>
  <c r="U525" i="1"/>
  <c r="T525" i="1"/>
  <c r="S525" i="1"/>
  <c r="R525" i="1"/>
  <c r="Q525" i="1"/>
  <c r="W524" i="1"/>
  <c r="V524" i="1"/>
  <c r="U524" i="1"/>
  <c r="T524" i="1"/>
  <c r="S524" i="1"/>
  <c r="R524" i="1"/>
  <c r="Q524" i="1"/>
  <c r="W523" i="1"/>
  <c r="V523" i="1"/>
  <c r="U523" i="1"/>
  <c r="T523" i="1"/>
  <c r="S523" i="1"/>
  <c r="R523" i="1"/>
  <c r="Q523" i="1"/>
  <c r="W522" i="1"/>
  <c r="V522" i="1"/>
  <c r="U522" i="1"/>
  <c r="T522" i="1"/>
  <c r="S522" i="1"/>
  <c r="R522" i="1"/>
  <c r="Q522" i="1"/>
  <c r="W521" i="1"/>
  <c r="V521" i="1"/>
  <c r="U521" i="1"/>
  <c r="T521" i="1"/>
  <c r="S521" i="1"/>
  <c r="R521" i="1"/>
  <c r="Q521" i="1"/>
  <c r="W520" i="1"/>
  <c r="V520" i="1"/>
  <c r="U520" i="1"/>
  <c r="T520" i="1"/>
  <c r="S520" i="1"/>
  <c r="R520" i="1"/>
  <c r="Q520" i="1"/>
  <c r="W519" i="1"/>
  <c r="V519" i="1"/>
  <c r="U519" i="1"/>
  <c r="T519" i="1"/>
  <c r="S519" i="1"/>
  <c r="R519" i="1"/>
  <c r="Q519" i="1"/>
  <c r="W518" i="1"/>
  <c r="V518" i="1"/>
  <c r="U518" i="1"/>
  <c r="T518" i="1"/>
  <c r="S518" i="1"/>
  <c r="R518" i="1"/>
  <c r="Q518" i="1"/>
  <c r="W517" i="1"/>
  <c r="V517" i="1"/>
  <c r="U517" i="1"/>
  <c r="T517" i="1"/>
  <c r="S517" i="1"/>
  <c r="R517" i="1"/>
  <c r="Q517" i="1"/>
  <c r="W516" i="1"/>
  <c r="V516" i="1"/>
  <c r="U516" i="1"/>
  <c r="T516" i="1"/>
  <c r="S516" i="1"/>
  <c r="R516" i="1"/>
  <c r="Q516" i="1"/>
  <c r="W515" i="1"/>
  <c r="V515" i="1"/>
  <c r="U515" i="1"/>
  <c r="T515" i="1"/>
  <c r="S515" i="1"/>
  <c r="R515" i="1"/>
  <c r="Q515" i="1"/>
  <c r="W514" i="1"/>
  <c r="V514" i="1"/>
  <c r="U514" i="1"/>
  <c r="T514" i="1"/>
  <c r="S514" i="1"/>
  <c r="R514" i="1"/>
  <c r="Q514" i="1"/>
  <c r="W513" i="1"/>
  <c r="V513" i="1"/>
  <c r="U513" i="1"/>
  <c r="T513" i="1"/>
  <c r="S513" i="1"/>
  <c r="R513" i="1"/>
  <c r="Q513" i="1"/>
  <c r="W512" i="1"/>
  <c r="V512" i="1"/>
  <c r="U512" i="1"/>
  <c r="T512" i="1"/>
  <c r="S512" i="1"/>
  <c r="R512" i="1"/>
  <c r="Q512" i="1"/>
  <c r="W511" i="1"/>
  <c r="V511" i="1"/>
  <c r="U511" i="1"/>
  <c r="T511" i="1"/>
  <c r="S511" i="1"/>
  <c r="R511" i="1"/>
  <c r="Q511" i="1"/>
  <c r="W510" i="1"/>
  <c r="V510" i="1"/>
  <c r="U510" i="1"/>
  <c r="T510" i="1"/>
  <c r="S510" i="1"/>
  <c r="R510" i="1"/>
  <c r="Q510" i="1"/>
  <c r="W509" i="1"/>
  <c r="V509" i="1"/>
  <c r="U509" i="1"/>
  <c r="T509" i="1"/>
  <c r="S509" i="1"/>
  <c r="R509" i="1"/>
  <c r="Q509" i="1"/>
  <c r="W508" i="1"/>
  <c r="V508" i="1"/>
  <c r="U508" i="1"/>
  <c r="T508" i="1"/>
  <c r="S508" i="1"/>
  <c r="R508" i="1"/>
  <c r="Q508" i="1"/>
  <c r="W507" i="1"/>
  <c r="V507" i="1"/>
  <c r="U507" i="1"/>
  <c r="T507" i="1"/>
  <c r="S507" i="1"/>
  <c r="R507" i="1"/>
  <c r="Q507" i="1"/>
  <c r="W506" i="1"/>
  <c r="V506" i="1"/>
  <c r="U506" i="1"/>
  <c r="T506" i="1"/>
  <c r="S506" i="1"/>
  <c r="R506" i="1"/>
  <c r="Q506" i="1"/>
  <c r="W505" i="1"/>
  <c r="V505" i="1"/>
  <c r="U505" i="1"/>
  <c r="T505" i="1"/>
  <c r="S505" i="1"/>
  <c r="R505" i="1"/>
  <c r="Q505" i="1"/>
  <c r="W504" i="1"/>
  <c r="V504" i="1"/>
  <c r="U504" i="1"/>
  <c r="T504" i="1"/>
  <c r="S504" i="1"/>
  <c r="R504" i="1"/>
  <c r="Q504" i="1"/>
  <c r="W503" i="1"/>
  <c r="V503" i="1"/>
  <c r="U503" i="1"/>
  <c r="T503" i="1"/>
  <c r="S503" i="1"/>
  <c r="R503" i="1"/>
  <c r="Q503" i="1"/>
  <c r="W502" i="1"/>
  <c r="V502" i="1"/>
  <c r="U502" i="1"/>
  <c r="T502" i="1"/>
  <c r="S502" i="1"/>
  <c r="R502" i="1"/>
  <c r="Q502" i="1"/>
  <c r="W501" i="1"/>
  <c r="V501" i="1"/>
  <c r="U501" i="1"/>
  <c r="T501" i="1"/>
  <c r="S501" i="1"/>
  <c r="R501" i="1"/>
  <c r="Q501" i="1"/>
  <c r="W500" i="1"/>
  <c r="V500" i="1"/>
  <c r="U500" i="1"/>
  <c r="T500" i="1"/>
  <c r="S500" i="1"/>
  <c r="R500" i="1"/>
  <c r="Q500" i="1"/>
  <c r="W499" i="1"/>
  <c r="V499" i="1"/>
  <c r="U499" i="1"/>
  <c r="T499" i="1"/>
  <c r="S499" i="1"/>
  <c r="R499" i="1"/>
  <c r="Q499" i="1"/>
  <c r="W498" i="1"/>
  <c r="V498" i="1"/>
  <c r="U498" i="1"/>
  <c r="T498" i="1"/>
  <c r="S498" i="1"/>
  <c r="R498" i="1"/>
  <c r="Q498" i="1"/>
  <c r="W497" i="1"/>
  <c r="V497" i="1"/>
  <c r="U497" i="1"/>
  <c r="T497" i="1"/>
  <c r="S497" i="1"/>
  <c r="R497" i="1"/>
  <c r="Q497" i="1"/>
  <c r="W496" i="1"/>
  <c r="V496" i="1"/>
  <c r="U496" i="1"/>
  <c r="T496" i="1"/>
  <c r="S496" i="1"/>
  <c r="R496" i="1"/>
  <c r="Q496" i="1"/>
  <c r="W495" i="1"/>
  <c r="V495" i="1"/>
  <c r="U495" i="1"/>
  <c r="T495" i="1"/>
  <c r="S495" i="1"/>
  <c r="R495" i="1"/>
  <c r="Q495" i="1"/>
  <c r="W494" i="1"/>
  <c r="V494" i="1"/>
  <c r="U494" i="1"/>
  <c r="T494" i="1"/>
  <c r="S494" i="1"/>
  <c r="R494" i="1"/>
  <c r="Q494" i="1"/>
  <c r="W493" i="1"/>
  <c r="V493" i="1"/>
  <c r="U493" i="1"/>
  <c r="T493" i="1"/>
  <c r="S493" i="1"/>
  <c r="R493" i="1"/>
  <c r="Q493" i="1"/>
  <c r="W492" i="1"/>
  <c r="V492" i="1"/>
  <c r="U492" i="1"/>
  <c r="T492" i="1"/>
  <c r="S492" i="1"/>
  <c r="R492" i="1"/>
  <c r="Q492" i="1"/>
  <c r="W491" i="1"/>
  <c r="V491" i="1"/>
  <c r="U491" i="1"/>
  <c r="T491" i="1"/>
  <c r="S491" i="1"/>
  <c r="R491" i="1"/>
  <c r="Q491" i="1"/>
  <c r="W490" i="1"/>
  <c r="V490" i="1"/>
  <c r="U490" i="1"/>
  <c r="T490" i="1"/>
  <c r="S490" i="1"/>
  <c r="R490" i="1"/>
  <c r="Q490" i="1"/>
  <c r="W489" i="1"/>
  <c r="V489" i="1"/>
  <c r="U489" i="1"/>
  <c r="T489" i="1"/>
  <c r="S489" i="1"/>
  <c r="R489" i="1"/>
  <c r="Q489" i="1"/>
  <c r="W488" i="1"/>
  <c r="V488" i="1"/>
  <c r="U488" i="1"/>
  <c r="T488" i="1"/>
  <c r="S488" i="1"/>
  <c r="R488" i="1"/>
  <c r="Q488" i="1"/>
  <c r="W487" i="1"/>
  <c r="V487" i="1"/>
  <c r="U487" i="1"/>
  <c r="T487" i="1"/>
  <c r="S487" i="1"/>
  <c r="R487" i="1"/>
  <c r="Q487" i="1"/>
  <c r="W486" i="1"/>
  <c r="V486" i="1"/>
  <c r="U486" i="1"/>
  <c r="T486" i="1"/>
  <c r="S486" i="1"/>
  <c r="R486" i="1"/>
  <c r="Q486" i="1"/>
  <c r="W485" i="1"/>
  <c r="V485" i="1"/>
  <c r="U485" i="1"/>
  <c r="T485" i="1"/>
  <c r="S485" i="1"/>
  <c r="R485" i="1"/>
  <c r="Q485" i="1"/>
  <c r="W484" i="1"/>
  <c r="V484" i="1"/>
  <c r="U484" i="1"/>
  <c r="T484" i="1"/>
  <c r="S484" i="1"/>
  <c r="R484" i="1"/>
  <c r="Q484" i="1"/>
  <c r="W483" i="1"/>
  <c r="V483" i="1"/>
  <c r="U483" i="1"/>
  <c r="T483" i="1"/>
  <c r="S483" i="1"/>
  <c r="R483" i="1"/>
  <c r="Q483" i="1"/>
  <c r="W482" i="1"/>
  <c r="V482" i="1"/>
  <c r="U482" i="1"/>
  <c r="T482" i="1"/>
  <c r="S482" i="1"/>
  <c r="R482" i="1"/>
  <c r="Q482" i="1"/>
  <c r="W481" i="1"/>
  <c r="V481" i="1"/>
  <c r="U481" i="1"/>
  <c r="T481" i="1"/>
  <c r="S481" i="1"/>
  <c r="R481" i="1"/>
  <c r="Q481" i="1"/>
  <c r="W480" i="1"/>
  <c r="V480" i="1"/>
  <c r="U480" i="1"/>
  <c r="T480" i="1"/>
  <c r="S480" i="1"/>
  <c r="R480" i="1"/>
  <c r="Q480" i="1"/>
  <c r="W479" i="1"/>
  <c r="V479" i="1"/>
  <c r="U479" i="1"/>
  <c r="T479" i="1"/>
  <c r="S479" i="1"/>
  <c r="R479" i="1"/>
  <c r="Q479" i="1"/>
  <c r="W478" i="1"/>
  <c r="V478" i="1"/>
  <c r="U478" i="1"/>
  <c r="T478" i="1"/>
  <c r="S478" i="1"/>
  <c r="R478" i="1"/>
  <c r="Q478" i="1"/>
  <c r="W477" i="1"/>
  <c r="V477" i="1"/>
  <c r="U477" i="1"/>
  <c r="T477" i="1"/>
  <c r="S477" i="1"/>
  <c r="R477" i="1"/>
  <c r="Q477" i="1"/>
  <c r="W476" i="1"/>
  <c r="V476" i="1"/>
  <c r="U476" i="1"/>
  <c r="T476" i="1"/>
  <c r="S476" i="1"/>
  <c r="R476" i="1"/>
  <c r="Q476" i="1"/>
  <c r="W475" i="1"/>
  <c r="V475" i="1"/>
  <c r="U475" i="1"/>
  <c r="T475" i="1"/>
  <c r="S475" i="1"/>
  <c r="R475" i="1"/>
  <c r="Q475" i="1"/>
  <c r="W474" i="1"/>
  <c r="V474" i="1"/>
  <c r="U474" i="1"/>
  <c r="T474" i="1"/>
  <c r="S474" i="1"/>
  <c r="R474" i="1"/>
  <c r="Q474" i="1"/>
  <c r="W473" i="1"/>
  <c r="V473" i="1"/>
  <c r="U473" i="1"/>
  <c r="T473" i="1"/>
  <c r="S473" i="1"/>
  <c r="R473" i="1"/>
  <c r="Q473" i="1"/>
  <c r="W472" i="1"/>
  <c r="V472" i="1"/>
  <c r="U472" i="1"/>
  <c r="T472" i="1"/>
  <c r="S472" i="1"/>
  <c r="R472" i="1"/>
  <c r="Q472" i="1"/>
  <c r="W471" i="1"/>
  <c r="V471" i="1"/>
  <c r="U471" i="1"/>
  <c r="T471" i="1"/>
  <c r="S471" i="1"/>
  <c r="R471" i="1"/>
  <c r="Q471" i="1"/>
  <c r="W470" i="1"/>
  <c r="V470" i="1"/>
  <c r="U470" i="1"/>
  <c r="T470" i="1"/>
  <c r="S470" i="1"/>
  <c r="R470" i="1"/>
  <c r="Q470" i="1"/>
  <c r="W469" i="1"/>
  <c r="V469" i="1"/>
  <c r="U469" i="1"/>
  <c r="T469" i="1"/>
  <c r="S469" i="1"/>
  <c r="R469" i="1"/>
  <c r="Q469" i="1"/>
  <c r="W468" i="1"/>
  <c r="V468" i="1"/>
  <c r="U468" i="1"/>
  <c r="T468" i="1"/>
  <c r="S468" i="1"/>
  <c r="R468" i="1"/>
  <c r="Q468" i="1"/>
  <c r="W467" i="1"/>
  <c r="V467" i="1"/>
  <c r="U467" i="1"/>
  <c r="T467" i="1"/>
  <c r="S467" i="1"/>
  <c r="R467" i="1"/>
  <c r="Q467" i="1"/>
  <c r="W466" i="1"/>
  <c r="V466" i="1"/>
  <c r="U466" i="1"/>
  <c r="T466" i="1"/>
  <c r="S466" i="1"/>
  <c r="R466" i="1"/>
  <c r="Q466" i="1"/>
  <c r="W465" i="1"/>
  <c r="V465" i="1"/>
  <c r="U465" i="1"/>
  <c r="T465" i="1"/>
  <c r="S465" i="1"/>
  <c r="R465" i="1"/>
  <c r="Q465" i="1"/>
  <c r="W464" i="1"/>
  <c r="V464" i="1"/>
  <c r="U464" i="1"/>
  <c r="T464" i="1"/>
  <c r="S464" i="1"/>
  <c r="R464" i="1"/>
  <c r="Q464" i="1"/>
  <c r="W463" i="1"/>
  <c r="V463" i="1"/>
  <c r="U463" i="1"/>
  <c r="T463" i="1"/>
  <c r="S463" i="1"/>
  <c r="R463" i="1"/>
  <c r="Q463" i="1"/>
  <c r="W462" i="1"/>
  <c r="V462" i="1"/>
  <c r="U462" i="1"/>
  <c r="T462" i="1"/>
  <c r="S462" i="1"/>
  <c r="R462" i="1"/>
  <c r="Q462" i="1"/>
  <c r="W461" i="1"/>
  <c r="V461" i="1"/>
  <c r="U461" i="1"/>
  <c r="T461" i="1"/>
  <c r="S461" i="1"/>
  <c r="R461" i="1"/>
  <c r="Q461" i="1"/>
  <c r="W460" i="1"/>
  <c r="V460" i="1"/>
  <c r="U460" i="1"/>
  <c r="T460" i="1"/>
  <c r="S460" i="1"/>
  <c r="R460" i="1"/>
  <c r="Q460" i="1"/>
  <c r="W459" i="1"/>
  <c r="V459" i="1"/>
  <c r="U459" i="1"/>
  <c r="T459" i="1"/>
  <c r="S459" i="1"/>
  <c r="R459" i="1"/>
  <c r="Q459" i="1"/>
  <c r="W458" i="1"/>
  <c r="V458" i="1"/>
  <c r="U458" i="1"/>
  <c r="T458" i="1"/>
  <c r="S458" i="1"/>
  <c r="R458" i="1"/>
  <c r="Q458" i="1"/>
  <c r="W457" i="1"/>
  <c r="V457" i="1"/>
  <c r="U457" i="1"/>
  <c r="T457" i="1"/>
  <c r="S457" i="1"/>
  <c r="R457" i="1"/>
  <c r="Q457" i="1"/>
  <c r="W456" i="1"/>
  <c r="V456" i="1"/>
  <c r="U456" i="1"/>
  <c r="T456" i="1"/>
  <c r="S456" i="1"/>
  <c r="R456" i="1"/>
  <c r="Q456" i="1"/>
  <c r="W455" i="1"/>
  <c r="V455" i="1"/>
  <c r="U455" i="1"/>
  <c r="T455" i="1"/>
  <c r="S455" i="1"/>
  <c r="R455" i="1"/>
  <c r="Q455" i="1"/>
  <c r="W454" i="1"/>
  <c r="V454" i="1"/>
  <c r="U454" i="1"/>
  <c r="T454" i="1"/>
  <c r="S454" i="1"/>
  <c r="R454" i="1"/>
  <c r="Q454" i="1"/>
  <c r="W453" i="1"/>
  <c r="V453" i="1"/>
  <c r="U453" i="1"/>
  <c r="T453" i="1"/>
  <c r="S453" i="1"/>
  <c r="R453" i="1"/>
  <c r="Q453" i="1"/>
  <c r="W452" i="1"/>
  <c r="V452" i="1"/>
  <c r="U452" i="1"/>
  <c r="T452" i="1"/>
  <c r="S452" i="1"/>
  <c r="R452" i="1"/>
  <c r="Q452" i="1"/>
  <c r="W451" i="1"/>
  <c r="V451" i="1"/>
  <c r="U451" i="1"/>
  <c r="T451" i="1"/>
  <c r="S451" i="1"/>
  <c r="R451" i="1"/>
  <c r="Q451" i="1"/>
  <c r="W450" i="1"/>
  <c r="V450" i="1"/>
  <c r="U450" i="1"/>
  <c r="T450" i="1"/>
  <c r="S450" i="1"/>
  <c r="R450" i="1"/>
  <c r="Q450" i="1"/>
  <c r="W449" i="1"/>
  <c r="V449" i="1"/>
  <c r="U449" i="1"/>
  <c r="T449" i="1"/>
  <c r="S449" i="1"/>
  <c r="R449" i="1"/>
  <c r="Q449" i="1"/>
  <c r="W448" i="1"/>
  <c r="V448" i="1"/>
  <c r="U448" i="1"/>
  <c r="T448" i="1"/>
  <c r="S448" i="1"/>
  <c r="R448" i="1"/>
  <c r="Q448" i="1"/>
  <c r="W447" i="1"/>
  <c r="V447" i="1"/>
  <c r="U447" i="1"/>
  <c r="T447" i="1"/>
  <c r="S447" i="1"/>
  <c r="R447" i="1"/>
  <c r="Q447" i="1"/>
  <c r="W446" i="1"/>
  <c r="V446" i="1"/>
  <c r="U446" i="1"/>
  <c r="T446" i="1"/>
  <c r="S446" i="1"/>
  <c r="R446" i="1"/>
  <c r="Q446" i="1"/>
  <c r="W445" i="1"/>
  <c r="V445" i="1"/>
  <c r="U445" i="1"/>
  <c r="T445" i="1"/>
  <c r="S445" i="1"/>
  <c r="R445" i="1"/>
  <c r="Q445" i="1"/>
  <c r="W444" i="1"/>
  <c r="V444" i="1"/>
  <c r="U444" i="1"/>
  <c r="T444" i="1"/>
  <c r="S444" i="1"/>
  <c r="R444" i="1"/>
  <c r="Q444" i="1"/>
  <c r="W443" i="1"/>
  <c r="V443" i="1"/>
  <c r="U443" i="1"/>
  <c r="T443" i="1"/>
  <c r="S443" i="1"/>
  <c r="R443" i="1"/>
  <c r="Q443" i="1"/>
  <c r="W442" i="1"/>
  <c r="V442" i="1"/>
  <c r="U442" i="1"/>
  <c r="T442" i="1"/>
  <c r="S442" i="1"/>
  <c r="R442" i="1"/>
  <c r="Q442" i="1"/>
  <c r="W441" i="1"/>
  <c r="V441" i="1"/>
  <c r="U441" i="1"/>
  <c r="T441" i="1"/>
  <c r="S441" i="1"/>
  <c r="R441" i="1"/>
  <c r="Q441" i="1"/>
  <c r="W440" i="1"/>
  <c r="V440" i="1"/>
  <c r="U440" i="1"/>
  <c r="T440" i="1"/>
  <c r="S440" i="1"/>
  <c r="R440" i="1"/>
  <c r="Q440" i="1"/>
  <c r="W439" i="1"/>
  <c r="V439" i="1"/>
  <c r="U439" i="1"/>
  <c r="T439" i="1"/>
  <c r="S439" i="1"/>
  <c r="R439" i="1"/>
  <c r="Q439" i="1"/>
  <c r="W438" i="1"/>
  <c r="V438" i="1"/>
  <c r="U438" i="1"/>
  <c r="T438" i="1"/>
  <c r="S438" i="1"/>
  <c r="R438" i="1"/>
  <c r="Q438" i="1"/>
  <c r="W437" i="1"/>
  <c r="V437" i="1"/>
  <c r="U437" i="1"/>
  <c r="T437" i="1"/>
  <c r="S437" i="1"/>
  <c r="R437" i="1"/>
  <c r="Q437" i="1"/>
  <c r="W436" i="1"/>
  <c r="V436" i="1"/>
  <c r="U436" i="1"/>
  <c r="T436" i="1"/>
  <c r="S436" i="1"/>
  <c r="R436" i="1"/>
  <c r="Q436" i="1"/>
  <c r="W435" i="1"/>
  <c r="V435" i="1"/>
  <c r="U435" i="1"/>
  <c r="T435" i="1"/>
  <c r="S435" i="1"/>
  <c r="R435" i="1"/>
  <c r="Q435" i="1"/>
  <c r="W434" i="1"/>
  <c r="V434" i="1"/>
  <c r="U434" i="1"/>
  <c r="T434" i="1"/>
  <c r="S434" i="1"/>
  <c r="R434" i="1"/>
  <c r="Q434" i="1"/>
  <c r="W433" i="1"/>
  <c r="V433" i="1"/>
  <c r="U433" i="1"/>
  <c r="T433" i="1"/>
  <c r="S433" i="1"/>
  <c r="R433" i="1"/>
  <c r="Q433" i="1"/>
  <c r="W432" i="1"/>
  <c r="V432" i="1"/>
  <c r="U432" i="1"/>
  <c r="T432" i="1"/>
  <c r="S432" i="1"/>
  <c r="R432" i="1"/>
  <c r="Q432" i="1"/>
  <c r="W431" i="1"/>
  <c r="V431" i="1"/>
  <c r="U431" i="1"/>
  <c r="T431" i="1"/>
  <c r="S431" i="1"/>
  <c r="R431" i="1"/>
  <c r="Q431" i="1"/>
  <c r="W430" i="1"/>
  <c r="V430" i="1"/>
  <c r="U430" i="1"/>
  <c r="T430" i="1"/>
  <c r="S430" i="1"/>
  <c r="R430" i="1"/>
  <c r="Q430" i="1"/>
  <c r="W429" i="1"/>
  <c r="V429" i="1"/>
  <c r="U429" i="1"/>
  <c r="T429" i="1"/>
  <c r="S429" i="1"/>
  <c r="R429" i="1"/>
  <c r="Q429" i="1"/>
  <c r="W428" i="1"/>
  <c r="V428" i="1"/>
  <c r="U428" i="1"/>
  <c r="T428" i="1"/>
  <c r="S428" i="1"/>
  <c r="R428" i="1"/>
  <c r="Q428" i="1"/>
  <c r="W427" i="1"/>
  <c r="V427" i="1"/>
  <c r="U427" i="1"/>
  <c r="T427" i="1"/>
  <c r="S427" i="1"/>
  <c r="R427" i="1"/>
  <c r="Q427" i="1"/>
  <c r="W426" i="1"/>
  <c r="V426" i="1"/>
  <c r="U426" i="1"/>
  <c r="T426" i="1"/>
  <c r="S426" i="1"/>
  <c r="R426" i="1"/>
  <c r="Q426" i="1"/>
  <c r="W425" i="1"/>
  <c r="V425" i="1"/>
  <c r="U425" i="1"/>
  <c r="T425" i="1"/>
  <c r="S425" i="1"/>
  <c r="R425" i="1"/>
  <c r="Q425" i="1"/>
  <c r="W424" i="1"/>
  <c r="V424" i="1"/>
  <c r="U424" i="1"/>
  <c r="T424" i="1"/>
  <c r="S424" i="1"/>
  <c r="R424" i="1"/>
  <c r="Q424" i="1"/>
  <c r="W423" i="1"/>
  <c r="V423" i="1"/>
  <c r="U423" i="1"/>
  <c r="T423" i="1"/>
  <c r="S423" i="1"/>
  <c r="R423" i="1"/>
  <c r="Q423" i="1"/>
  <c r="W422" i="1"/>
  <c r="V422" i="1"/>
  <c r="U422" i="1"/>
  <c r="T422" i="1"/>
  <c r="S422" i="1"/>
  <c r="R422" i="1"/>
  <c r="Q422" i="1"/>
  <c r="W421" i="1"/>
  <c r="V421" i="1"/>
  <c r="U421" i="1"/>
  <c r="T421" i="1"/>
  <c r="S421" i="1"/>
  <c r="R421" i="1"/>
  <c r="Q421" i="1"/>
  <c r="W420" i="1"/>
  <c r="V420" i="1"/>
  <c r="U420" i="1"/>
  <c r="T420" i="1"/>
  <c r="S420" i="1"/>
  <c r="R420" i="1"/>
  <c r="Q420" i="1"/>
  <c r="W419" i="1"/>
  <c r="V419" i="1"/>
  <c r="U419" i="1"/>
  <c r="T419" i="1"/>
  <c r="S419" i="1"/>
  <c r="R419" i="1"/>
  <c r="Q419" i="1"/>
  <c r="W418" i="1"/>
  <c r="V418" i="1"/>
  <c r="U418" i="1"/>
  <c r="T418" i="1"/>
  <c r="S418" i="1"/>
  <c r="R418" i="1"/>
  <c r="Q418" i="1"/>
  <c r="W417" i="1"/>
  <c r="V417" i="1"/>
  <c r="U417" i="1"/>
  <c r="T417" i="1"/>
  <c r="S417" i="1"/>
  <c r="R417" i="1"/>
  <c r="Q417" i="1"/>
  <c r="W416" i="1"/>
  <c r="V416" i="1"/>
  <c r="U416" i="1"/>
  <c r="T416" i="1"/>
  <c r="S416" i="1"/>
  <c r="R416" i="1"/>
  <c r="Q416" i="1"/>
  <c r="W415" i="1"/>
  <c r="V415" i="1"/>
  <c r="U415" i="1"/>
  <c r="T415" i="1"/>
  <c r="S415" i="1"/>
  <c r="R415" i="1"/>
  <c r="Q415" i="1"/>
  <c r="W414" i="1"/>
  <c r="V414" i="1"/>
  <c r="U414" i="1"/>
  <c r="T414" i="1"/>
  <c r="S414" i="1"/>
  <c r="R414" i="1"/>
  <c r="Q414" i="1"/>
  <c r="W413" i="1"/>
  <c r="V413" i="1"/>
  <c r="U413" i="1"/>
  <c r="T413" i="1"/>
  <c r="S413" i="1"/>
  <c r="R413" i="1"/>
  <c r="Q413" i="1"/>
  <c r="W412" i="1"/>
  <c r="V412" i="1"/>
  <c r="U412" i="1"/>
  <c r="T412" i="1"/>
  <c r="S412" i="1"/>
  <c r="R412" i="1"/>
  <c r="Q412" i="1"/>
  <c r="W411" i="1"/>
  <c r="V411" i="1"/>
  <c r="U411" i="1"/>
  <c r="T411" i="1"/>
  <c r="S411" i="1"/>
  <c r="R411" i="1"/>
  <c r="Q411" i="1"/>
  <c r="W410" i="1"/>
  <c r="V410" i="1"/>
  <c r="U410" i="1"/>
  <c r="T410" i="1"/>
  <c r="S410" i="1"/>
  <c r="R410" i="1"/>
  <c r="Q410" i="1"/>
  <c r="W409" i="1"/>
  <c r="V409" i="1"/>
  <c r="U409" i="1"/>
  <c r="T409" i="1"/>
  <c r="S409" i="1"/>
  <c r="R409" i="1"/>
  <c r="Q409" i="1"/>
  <c r="W408" i="1"/>
  <c r="V408" i="1"/>
  <c r="U408" i="1"/>
  <c r="T408" i="1"/>
  <c r="S408" i="1"/>
  <c r="R408" i="1"/>
  <c r="Q408" i="1"/>
  <c r="W407" i="1"/>
  <c r="V407" i="1"/>
  <c r="U407" i="1"/>
  <c r="T407" i="1"/>
  <c r="S407" i="1"/>
  <c r="R407" i="1"/>
  <c r="Q407" i="1"/>
  <c r="W406" i="1"/>
  <c r="V406" i="1"/>
  <c r="U406" i="1"/>
  <c r="T406" i="1"/>
  <c r="S406" i="1"/>
  <c r="R406" i="1"/>
  <c r="Q406" i="1"/>
  <c r="W405" i="1"/>
  <c r="V405" i="1"/>
  <c r="U405" i="1"/>
  <c r="T405" i="1"/>
  <c r="S405" i="1"/>
  <c r="R405" i="1"/>
  <c r="Q405" i="1"/>
  <c r="W404" i="1"/>
  <c r="V404" i="1"/>
  <c r="U404" i="1"/>
  <c r="T404" i="1"/>
  <c r="S404" i="1"/>
  <c r="R404" i="1"/>
  <c r="Q404" i="1"/>
  <c r="W403" i="1"/>
  <c r="V403" i="1"/>
  <c r="U403" i="1"/>
  <c r="T403" i="1"/>
  <c r="S403" i="1"/>
  <c r="R403" i="1"/>
  <c r="Q403" i="1"/>
  <c r="W402" i="1"/>
  <c r="V402" i="1"/>
  <c r="U402" i="1"/>
  <c r="T402" i="1"/>
  <c r="S402" i="1"/>
  <c r="R402" i="1"/>
  <c r="Q402" i="1"/>
  <c r="W401" i="1"/>
  <c r="V401" i="1"/>
  <c r="U401" i="1"/>
  <c r="T401" i="1"/>
  <c r="S401" i="1"/>
  <c r="R401" i="1"/>
  <c r="Q401" i="1"/>
  <c r="W400" i="1"/>
  <c r="V400" i="1"/>
  <c r="U400" i="1"/>
  <c r="T400" i="1"/>
  <c r="S400" i="1"/>
  <c r="R400" i="1"/>
  <c r="Q400" i="1"/>
  <c r="W399" i="1"/>
  <c r="V399" i="1"/>
  <c r="U399" i="1"/>
  <c r="T399" i="1"/>
  <c r="S399" i="1"/>
  <c r="R399" i="1"/>
  <c r="Q399" i="1"/>
  <c r="W398" i="1"/>
  <c r="V398" i="1"/>
  <c r="U398" i="1"/>
  <c r="T398" i="1"/>
  <c r="S398" i="1"/>
  <c r="R398" i="1"/>
  <c r="Q398" i="1"/>
  <c r="W397" i="1"/>
  <c r="V397" i="1"/>
  <c r="U397" i="1"/>
  <c r="T397" i="1"/>
  <c r="S397" i="1"/>
  <c r="R397" i="1"/>
  <c r="Q397" i="1"/>
  <c r="W396" i="1"/>
  <c r="V396" i="1"/>
  <c r="U396" i="1"/>
  <c r="T396" i="1"/>
  <c r="S396" i="1"/>
  <c r="R396" i="1"/>
  <c r="Q396" i="1"/>
  <c r="W395" i="1"/>
  <c r="V395" i="1"/>
  <c r="U395" i="1"/>
  <c r="T395" i="1"/>
  <c r="S395" i="1"/>
  <c r="R395" i="1"/>
  <c r="Q395" i="1"/>
  <c r="W394" i="1"/>
  <c r="V394" i="1"/>
  <c r="U394" i="1"/>
  <c r="T394" i="1"/>
  <c r="S394" i="1"/>
  <c r="R394" i="1"/>
  <c r="Q394" i="1"/>
  <c r="W393" i="1"/>
  <c r="V393" i="1"/>
  <c r="U393" i="1"/>
  <c r="T393" i="1"/>
  <c r="S393" i="1"/>
  <c r="R393" i="1"/>
  <c r="Q393" i="1"/>
  <c r="W392" i="1"/>
  <c r="V392" i="1"/>
  <c r="U392" i="1"/>
  <c r="T392" i="1"/>
  <c r="S392" i="1"/>
  <c r="R392" i="1"/>
  <c r="Q392" i="1"/>
  <c r="W391" i="1"/>
  <c r="V391" i="1"/>
  <c r="U391" i="1"/>
  <c r="T391" i="1"/>
  <c r="S391" i="1"/>
  <c r="R391" i="1"/>
  <c r="Q391" i="1"/>
  <c r="W390" i="1"/>
  <c r="V390" i="1"/>
  <c r="U390" i="1"/>
  <c r="T390" i="1"/>
  <c r="S390" i="1"/>
  <c r="R390" i="1"/>
  <c r="Q390" i="1"/>
  <c r="W389" i="1"/>
  <c r="V389" i="1"/>
  <c r="U389" i="1"/>
  <c r="T389" i="1"/>
  <c r="S389" i="1"/>
  <c r="R389" i="1"/>
  <c r="Q389" i="1"/>
  <c r="W388" i="1"/>
  <c r="V388" i="1"/>
  <c r="U388" i="1"/>
  <c r="T388" i="1"/>
  <c r="S388" i="1"/>
  <c r="R388" i="1"/>
  <c r="Q388" i="1"/>
  <c r="W387" i="1"/>
  <c r="V387" i="1"/>
  <c r="U387" i="1"/>
  <c r="T387" i="1"/>
  <c r="S387" i="1"/>
  <c r="R387" i="1"/>
  <c r="Q387" i="1"/>
  <c r="W386" i="1"/>
  <c r="V386" i="1"/>
  <c r="U386" i="1"/>
  <c r="T386" i="1"/>
  <c r="S386" i="1"/>
  <c r="R386" i="1"/>
  <c r="Q386" i="1"/>
  <c r="W385" i="1"/>
  <c r="V385" i="1"/>
  <c r="U385" i="1"/>
  <c r="T385" i="1"/>
  <c r="S385" i="1"/>
  <c r="R385" i="1"/>
  <c r="Q385" i="1"/>
  <c r="W384" i="1"/>
  <c r="V384" i="1"/>
  <c r="U384" i="1"/>
  <c r="T384" i="1"/>
  <c r="S384" i="1"/>
  <c r="R384" i="1"/>
  <c r="Q384" i="1"/>
  <c r="W383" i="1"/>
  <c r="V383" i="1"/>
  <c r="U383" i="1"/>
  <c r="T383" i="1"/>
  <c r="S383" i="1"/>
  <c r="R383" i="1"/>
  <c r="Q383" i="1"/>
  <c r="W382" i="1"/>
  <c r="V382" i="1"/>
  <c r="U382" i="1"/>
  <c r="T382" i="1"/>
  <c r="S382" i="1"/>
  <c r="R382" i="1"/>
  <c r="Q382" i="1"/>
  <c r="W381" i="1"/>
  <c r="V381" i="1"/>
  <c r="U381" i="1"/>
  <c r="T381" i="1"/>
  <c r="S381" i="1"/>
  <c r="R381" i="1"/>
  <c r="Q381" i="1"/>
  <c r="W380" i="1"/>
  <c r="V380" i="1"/>
  <c r="U380" i="1"/>
  <c r="T380" i="1"/>
  <c r="S380" i="1"/>
  <c r="R380" i="1"/>
  <c r="Q380" i="1"/>
  <c r="W379" i="1"/>
  <c r="V379" i="1"/>
  <c r="U379" i="1"/>
  <c r="T379" i="1"/>
  <c r="S379" i="1"/>
  <c r="R379" i="1"/>
  <c r="Q379" i="1"/>
  <c r="W378" i="1"/>
  <c r="V378" i="1"/>
  <c r="U378" i="1"/>
  <c r="T378" i="1"/>
  <c r="S378" i="1"/>
  <c r="R378" i="1"/>
  <c r="Q378" i="1"/>
  <c r="W377" i="1"/>
  <c r="V377" i="1"/>
  <c r="U377" i="1"/>
  <c r="T377" i="1"/>
  <c r="S377" i="1"/>
  <c r="R377" i="1"/>
  <c r="Q377" i="1"/>
  <c r="W376" i="1"/>
  <c r="V376" i="1"/>
  <c r="U376" i="1"/>
  <c r="T376" i="1"/>
  <c r="S376" i="1"/>
  <c r="R376" i="1"/>
  <c r="Q376" i="1"/>
  <c r="W375" i="1"/>
  <c r="V375" i="1"/>
  <c r="U375" i="1"/>
  <c r="T375" i="1"/>
  <c r="S375" i="1"/>
  <c r="R375" i="1"/>
  <c r="Q375" i="1"/>
  <c r="W374" i="1"/>
  <c r="V374" i="1"/>
  <c r="U374" i="1"/>
  <c r="T374" i="1"/>
  <c r="S374" i="1"/>
  <c r="R374" i="1"/>
  <c r="Q374" i="1"/>
  <c r="W373" i="1"/>
  <c r="V373" i="1"/>
  <c r="U373" i="1"/>
  <c r="T373" i="1"/>
  <c r="S373" i="1"/>
  <c r="R373" i="1"/>
  <c r="Q373" i="1"/>
  <c r="W372" i="1"/>
  <c r="V372" i="1"/>
  <c r="U372" i="1"/>
  <c r="T372" i="1"/>
  <c r="S372" i="1"/>
  <c r="R372" i="1"/>
  <c r="Q372" i="1"/>
  <c r="W371" i="1"/>
  <c r="V371" i="1"/>
  <c r="U371" i="1"/>
  <c r="T371" i="1"/>
  <c r="S371" i="1"/>
  <c r="R371" i="1"/>
  <c r="Q371" i="1"/>
  <c r="W370" i="1"/>
  <c r="V370" i="1"/>
  <c r="U370" i="1"/>
  <c r="T370" i="1"/>
  <c r="S370" i="1"/>
  <c r="R370" i="1"/>
  <c r="Q370" i="1"/>
  <c r="W369" i="1"/>
  <c r="V369" i="1"/>
  <c r="U369" i="1"/>
  <c r="T369" i="1"/>
  <c r="S369" i="1"/>
  <c r="R369" i="1"/>
  <c r="Q369" i="1"/>
  <c r="W368" i="1"/>
  <c r="V368" i="1"/>
  <c r="U368" i="1"/>
  <c r="T368" i="1"/>
  <c r="S368" i="1"/>
  <c r="R368" i="1"/>
  <c r="Q368" i="1"/>
  <c r="W367" i="1"/>
  <c r="V367" i="1"/>
  <c r="U367" i="1"/>
  <c r="T367" i="1"/>
  <c r="S367" i="1"/>
  <c r="R367" i="1"/>
  <c r="Q367" i="1"/>
  <c r="W366" i="1"/>
  <c r="V366" i="1"/>
  <c r="U366" i="1"/>
  <c r="T366" i="1"/>
  <c r="S366" i="1"/>
  <c r="R366" i="1"/>
  <c r="Q366" i="1"/>
  <c r="W365" i="1"/>
  <c r="V365" i="1"/>
  <c r="U365" i="1"/>
  <c r="T365" i="1"/>
  <c r="S365" i="1"/>
  <c r="R365" i="1"/>
  <c r="Q365" i="1"/>
  <c r="W364" i="1"/>
  <c r="V364" i="1"/>
  <c r="U364" i="1"/>
  <c r="T364" i="1"/>
  <c r="S364" i="1"/>
  <c r="R364" i="1"/>
  <c r="Q364" i="1"/>
  <c r="W363" i="1"/>
  <c r="V363" i="1"/>
  <c r="U363" i="1"/>
  <c r="T363" i="1"/>
  <c r="S363" i="1"/>
  <c r="R363" i="1"/>
  <c r="Q363" i="1"/>
  <c r="W362" i="1"/>
  <c r="V362" i="1"/>
  <c r="U362" i="1"/>
  <c r="T362" i="1"/>
  <c r="S362" i="1"/>
  <c r="R362" i="1"/>
  <c r="Q362" i="1"/>
  <c r="W361" i="1"/>
  <c r="V361" i="1"/>
  <c r="U361" i="1"/>
  <c r="T361" i="1"/>
  <c r="S361" i="1"/>
  <c r="R361" i="1"/>
  <c r="Q361" i="1"/>
  <c r="W360" i="1"/>
  <c r="V360" i="1"/>
  <c r="U360" i="1"/>
  <c r="T360" i="1"/>
  <c r="S360" i="1"/>
  <c r="R360" i="1"/>
  <c r="Q360" i="1"/>
  <c r="W359" i="1"/>
  <c r="V359" i="1"/>
  <c r="U359" i="1"/>
  <c r="T359" i="1"/>
  <c r="S359" i="1"/>
  <c r="R359" i="1"/>
  <c r="Q359" i="1"/>
  <c r="W358" i="1"/>
  <c r="V358" i="1"/>
  <c r="U358" i="1"/>
  <c r="T358" i="1"/>
  <c r="S358" i="1"/>
  <c r="R358" i="1"/>
  <c r="Q358" i="1"/>
  <c r="W357" i="1"/>
  <c r="V357" i="1"/>
  <c r="U357" i="1"/>
  <c r="T357" i="1"/>
  <c r="S357" i="1"/>
  <c r="R357" i="1"/>
  <c r="Q357" i="1"/>
  <c r="W356" i="1"/>
  <c r="V356" i="1"/>
  <c r="U356" i="1"/>
  <c r="T356" i="1"/>
  <c r="S356" i="1"/>
  <c r="R356" i="1"/>
  <c r="Q356" i="1"/>
  <c r="W355" i="1"/>
  <c r="V355" i="1"/>
  <c r="U355" i="1"/>
  <c r="T355" i="1"/>
  <c r="S355" i="1"/>
  <c r="R355" i="1"/>
  <c r="Q355" i="1"/>
  <c r="W354" i="1"/>
  <c r="V354" i="1"/>
  <c r="U354" i="1"/>
  <c r="T354" i="1"/>
  <c r="S354" i="1"/>
  <c r="R354" i="1"/>
  <c r="Q354" i="1"/>
  <c r="W353" i="1"/>
  <c r="V353" i="1"/>
  <c r="U353" i="1"/>
  <c r="T353" i="1"/>
  <c r="S353" i="1"/>
  <c r="R353" i="1"/>
  <c r="Q353" i="1"/>
  <c r="W352" i="1"/>
  <c r="V352" i="1"/>
  <c r="U352" i="1"/>
  <c r="T352" i="1"/>
  <c r="S352" i="1"/>
  <c r="R352" i="1"/>
  <c r="Q352" i="1"/>
  <c r="W351" i="1"/>
  <c r="V351" i="1"/>
  <c r="U351" i="1"/>
  <c r="T351" i="1"/>
  <c r="S351" i="1"/>
  <c r="R351" i="1"/>
  <c r="Q351" i="1"/>
  <c r="W350" i="1"/>
  <c r="V350" i="1"/>
  <c r="U350" i="1"/>
  <c r="T350" i="1"/>
  <c r="S350" i="1"/>
  <c r="R350" i="1"/>
  <c r="Q350" i="1"/>
  <c r="W349" i="1"/>
  <c r="V349" i="1"/>
  <c r="U349" i="1"/>
  <c r="T349" i="1"/>
  <c r="S349" i="1"/>
  <c r="R349" i="1"/>
  <c r="Q349" i="1"/>
  <c r="W348" i="1"/>
  <c r="V348" i="1"/>
  <c r="U348" i="1"/>
  <c r="T348" i="1"/>
  <c r="S348" i="1"/>
  <c r="R348" i="1"/>
  <c r="Q348" i="1"/>
  <c r="W347" i="1"/>
  <c r="V347" i="1"/>
  <c r="U347" i="1"/>
  <c r="T347" i="1"/>
  <c r="S347" i="1"/>
  <c r="R347" i="1"/>
  <c r="Q347" i="1"/>
  <c r="W346" i="1"/>
  <c r="V346" i="1"/>
  <c r="U346" i="1"/>
  <c r="T346" i="1"/>
  <c r="S346" i="1"/>
  <c r="R346" i="1"/>
  <c r="Q346" i="1"/>
  <c r="W345" i="1"/>
  <c r="V345" i="1"/>
  <c r="U345" i="1"/>
  <c r="T345" i="1"/>
  <c r="S345" i="1"/>
  <c r="R345" i="1"/>
  <c r="Q345" i="1"/>
  <c r="W344" i="1"/>
  <c r="V344" i="1"/>
  <c r="U344" i="1"/>
  <c r="T344" i="1"/>
  <c r="S344" i="1"/>
  <c r="R344" i="1"/>
  <c r="Q344" i="1"/>
  <c r="W343" i="1"/>
  <c r="V343" i="1"/>
  <c r="U343" i="1"/>
  <c r="T343" i="1"/>
  <c r="S343" i="1"/>
  <c r="R343" i="1"/>
  <c r="Q343" i="1"/>
  <c r="W342" i="1"/>
  <c r="V342" i="1"/>
  <c r="U342" i="1"/>
  <c r="T342" i="1"/>
  <c r="S342" i="1"/>
  <c r="R342" i="1"/>
  <c r="Q342" i="1"/>
  <c r="W341" i="1"/>
  <c r="V341" i="1"/>
  <c r="U341" i="1"/>
  <c r="T341" i="1"/>
  <c r="S341" i="1"/>
  <c r="R341" i="1"/>
  <c r="Q341" i="1"/>
  <c r="W340" i="1"/>
  <c r="V340" i="1"/>
  <c r="U340" i="1"/>
  <c r="T340" i="1"/>
  <c r="S340" i="1"/>
  <c r="R340" i="1"/>
  <c r="Q340" i="1"/>
  <c r="W339" i="1"/>
  <c r="V339" i="1"/>
  <c r="U339" i="1"/>
  <c r="T339" i="1"/>
  <c r="S339" i="1"/>
  <c r="R339" i="1"/>
  <c r="Q339" i="1"/>
  <c r="W338" i="1"/>
  <c r="V338" i="1"/>
  <c r="U338" i="1"/>
  <c r="T338" i="1"/>
  <c r="S338" i="1"/>
  <c r="R338" i="1"/>
  <c r="Q338" i="1"/>
  <c r="W337" i="1"/>
  <c r="V337" i="1"/>
  <c r="U337" i="1"/>
  <c r="T337" i="1"/>
  <c r="S337" i="1"/>
  <c r="R337" i="1"/>
  <c r="Q337" i="1"/>
  <c r="W336" i="1"/>
  <c r="V336" i="1"/>
  <c r="U336" i="1"/>
  <c r="T336" i="1"/>
  <c r="S336" i="1"/>
  <c r="R336" i="1"/>
  <c r="Q336" i="1"/>
  <c r="W335" i="1"/>
  <c r="V335" i="1"/>
  <c r="U335" i="1"/>
  <c r="T335" i="1"/>
  <c r="S335" i="1"/>
  <c r="R335" i="1"/>
  <c r="Q335" i="1"/>
  <c r="W334" i="1"/>
  <c r="V334" i="1"/>
  <c r="U334" i="1"/>
  <c r="T334" i="1"/>
  <c r="S334" i="1"/>
  <c r="R334" i="1"/>
  <c r="Q334" i="1"/>
  <c r="W333" i="1"/>
  <c r="V333" i="1"/>
  <c r="U333" i="1"/>
  <c r="T333" i="1"/>
  <c r="S333" i="1"/>
  <c r="R333" i="1"/>
  <c r="Q333" i="1"/>
  <c r="W332" i="1"/>
  <c r="V332" i="1"/>
  <c r="U332" i="1"/>
  <c r="T332" i="1"/>
  <c r="S332" i="1"/>
  <c r="R332" i="1"/>
  <c r="Q332" i="1"/>
  <c r="W331" i="1"/>
  <c r="V331" i="1"/>
  <c r="U331" i="1"/>
  <c r="T331" i="1"/>
  <c r="S331" i="1"/>
  <c r="R331" i="1"/>
  <c r="Q331" i="1"/>
  <c r="W330" i="1"/>
  <c r="V330" i="1"/>
  <c r="U330" i="1"/>
  <c r="T330" i="1"/>
  <c r="S330" i="1"/>
  <c r="R330" i="1"/>
  <c r="Q330" i="1"/>
  <c r="W329" i="1"/>
  <c r="V329" i="1"/>
  <c r="U329" i="1"/>
  <c r="T329" i="1"/>
  <c r="S329" i="1"/>
  <c r="R329" i="1"/>
  <c r="Q329" i="1"/>
  <c r="W328" i="1"/>
  <c r="V328" i="1"/>
  <c r="U328" i="1"/>
  <c r="T328" i="1"/>
  <c r="S328" i="1"/>
  <c r="R328" i="1"/>
  <c r="Q328" i="1"/>
  <c r="W327" i="1"/>
  <c r="V327" i="1"/>
  <c r="U327" i="1"/>
  <c r="T327" i="1"/>
  <c r="S327" i="1"/>
  <c r="R327" i="1"/>
  <c r="Q327" i="1"/>
  <c r="W326" i="1"/>
  <c r="V326" i="1"/>
  <c r="U326" i="1"/>
  <c r="T326" i="1"/>
  <c r="S326" i="1"/>
  <c r="R326" i="1"/>
  <c r="Q326" i="1"/>
  <c r="W325" i="1"/>
  <c r="V325" i="1"/>
  <c r="U325" i="1"/>
  <c r="T325" i="1"/>
  <c r="S325" i="1"/>
  <c r="R325" i="1"/>
  <c r="Q325" i="1"/>
  <c r="W324" i="1"/>
  <c r="V324" i="1"/>
  <c r="U324" i="1"/>
  <c r="T324" i="1"/>
  <c r="S324" i="1"/>
  <c r="R324" i="1"/>
  <c r="Q324" i="1"/>
  <c r="W323" i="1"/>
  <c r="V323" i="1"/>
  <c r="U323" i="1"/>
  <c r="T323" i="1"/>
  <c r="S323" i="1"/>
  <c r="R323" i="1"/>
  <c r="Q323" i="1"/>
  <c r="W322" i="1"/>
  <c r="V322" i="1"/>
  <c r="U322" i="1"/>
  <c r="T322" i="1"/>
  <c r="S322" i="1"/>
  <c r="R322" i="1"/>
  <c r="Q322" i="1"/>
  <c r="W321" i="1"/>
  <c r="V321" i="1"/>
  <c r="U321" i="1"/>
  <c r="T321" i="1"/>
  <c r="S321" i="1"/>
  <c r="R321" i="1"/>
  <c r="Q321" i="1"/>
  <c r="W320" i="1"/>
  <c r="V320" i="1"/>
  <c r="U320" i="1"/>
  <c r="T320" i="1"/>
  <c r="S320" i="1"/>
  <c r="R320" i="1"/>
  <c r="Q320" i="1"/>
  <c r="W319" i="1"/>
  <c r="V319" i="1"/>
  <c r="U319" i="1"/>
  <c r="T319" i="1"/>
  <c r="S319" i="1"/>
  <c r="R319" i="1"/>
  <c r="Q319" i="1"/>
  <c r="W318" i="1"/>
  <c r="V318" i="1"/>
  <c r="U318" i="1"/>
  <c r="T318" i="1"/>
  <c r="S318" i="1"/>
  <c r="R318" i="1"/>
  <c r="Q318" i="1"/>
  <c r="W317" i="1"/>
  <c r="V317" i="1"/>
  <c r="U317" i="1"/>
  <c r="T317" i="1"/>
  <c r="S317" i="1"/>
  <c r="R317" i="1"/>
  <c r="Q317" i="1"/>
  <c r="W316" i="1"/>
  <c r="V316" i="1"/>
  <c r="U316" i="1"/>
  <c r="T316" i="1"/>
  <c r="S316" i="1"/>
  <c r="R316" i="1"/>
  <c r="Q316" i="1"/>
  <c r="W315" i="1"/>
  <c r="V315" i="1"/>
  <c r="U315" i="1"/>
  <c r="T315" i="1"/>
  <c r="S315" i="1"/>
  <c r="R315" i="1"/>
  <c r="Q315" i="1"/>
  <c r="W314" i="1"/>
  <c r="V314" i="1"/>
  <c r="U314" i="1"/>
  <c r="T314" i="1"/>
  <c r="S314" i="1"/>
  <c r="R314" i="1"/>
  <c r="Q314" i="1"/>
  <c r="W313" i="1"/>
  <c r="V313" i="1"/>
  <c r="U313" i="1"/>
  <c r="T313" i="1"/>
  <c r="S313" i="1"/>
  <c r="R313" i="1"/>
  <c r="Q313" i="1"/>
  <c r="W312" i="1"/>
  <c r="V312" i="1"/>
  <c r="U312" i="1"/>
  <c r="T312" i="1"/>
  <c r="S312" i="1"/>
  <c r="R312" i="1"/>
  <c r="Q312" i="1"/>
  <c r="W311" i="1"/>
  <c r="V311" i="1"/>
  <c r="U311" i="1"/>
  <c r="T311" i="1"/>
  <c r="S311" i="1"/>
  <c r="R311" i="1"/>
  <c r="Q311" i="1"/>
  <c r="W310" i="1"/>
  <c r="V310" i="1"/>
  <c r="U310" i="1"/>
  <c r="T310" i="1"/>
  <c r="S310" i="1"/>
  <c r="R310" i="1"/>
  <c r="Q310" i="1"/>
  <c r="W309" i="1"/>
  <c r="V309" i="1"/>
  <c r="U309" i="1"/>
  <c r="T309" i="1"/>
  <c r="S309" i="1"/>
  <c r="R309" i="1"/>
  <c r="Q309" i="1"/>
  <c r="W308" i="1"/>
  <c r="V308" i="1"/>
  <c r="U308" i="1"/>
  <c r="T308" i="1"/>
  <c r="S308" i="1"/>
  <c r="R308" i="1"/>
  <c r="Q308" i="1"/>
  <c r="W307" i="1"/>
  <c r="V307" i="1"/>
  <c r="U307" i="1"/>
  <c r="T307" i="1"/>
  <c r="S307" i="1"/>
  <c r="R307" i="1"/>
  <c r="Q307" i="1"/>
  <c r="W306" i="1"/>
  <c r="V306" i="1"/>
  <c r="U306" i="1"/>
  <c r="T306" i="1"/>
  <c r="S306" i="1"/>
  <c r="R306" i="1"/>
  <c r="Q306" i="1"/>
  <c r="W305" i="1"/>
  <c r="V305" i="1"/>
  <c r="U305" i="1"/>
  <c r="T305" i="1"/>
  <c r="S305" i="1"/>
  <c r="R305" i="1"/>
  <c r="Q305" i="1"/>
  <c r="W304" i="1"/>
  <c r="V304" i="1"/>
  <c r="U304" i="1"/>
  <c r="T304" i="1"/>
  <c r="S304" i="1"/>
  <c r="R304" i="1"/>
  <c r="Q304" i="1"/>
  <c r="W303" i="1"/>
  <c r="V303" i="1"/>
  <c r="U303" i="1"/>
  <c r="T303" i="1"/>
  <c r="S303" i="1"/>
  <c r="R303" i="1"/>
  <c r="Q303" i="1"/>
  <c r="W302" i="1"/>
  <c r="V302" i="1"/>
  <c r="U302" i="1"/>
  <c r="T302" i="1"/>
  <c r="S302" i="1"/>
  <c r="R302" i="1"/>
  <c r="Q302" i="1"/>
  <c r="W301" i="1"/>
  <c r="V301" i="1"/>
  <c r="U301" i="1"/>
  <c r="T301" i="1"/>
  <c r="S301" i="1"/>
  <c r="R301" i="1"/>
  <c r="Q301" i="1"/>
  <c r="W300" i="1"/>
  <c r="V300" i="1"/>
  <c r="U300" i="1"/>
  <c r="T300" i="1"/>
  <c r="S300" i="1"/>
  <c r="R300" i="1"/>
  <c r="Q300" i="1"/>
  <c r="W299" i="1"/>
  <c r="V299" i="1"/>
  <c r="U299" i="1"/>
  <c r="T299" i="1"/>
  <c r="S299" i="1"/>
  <c r="R299" i="1"/>
  <c r="Q299" i="1"/>
  <c r="W298" i="1"/>
  <c r="V298" i="1"/>
  <c r="U298" i="1"/>
  <c r="T298" i="1"/>
  <c r="S298" i="1"/>
  <c r="R298" i="1"/>
  <c r="Q298" i="1"/>
  <c r="W297" i="1"/>
  <c r="V297" i="1"/>
  <c r="U297" i="1"/>
  <c r="T297" i="1"/>
  <c r="S297" i="1"/>
  <c r="R297" i="1"/>
  <c r="Q297" i="1"/>
  <c r="W296" i="1"/>
  <c r="V296" i="1"/>
  <c r="U296" i="1"/>
  <c r="T296" i="1"/>
  <c r="S296" i="1"/>
  <c r="R296" i="1"/>
  <c r="Q296" i="1"/>
  <c r="W295" i="1"/>
  <c r="V295" i="1"/>
  <c r="U295" i="1"/>
  <c r="T295" i="1"/>
  <c r="S295" i="1"/>
  <c r="R295" i="1"/>
  <c r="Q295" i="1"/>
  <c r="W294" i="1"/>
  <c r="V294" i="1"/>
  <c r="U294" i="1"/>
  <c r="T294" i="1"/>
  <c r="S294" i="1"/>
  <c r="R294" i="1"/>
  <c r="Q294" i="1"/>
  <c r="W293" i="1"/>
  <c r="V293" i="1"/>
  <c r="U293" i="1"/>
  <c r="T293" i="1"/>
  <c r="S293" i="1"/>
  <c r="R293" i="1"/>
  <c r="Q293" i="1"/>
  <c r="W292" i="1"/>
  <c r="V292" i="1"/>
  <c r="U292" i="1"/>
  <c r="T292" i="1"/>
  <c r="S292" i="1"/>
  <c r="R292" i="1"/>
  <c r="Q292" i="1"/>
  <c r="W291" i="1"/>
  <c r="V291" i="1"/>
  <c r="U291" i="1"/>
  <c r="T291" i="1"/>
  <c r="S291" i="1"/>
  <c r="R291" i="1"/>
  <c r="Q291" i="1"/>
  <c r="W290" i="1"/>
  <c r="V290" i="1"/>
  <c r="U290" i="1"/>
  <c r="T290" i="1"/>
  <c r="S290" i="1"/>
  <c r="R290" i="1"/>
  <c r="Q290" i="1"/>
  <c r="W289" i="1"/>
  <c r="V289" i="1"/>
  <c r="U289" i="1"/>
  <c r="T289" i="1"/>
  <c r="S289" i="1"/>
  <c r="R289" i="1"/>
  <c r="Q289" i="1"/>
  <c r="W288" i="1"/>
  <c r="V288" i="1"/>
  <c r="U288" i="1"/>
  <c r="T288" i="1"/>
  <c r="S288" i="1"/>
  <c r="R288" i="1"/>
  <c r="Q288" i="1"/>
  <c r="W287" i="1"/>
  <c r="V287" i="1"/>
  <c r="U287" i="1"/>
  <c r="T287" i="1"/>
  <c r="S287" i="1"/>
  <c r="R287" i="1"/>
  <c r="Q287" i="1"/>
  <c r="W286" i="1"/>
  <c r="V286" i="1"/>
  <c r="U286" i="1"/>
  <c r="T286" i="1"/>
  <c r="S286" i="1"/>
  <c r="R286" i="1"/>
  <c r="Q286" i="1"/>
  <c r="W285" i="1"/>
  <c r="V285" i="1"/>
  <c r="U285" i="1"/>
  <c r="T285" i="1"/>
  <c r="S285" i="1"/>
  <c r="R285" i="1"/>
  <c r="Q285" i="1"/>
  <c r="W284" i="1"/>
  <c r="V284" i="1"/>
  <c r="U284" i="1"/>
  <c r="T284" i="1"/>
  <c r="S284" i="1"/>
  <c r="R284" i="1"/>
  <c r="Q284" i="1"/>
  <c r="W283" i="1"/>
  <c r="V283" i="1"/>
  <c r="U283" i="1"/>
  <c r="T283" i="1"/>
  <c r="S283" i="1"/>
  <c r="R283" i="1"/>
  <c r="Q283" i="1"/>
  <c r="W282" i="1"/>
  <c r="V282" i="1"/>
  <c r="U282" i="1"/>
  <c r="T282" i="1"/>
  <c r="S282" i="1"/>
  <c r="R282" i="1"/>
  <c r="Q282" i="1"/>
  <c r="W281" i="1"/>
  <c r="V281" i="1"/>
  <c r="U281" i="1"/>
  <c r="T281" i="1"/>
  <c r="S281" i="1"/>
  <c r="R281" i="1"/>
  <c r="Q281" i="1"/>
  <c r="W280" i="1"/>
  <c r="V280" i="1"/>
  <c r="U280" i="1"/>
  <c r="T280" i="1"/>
  <c r="S280" i="1"/>
  <c r="R280" i="1"/>
  <c r="Q280" i="1"/>
  <c r="W279" i="1"/>
  <c r="V279" i="1"/>
  <c r="U279" i="1"/>
  <c r="T279" i="1"/>
  <c r="S279" i="1"/>
  <c r="R279" i="1"/>
  <c r="Q279" i="1"/>
  <c r="W278" i="1"/>
  <c r="V278" i="1"/>
  <c r="U278" i="1"/>
  <c r="T278" i="1"/>
  <c r="S278" i="1"/>
  <c r="R278" i="1"/>
  <c r="Q278" i="1"/>
  <c r="W277" i="1"/>
  <c r="V277" i="1"/>
  <c r="U277" i="1"/>
  <c r="T277" i="1"/>
  <c r="S277" i="1"/>
  <c r="R277" i="1"/>
  <c r="Q277" i="1"/>
  <c r="W276" i="1"/>
  <c r="V276" i="1"/>
  <c r="U276" i="1"/>
  <c r="T276" i="1"/>
  <c r="S276" i="1"/>
  <c r="R276" i="1"/>
  <c r="Q276" i="1"/>
  <c r="W275" i="1"/>
  <c r="V275" i="1"/>
  <c r="U275" i="1"/>
  <c r="T275" i="1"/>
  <c r="S275" i="1"/>
  <c r="R275" i="1"/>
  <c r="Q275" i="1"/>
  <c r="W274" i="1"/>
  <c r="V274" i="1"/>
  <c r="U274" i="1"/>
  <c r="T274" i="1"/>
  <c r="S274" i="1"/>
  <c r="R274" i="1"/>
  <c r="Q274" i="1"/>
  <c r="W273" i="1"/>
  <c r="V273" i="1"/>
  <c r="U273" i="1"/>
  <c r="T273" i="1"/>
  <c r="S273" i="1"/>
  <c r="R273" i="1"/>
  <c r="Q273" i="1"/>
  <c r="W272" i="1"/>
  <c r="V272" i="1"/>
  <c r="U272" i="1"/>
  <c r="T272" i="1"/>
  <c r="S272" i="1"/>
  <c r="R272" i="1"/>
  <c r="Q272" i="1"/>
  <c r="W271" i="1"/>
  <c r="V271" i="1"/>
  <c r="U271" i="1"/>
  <c r="T271" i="1"/>
  <c r="S271" i="1"/>
  <c r="R271" i="1"/>
  <c r="Q271" i="1"/>
  <c r="W270" i="1"/>
  <c r="V270" i="1"/>
  <c r="U270" i="1"/>
  <c r="T270" i="1"/>
  <c r="S270" i="1"/>
  <c r="R270" i="1"/>
  <c r="Q270" i="1"/>
  <c r="W269" i="1"/>
  <c r="V269" i="1"/>
  <c r="U269" i="1"/>
  <c r="T269" i="1"/>
  <c r="S269" i="1"/>
  <c r="R269" i="1"/>
  <c r="Q269" i="1"/>
  <c r="W268" i="1"/>
  <c r="V268" i="1"/>
  <c r="U268" i="1"/>
  <c r="T268" i="1"/>
  <c r="S268" i="1"/>
  <c r="R268" i="1"/>
  <c r="Q268" i="1"/>
  <c r="W267" i="1"/>
  <c r="V267" i="1"/>
  <c r="U267" i="1"/>
  <c r="T267" i="1"/>
  <c r="S267" i="1"/>
  <c r="R267" i="1"/>
  <c r="Q267" i="1"/>
  <c r="W266" i="1"/>
  <c r="V266" i="1"/>
  <c r="U266" i="1"/>
  <c r="T266" i="1"/>
  <c r="S266" i="1"/>
  <c r="R266" i="1"/>
  <c r="Q266" i="1"/>
  <c r="W265" i="1"/>
  <c r="V265" i="1"/>
  <c r="U265" i="1"/>
  <c r="T265" i="1"/>
  <c r="S265" i="1"/>
  <c r="R265" i="1"/>
  <c r="Q265" i="1"/>
  <c r="W264" i="1"/>
  <c r="V264" i="1"/>
  <c r="U264" i="1"/>
  <c r="T264" i="1"/>
  <c r="S264" i="1"/>
  <c r="R264" i="1"/>
  <c r="Q264" i="1"/>
  <c r="W263" i="1"/>
  <c r="V263" i="1"/>
  <c r="U263" i="1"/>
  <c r="T263" i="1"/>
  <c r="S263" i="1"/>
  <c r="R263" i="1"/>
  <c r="Q263" i="1"/>
  <c r="W262" i="1"/>
  <c r="V262" i="1"/>
  <c r="U262" i="1"/>
  <c r="T262" i="1"/>
  <c r="S262" i="1"/>
  <c r="R262" i="1"/>
  <c r="Q262" i="1"/>
  <c r="W261" i="1"/>
  <c r="V261" i="1"/>
  <c r="U261" i="1"/>
  <c r="T261" i="1"/>
  <c r="S261" i="1"/>
  <c r="R261" i="1"/>
  <c r="Q261" i="1"/>
  <c r="W260" i="1"/>
  <c r="V260" i="1"/>
  <c r="U260" i="1"/>
  <c r="T260" i="1"/>
  <c r="S260" i="1"/>
  <c r="R260" i="1"/>
  <c r="Q260" i="1"/>
  <c r="W259" i="1"/>
  <c r="V259" i="1"/>
  <c r="U259" i="1"/>
  <c r="T259" i="1"/>
  <c r="S259" i="1"/>
  <c r="R259" i="1"/>
  <c r="Q259" i="1"/>
  <c r="W258" i="1"/>
  <c r="V258" i="1"/>
  <c r="U258" i="1"/>
  <c r="T258" i="1"/>
  <c r="S258" i="1"/>
  <c r="R258" i="1"/>
  <c r="Q258" i="1"/>
  <c r="W257" i="1"/>
  <c r="V257" i="1"/>
  <c r="U257" i="1"/>
  <c r="T257" i="1"/>
  <c r="S257" i="1"/>
  <c r="R257" i="1"/>
  <c r="Q257" i="1"/>
  <c r="W256" i="1"/>
  <c r="V256" i="1"/>
  <c r="U256" i="1"/>
  <c r="T256" i="1"/>
  <c r="S256" i="1"/>
  <c r="R256" i="1"/>
  <c r="Q256" i="1"/>
  <c r="W255" i="1"/>
  <c r="V255" i="1"/>
  <c r="U255" i="1"/>
  <c r="T255" i="1"/>
  <c r="S255" i="1"/>
  <c r="R255" i="1"/>
  <c r="Q255" i="1"/>
  <c r="W254" i="1"/>
  <c r="V254" i="1"/>
  <c r="U254" i="1"/>
  <c r="T254" i="1"/>
  <c r="S254" i="1"/>
  <c r="R254" i="1"/>
  <c r="Q254" i="1"/>
  <c r="W253" i="1"/>
  <c r="V253" i="1"/>
  <c r="U253" i="1"/>
  <c r="T253" i="1"/>
  <c r="S253" i="1"/>
  <c r="R253" i="1"/>
  <c r="Q253" i="1"/>
  <c r="W252" i="1"/>
  <c r="V252" i="1"/>
  <c r="U252" i="1"/>
  <c r="T252" i="1"/>
  <c r="S252" i="1"/>
  <c r="R252" i="1"/>
  <c r="Q252" i="1"/>
  <c r="W251" i="1"/>
  <c r="V251" i="1"/>
  <c r="U251" i="1"/>
  <c r="T251" i="1"/>
  <c r="S251" i="1"/>
  <c r="R251" i="1"/>
  <c r="Q251" i="1"/>
  <c r="W250" i="1"/>
  <c r="V250" i="1"/>
  <c r="U250" i="1"/>
  <c r="T250" i="1"/>
  <c r="S250" i="1"/>
  <c r="R250" i="1"/>
  <c r="Q250" i="1"/>
  <c r="W249" i="1"/>
  <c r="V249" i="1"/>
  <c r="U249" i="1"/>
  <c r="T249" i="1"/>
  <c r="S249" i="1"/>
  <c r="R249" i="1"/>
  <c r="Q249" i="1"/>
  <c r="W248" i="1"/>
  <c r="V248" i="1"/>
  <c r="U248" i="1"/>
  <c r="T248" i="1"/>
  <c r="S248" i="1"/>
  <c r="R248" i="1"/>
  <c r="Q248" i="1"/>
  <c r="W247" i="1"/>
  <c r="V247" i="1"/>
  <c r="U247" i="1"/>
  <c r="T247" i="1"/>
  <c r="S247" i="1"/>
  <c r="R247" i="1"/>
  <c r="Q247" i="1"/>
  <c r="W246" i="1"/>
  <c r="V246" i="1"/>
  <c r="U246" i="1"/>
  <c r="T246" i="1"/>
  <c r="S246" i="1"/>
  <c r="R246" i="1"/>
  <c r="Q246" i="1"/>
  <c r="W245" i="1"/>
  <c r="V245" i="1"/>
  <c r="U245" i="1"/>
  <c r="T245" i="1"/>
  <c r="S245" i="1"/>
  <c r="R245" i="1"/>
  <c r="Q245" i="1"/>
  <c r="W244" i="1"/>
  <c r="V244" i="1"/>
  <c r="U244" i="1"/>
  <c r="T244" i="1"/>
  <c r="S244" i="1"/>
  <c r="R244" i="1"/>
  <c r="Q244" i="1"/>
  <c r="W243" i="1"/>
  <c r="V243" i="1"/>
  <c r="U243" i="1"/>
  <c r="T243" i="1"/>
  <c r="S243" i="1"/>
  <c r="R243" i="1"/>
  <c r="Q243" i="1"/>
  <c r="W242" i="1"/>
  <c r="V242" i="1"/>
  <c r="U242" i="1"/>
  <c r="T242" i="1"/>
  <c r="S242" i="1"/>
  <c r="R242" i="1"/>
  <c r="Q242" i="1"/>
  <c r="W241" i="1"/>
  <c r="V241" i="1"/>
  <c r="U241" i="1"/>
  <c r="T241" i="1"/>
  <c r="S241" i="1"/>
  <c r="R241" i="1"/>
  <c r="Q241" i="1"/>
  <c r="W240" i="1"/>
  <c r="V240" i="1"/>
  <c r="U240" i="1"/>
  <c r="T240" i="1"/>
  <c r="S240" i="1"/>
  <c r="R240" i="1"/>
  <c r="Q240" i="1"/>
  <c r="W239" i="1"/>
  <c r="V239" i="1"/>
  <c r="U239" i="1"/>
  <c r="T239" i="1"/>
  <c r="S239" i="1"/>
  <c r="R239" i="1"/>
  <c r="Q239" i="1"/>
  <c r="W238" i="1"/>
  <c r="V238" i="1"/>
  <c r="U238" i="1"/>
  <c r="T238" i="1"/>
  <c r="S238" i="1"/>
  <c r="R238" i="1"/>
  <c r="Q238" i="1"/>
  <c r="W237" i="1"/>
  <c r="V237" i="1"/>
  <c r="U237" i="1"/>
  <c r="T237" i="1"/>
  <c r="S237" i="1"/>
  <c r="R237" i="1"/>
  <c r="Q237" i="1"/>
  <c r="W236" i="1"/>
  <c r="V236" i="1"/>
  <c r="U236" i="1"/>
  <c r="T236" i="1"/>
  <c r="S236" i="1"/>
  <c r="R236" i="1"/>
  <c r="Q236" i="1"/>
  <c r="W235" i="1"/>
  <c r="V235" i="1"/>
  <c r="U235" i="1"/>
  <c r="T235" i="1"/>
  <c r="S235" i="1"/>
  <c r="R235" i="1"/>
  <c r="Q235" i="1"/>
  <c r="W234" i="1"/>
  <c r="V234" i="1"/>
  <c r="U234" i="1"/>
  <c r="T234" i="1"/>
  <c r="S234" i="1"/>
  <c r="R234" i="1"/>
  <c r="Q234" i="1"/>
  <c r="W233" i="1"/>
  <c r="V233" i="1"/>
  <c r="U233" i="1"/>
  <c r="T233" i="1"/>
  <c r="S233" i="1"/>
  <c r="R233" i="1"/>
  <c r="Q233" i="1"/>
  <c r="W232" i="1"/>
  <c r="V232" i="1"/>
  <c r="U232" i="1"/>
  <c r="T232" i="1"/>
  <c r="S232" i="1"/>
  <c r="R232" i="1"/>
  <c r="Q232" i="1"/>
  <c r="W231" i="1"/>
  <c r="V231" i="1"/>
  <c r="U231" i="1"/>
  <c r="T231" i="1"/>
  <c r="S231" i="1"/>
  <c r="R231" i="1"/>
  <c r="Q231" i="1"/>
  <c r="W230" i="1"/>
  <c r="V230" i="1"/>
  <c r="U230" i="1"/>
  <c r="T230" i="1"/>
  <c r="S230" i="1"/>
  <c r="R230" i="1"/>
  <c r="Q230" i="1"/>
  <c r="W229" i="1"/>
  <c r="V229" i="1"/>
  <c r="U229" i="1"/>
  <c r="T229" i="1"/>
  <c r="S229" i="1"/>
  <c r="R229" i="1"/>
  <c r="Q229" i="1"/>
  <c r="W228" i="1"/>
  <c r="V228" i="1"/>
  <c r="U228" i="1"/>
  <c r="T228" i="1"/>
  <c r="S228" i="1"/>
  <c r="R228" i="1"/>
  <c r="Q228" i="1"/>
  <c r="W227" i="1"/>
  <c r="V227" i="1"/>
  <c r="U227" i="1"/>
  <c r="T227" i="1"/>
  <c r="S227" i="1"/>
  <c r="R227" i="1"/>
  <c r="Q227" i="1"/>
  <c r="W226" i="1"/>
  <c r="V226" i="1"/>
  <c r="U226" i="1"/>
  <c r="T226" i="1"/>
  <c r="S226" i="1"/>
  <c r="R226" i="1"/>
  <c r="Q226" i="1"/>
  <c r="W225" i="1"/>
  <c r="V225" i="1"/>
  <c r="U225" i="1"/>
  <c r="T225" i="1"/>
  <c r="S225" i="1"/>
  <c r="R225" i="1"/>
  <c r="Q225" i="1"/>
  <c r="W224" i="1"/>
  <c r="V224" i="1"/>
  <c r="U224" i="1"/>
  <c r="T224" i="1"/>
  <c r="S224" i="1"/>
  <c r="R224" i="1"/>
  <c r="Q224" i="1"/>
  <c r="W223" i="1"/>
  <c r="V223" i="1"/>
  <c r="U223" i="1"/>
  <c r="T223" i="1"/>
  <c r="S223" i="1"/>
  <c r="R223" i="1"/>
  <c r="Q223" i="1"/>
  <c r="W222" i="1"/>
  <c r="V222" i="1"/>
  <c r="U222" i="1"/>
  <c r="T222" i="1"/>
  <c r="S222" i="1"/>
  <c r="R222" i="1"/>
  <c r="Q222" i="1"/>
  <c r="W221" i="1"/>
  <c r="V221" i="1"/>
  <c r="U221" i="1"/>
  <c r="T221" i="1"/>
  <c r="S221" i="1"/>
  <c r="R221" i="1"/>
  <c r="Q221" i="1"/>
  <c r="W220" i="1"/>
  <c r="V220" i="1"/>
  <c r="U220" i="1"/>
  <c r="T220" i="1"/>
  <c r="S220" i="1"/>
  <c r="R220" i="1"/>
  <c r="Q220" i="1"/>
  <c r="W219" i="1"/>
  <c r="V219" i="1"/>
  <c r="U219" i="1"/>
  <c r="T219" i="1"/>
  <c r="S219" i="1"/>
  <c r="R219" i="1"/>
  <c r="Q219" i="1"/>
  <c r="W218" i="1"/>
  <c r="V218" i="1"/>
  <c r="U218" i="1"/>
  <c r="T218" i="1"/>
  <c r="S218" i="1"/>
  <c r="R218" i="1"/>
  <c r="Q218" i="1"/>
  <c r="W217" i="1"/>
  <c r="V217" i="1"/>
  <c r="U217" i="1"/>
  <c r="T217" i="1"/>
  <c r="S217" i="1"/>
  <c r="R217" i="1"/>
  <c r="Q217" i="1"/>
  <c r="W216" i="1"/>
  <c r="V216" i="1"/>
  <c r="U216" i="1"/>
  <c r="T216" i="1"/>
  <c r="S216" i="1"/>
  <c r="R216" i="1"/>
  <c r="Q216" i="1"/>
  <c r="W215" i="1"/>
  <c r="V215" i="1"/>
  <c r="U215" i="1"/>
  <c r="T215" i="1"/>
  <c r="S215" i="1"/>
  <c r="R215" i="1"/>
  <c r="Q215" i="1"/>
  <c r="W214" i="1"/>
  <c r="V214" i="1"/>
  <c r="U214" i="1"/>
  <c r="T214" i="1"/>
  <c r="S214" i="1"/>
  <c r="R214" i="1"/>
  <c r="Q214" i="1"/>
  <c r="W213" i="1"/>
  <c r="V213" i="1"/>
  <c r="U213" i="1"/>
  <c r="T213" i="1"/>
  <c r="S213" i="1"/>
  <c r="R213" i="1"/>
  <c r="Q213" i="1"/>
  <c r="W212" i="1"/>
  <c r="V212" i="1"/>
  <c r="U212" i="1"/>
  <c r="T212" i="1"/>
  <c r="S212" i="1"/>
  <c r="R212" i="1"/>
  <c r="Q212" i="1"/>
  <c r="W211" i="1"/>
  <c r="V211" i="1"/>
  <c r="U211" i="1"/>
  <c r="T211" i="1"/>
  <c r="S211" i="1"/>
  <c r="R211" i="1"/>
  <c r="Q211" i="1"/>
  <c r="W210" i="1"/>
  <c r="V210" i="1"/>
  <c r="U210" i="1"/>
  <c r="T210" i="1"/>
  <c r="S210" i="1"/>
  <c r="R210" i="1"/>
  <c r="Q210" i="1"/>
  <c r="W209" i="1"/>
  <c r="V209" i="1"/>
  <c r="U209" i="1"/>
  <c r="T209" i="1"/>
  <c r="S209" i="1"/>
  <c r="R209" i="1"/>
  <c r="Q209" i="1"/>
  <c r="W208" i="1"/>
  <c r="V208" i="1"/>
  <c r="U208" i="1"/>
  <c r="T208" i="1"/>
  <c r="S208" i="1"/>
  <c r="R208" i="1"/>
  <c r="Q208" i="1"/>
  <c r="W207" i="1"/>
  <c r="V207" i="1"/>
  <c r="U207" i="1"/>
  <c r="T207" i="1"/>
  <c r="S207" i="1"/>
  <c r="R207" i="1"/>
  <c r="Q207" i="1"/>
  <c r="W206" i="1"/>
  <c r="V206" i="1"/>
  <c r="U206" i="1"/>
  <c r="T206" i="1"/>
  <c r="S206" i="1"/>
  <c r="R206" i="1"/>
  <c r="Q206" i="1"/>
  <c r="W205" i="1"/>
  <c r="V205" i="1"/>
  <c r="U205" i="1"/>
  <c r="T205" i="1"/>
  <c r="S205" i="1"/>
  <c r="R205" i="1"/>
  <c r="Q205" i="1"/>
  <c r="W204" i="1"/>
  <c r="V204" i="1"/>
  <c r="U204" i="1"/>
  <c r="T204" i="1"/>
  <c r="S204" i="1"/>
  <c r="R204" i="1"/>
  <c r="Q204" i="1"/>
  <c r="W203" i="1"/>
  <c r="V203" i="1"/>
  <c r="U203" i="1"/>
  <c r="T203" i="1"/>
  <c r="S203" i="1"/>
  <c r="R203" i="1"/>
  <c r="Q203" i="1"/>
  <c r="W202" i="1"/>
  <c r="V202" i="1"/>
  <c r="U202" i="1"/>
  <c r="T202" i="1"/>
  <c r="S202" i="1"/>
  <c r="R202" i="1"/>
  <c r="Q202" i="1"/>
  <c r="W201" i="1"/>
  <c r="V201" i="1"/>
  <c r="U201" i="1"/>
  <c r="T201" i="1"/>
  <c r="S201" i="1"/>
  <c r="R201" i="1"/>
  <c r="Q201" i="1"/>
  <c r="W200" i="1"/>
  <c r="V200" i="1"/>
  <c r="U200" i="1"/>
  <c r="T200" i="1"/>
  <c r="S200" i="1"/>
  <c r="R200" i="1"/>
  <c r="Q200" i="1"/>
  <c r="W199" i="1"/>
  <c r="V199" i="1"/>
  <c r="U199" i="1"/>
  <c r="T199" i="1"/>
  <c r="S199" i="1"/>
  <c r="R199" i="1"/>
  <c r="Q199" i="1"/>
  <c r="W198" i="1"/>
  <c r="V198" i="1"/>
  <c r="U198" i="1"/>
  <c r="T198" i="1"/>
  <c r="S198" i="1"/>
  <c r="R198" i="1"/>
  <c r="Q198" i="1"/>
  <c r="W197" i="1"/>
  <c r="V197" i="1"/>
  <c r="U197" i="1"/>
  <c r="T197" i="1"/>
  <c r="S197" i="1"/>
  <c r="R197" i="1"/>
  <c r="Q197" i="1"/>
  <c r="W196" i="1"/>
  <c r="V196" i="1"/>
  <c r="U196" i="1"/>
  <c r="T196" i="1"/>
  <c r="S196" i="1"/>
  <c r="R196" i="1"/>
  <c r="Q196" i="1"/>
  <c r="W195" i="1"/>
  <c r="V195" i="1"/>
  <c r="U195" i="1"/>
  <c r="T195" i="1"/>
  <c r="S195" i="1"/>
  <c r="R195" i="1"/>
  <c r="Q195" i="1"/>
  <c r="W194" i="1"/>
  <c r="V194" i="1"/>
  <c r="U194" i="1"/>
  <c r="T194" i="1"/>
  <c r="S194" i="1"/>
  <c r="R194" i="1"/>
  <c r="Q194" i="1"/>
  <c r="W193" i="1"/>
  <c r="V193" i="1"/>
  <c r="U193" i="1"/>
  <c r="T193" i="1"/>
  <c r="S193" i="1"/>
  <c r="R193" i="1"/>
  <c r="Q193" i="1"/>
  <c r="W192" i="1"/>
  <c r="V192" i="1"/>
  <c r="U192" i="1"/>
  <c r="T192" i="1"/>
  <c r="S192" i="1"/>
  <c r="R192" i="1"/>
  <c r="Q192" i="1"/>
  <c r="W191" i="1"/>
  <c r="V191" i="1"/>
  <c r="U191" i="1"/>
  <c r="T191" i="1"/>
  <c r="S191" i="1"/>
  <c r="R191" i="1"/>
  <c r="Q191" i="1"/>
  <c r="W190" i="1"/>
  <c r="V190" i="1"/>
  <c r="U190" i="1"/>
  <c r="T190" i="1"/>
  <c r="S190" i="1"/>
  <c r="R190" i="1"/>
  <c r="Q190" i="1"/>
  <c r="W189" i="1"/>
  <c r="V189" i="1"/>
  <c r="U189" i="1"/>
  <c r="T189" i="1"/>
  <c r="S189" i="1"/>
  <c r="R189" i="1"/>
  <c r="Q189" i="1"/>
  <c r="W188" i="1"/>
  <c r="V188" i="1"/>
  <c r="U188" i="1"/>
  <c r="T188" i="1"/>
  <c r="S188" i="1"/>
  <c r="R188" i="1"/>
  <c r="Q188" i="1"/>
  <c r="W187" i="1"/>
  <c r="V187" i="1"/>
  <c r="U187" i="1"/>
  <c r="T187" i="1"/>
  <c r="S187" i="1"/>
  <c r="R187" i="1"/>
  <c r="Q187" i="1"/>
  <c r="W186" i="1"/>
  <c r="V186" i="1"/>
  <c r="U186" i="1"/>
  <c r="T186" i="1"/>
  <c r="S186" i="1"/>
  <c r="R186" i="1"/>
  <c r="Q186" i="1"/>
  <c r="W185" i="1"/>
  <c r="V185" i="1"/>
  <c r="U185" i="1"/>
  <c r="T185" i="1"/>
  <c r="S185" i="1"/>
  <c r="R185" i="1"/>
  <c r="Q185" i="1"/>
  <c r="W184" i="1"/>
  <c r="V184" i="1"/>
  <c r="U184" i="1"/>
  <c r="T184" i="1"/>
  <c r="S184" i="1"/>
  <c r="R184" i="1"/>
  <c r="Q184" i="1"/>
  <c r="W183" i="1"/>
  <c r="V183" i="1"/>
  <c r="U183" i="1"/>
  <c r="T183" i="1"/>
  <c r="S183" i="1"/>
  <c r="R183" i="1"/>
  <c r="Q183" i="1"/>
  <c r="W182" i="1"/>
  <c r="V182" i="1"/>
  <c r="U182" i="1"/>
  <c r="T182" i="1"/>
  <c r="S182" i="1"/>
  <c r="R182" i="1"/>
  <c r="Q182" i="1"/>
  <c r="W181" i="1"/>
  <c r="V181" i="1"/>
  <c r="U181" i="1"/>
  <c r="T181" i="1"/>
  <c r="S181" i="1"/>
  <c r="R181" i="1"/>
  <c r="Q181" i="1"/>
  <c r="W180" i="1"/>
  <c r="V180" i="1"/>
  <c r="U180" i="1"/>
  <c r="T180" i="1"/>
  <c r="S180" i="1"/>
  <c r="R180" i="1"/>
  <c r="Q180" i="1"/>
  <c r="W179" i="1"/>
  <c r="V179" i="1"/>
  <c r="U179" i="1"/>
  <c r="T179" i="1"/>
  <c r="S179" i="1"/>
  <c r="R179" i="1"/>
  <c r="Q179" i="1"/>
  <c r="W178" i="1"/>
  <c r="V178" i="1"/>
  <c r="U178" i="1"/>
  <c r="T178" i="1"/>
  <c r="S178" i="1"/>
  <c r="R178" i="1"/>
  <c r="Q178" i="1"/>
  <c r="W177" i="1"/>
  <c r="V177" i="1"/>
  <c r="U177" i="1"/>
  <c r="T177" i="1"/>
  <c r="S177" i="1"/>
  <c r="R177" i="1"/>
  <c r="Q177" i="1"/>
  <c r="W176" i="1"/>
  <c r="V176" i="1"/>
  <c r="U176" i="1"/>
  <c r="T176" i="1"/>
  <c r="S176" i="1"/>
  <c r="R176" i="1"/>
  <c r="Q176" i="1"/>
  <c r="W175" i="1"/>
  <c r="V175" i="1"/>
  <c r="U175" i="1"/>
  <c r="T175" i="1"/>
  <c r="S175" i="1"/>
  <c r="R175" i="1"/>
  <c r="Q175" i="1"/>
  <c r="W174" i="1"/>
  <c r="V174" i="1"/>
  <c r="U174" i="1"/>
  <c r="T174" i="1"/>
  <c r="S174" i="1"/>
  <c r="R174" i="1"/>
  <c r="Q174" i="1"/>
  <c r="W173" i="1"/>
  <c r="V173" i="1"/>
  <c r="U173" i="1"/>
  <c r="T173" i="1"/>
  <c r="S173" i="1"/>
  <c r="R173" i="1"/>
  <c r="Q173" i="1"/>
  <c r="W172" i="1"/>
  <c r="V172" i="1"/>
  <c r="U172" i="1"/>
  <c r="T172" i="1"/>
  <c r="S172" i="1"/>
  <c r="R172" i="1"/>
  <c r="Q172" i="1"/>
  <c r="W171" i="1"/>
  <c r="V171" i="1"/>
  <c r="U171" i="1"/>
  <c r="T171" i="1"/>
  <c r="S171" i="1"/>
  <c r="R171" i="1"/>
  <c r="Q171" i="1"/>
  <c r="W170" i="1"/>
  <c r="V170" i="1"/>
  <c r="U170" i="1"/>
  <c r="T170" i="1"/>
  <c r="S170" i="1"/>
  <c r="R170" i="1"/>
  <c r="Q170" i="1"/>
  <c r="W169" i="1"/>
  <c r="V169" i="1"/>
  <c r="U169" i="1"/>
  <c r="T169" i="1"/>
  <c r="S169" i="1"/>
  <c r="R169" i="1"/>
  <c r="Q169" i="1"/>
  <c r="W168" i="1"/>
  <c r="V168" i="1"/>
  <c r="U168" i="1"/>
  <c r="T168" i="1"/>
  <c r="S168" i="1"/>
  <c r="R168" i="1"/>
  <c r="Q168" i="1"/>
  <c r="W167" i="1"/>
  <c r="V167" i="1"/>
  <c r="U167" i="1"/>
  <c r="T167" i="1"/>
  <c r="S167" i="1"/>
  <c r="R167" i="1"/>
  <c r="Q167" i="1"/>
  <c r="W166" i="1"/>
  <c r="V166" i="1"/>
  <c r="U166" i="1"/>
  <c r="T166" i="1"/>
  <c r="S166" i="1"/>
  <c r="R166" i="1"/>
  <c r="Q166" i="1"/>
  <c r="W165" i="1"/>
  <c r="V165" i="1"/>
  <c r="U165" i="1"/>
  <c r="T165" i="1"/>
  <c r="S165" i="1"/>
  <c r="R165" i="1"/>
  <c r="Q165" i="1"/>
  <c r="W164" i="1"/>
  <c r="V164" i="1"/>
  <c r="U164" i="1"/>
  <c r="T164" i="1"/>
  <c r="S164" i="1"/>
  <c r="R164" i="1"/>
  <c r="Q164" i="1"/>
  <c r="W163" i="1"/>
  <c r="V163" i="1"/>
  <c r="U163" i="1"/>
  <c r="T163" i="1"/>
  <c r="S163" i="1"/>
  <c r="R163" i="1"/>
  <c r="Q163" i="1"/>
  <c r="W162" i="1"/>
  <c r="V162" i="1"/>
  <c r="U162" i="1"/>
  <c r="T162" i="1"/>
  <c r="S162" i="1"/>
  <c r="R162" i="1"/>
  <c r="Q162" i="1"/>
  <c r="W161" i="1"/>
  <c r="V161" i="1"/>
  <c r="U161" i="1"/>
  <c r="T161" i="1"/>
  <c r="S161" i="1"/>
  <c r="R161" i="1"/>
  <c r="Q161" i="1"/>
  <c r="W160" i="1"/>
  <c r="V160" i="1"/>
  <c r="U160" i="1"/>
  <c r="T160" i="1"/>
  <c r="S160" i="1"/>
  <c r="R160" i="1"/>
  <c r="Q160" i="1"/>
  <c r="W159" i="1"/>
  <c r="V159" i="1"/>
  <c r="U159" i="1"/>
  <c r="T159" i="1"/>
  <c r="S159" i="1"/>
  <c r="R159" i="1"/>
  <c r="Q159" i="1"/>
  <c r="W158" i="1"/>
  <c r="V158" i="1"/>
  <c r="U158" i="1"/>
  <c r="T158" i="1"/>
  <c r="S158" i="1"/>
  <c r="R158" i="1"/>
  <c r="Q158" i="1"/>
  <c r="W157" i="1"/>
  <c r="V157" i="1"/>
  <c r="U157" i="1"/>
  <c r="T157" i="1"/>
  <c r="S157" i="1"/>
  <c r="R157" i="1"/>
  <c r="Q157" i="1"/>
  <c r="W156" i="1"/>
  <c r="V156" i="1"/>
  <c r="U156" i="1"/>
  <c r="T156" i="1"/>
  <c r="S156" i="1"/>
  <c r="R156" i="1"/>
  <c r="Q156" i="1"/>
  <c r="W155" i="1"/>
  <c r="V155" i="1"/>
  <c r="U155" i="1"/>
  <c r="T155" i="1"/>
  <c r="S155" i="1"/>
  <c r="R155" i="1"/>
  <c r="Q155" i="1"/>
  <c r="W154" i="1"/>
  <c r="V154" i="1"/>
  <c r="U154" i="1"/>
  <c r="T154" i="1"/>
  <c r="S154" i="1"/>
  <c r="R154" i="1"/>
  <c r="Q154" i="1"/>
  <c r="W153" i="1"/>
  <c r="V153" i="1"/>
  <c r="U153" i="1"/>
  <c r="T153" i="1"/>
  <c r="S153" i="1"/>
  <c r="R153" i="1"/>
  <c r="Q153" i="1"/>
  <c r="W152" i="1"/>
  <c r="V152" i="1"/>
  <c r="U152" i="1"/>
  <c r="T152" i="1"/>
  <c r="S152" i="1"/>
  <c r="R152" i="1"/>
  <c r="Q152" i="1"/>
  <c r="W151" i="1"/>
  <c r="V151" i="1"/>
  <c r="U151" i="1"/>
  <c r="T151" i="1"/>
  <c r="S151" i="1"/>
  <c r="R151" i="1"/>
  <c r="Q151" i="1"/>
  <c r="W150" i="1"/>
  <c r="V150" i="1"/>
  <c r="U150" i="1"/>
  <c r="T150" i="1"/>
  <c r="S150" i="1"/>
  <c r="R150" i="1"/>
  <c r="Q150" i="1"/>
  <c r="W149" i="1"/>
  <c r="V149" i="1"/>
  <c r="U149" i="1"/>
  <c r="T149" i="1"/>
  <c r="S149" i="1"/>
  <c r="R149" i="1"/>
  <c r="Q149" i="1"/>
  <c r="W148" i="1"/>
  <c r="V148" i="1"/>
  <c r="U148" i="1"/>
  <c r="T148" i="1"/>
  <c r="S148" i="1"/>
  <c r="R148" i="1"/>
  <c r="Q148" i="1"/>
  <c r="W147" i="1"/>
  <c r="V147" i="1"/>
  <c r="U147" i="1"/>
  <c r="T147" i="1"/>
  <c r="S147" i="1"/>
  <c r="R147" i="1"/>
  <c r="Q147" i="1"/>
  <c r="W146" i="1"/>
  <c r="V146" i="1"/>
  <c r="U146" i="1"/>
  <c r="T146" i="1"/>
  <c r="S146" i="1"/>
  <c r="R146" i="1"/>
  <c r="Q146" i="1"/>
  <c r="W145" i="1"/>
  <c r="V145" i="1"/>
  <c r="U145" i="1"/>
  <c r="T145" i="1"/>
  <c r="S145" i="1"/>
  <c r="R145" i="1"/>
  <c r="Q145" i="1"/>
  <c r="W144" i="1"/>
  <c r="V144" i="1"/>
  <c r="U144" i="1"/>
  <c r="T144" i="1"/>
  <c r="S144" i="1"/>
  <c r="R144" i="1"/>
  <c r="Q144" i="1"/>
  <c r="W143" i="1"/>
  <c r="V143" i="1"/>
  <c r="U143" i="1"/>
  <c r="T143" i="1"/>
  <c r="S143" i="1"/>
  <c r="R143" i="1"/>
  <c r="Q143" i="1"/>
  <c r="W142" i="1"/>
  <c r="V142" i="1"/>
  <c r="U142" i="1"/>
  <c r="T142" i="1"/>
  <c r="S142" i="1"/>
  <c r="R142" i="1"/>
  <c r="Q142" i="1"/>
  <c r="W141" i="1"/>
  <c r="V141" i="1"/>
  <c r="U141" i="1"/>
  <c r="T141" i="1"/>
  <c r="S141" i="1"/>
  <c r="R141" i="1"/>
  <c r="Q141" i="1"/>
  <c r="W140" i="1"/>
  <c r="V140" i="1"/>
  <c r="U140" i="1"/>
  <c r="T140" i="1"/>
  <c r="S140" i="1"/>
  <c r="R140" i="1"/>
  <c r="Q140" i="1"/>
  <c r="W139" i="1"/>
  <c r="V139" i="1"/>
  <c r="U139" i="1"/>
  <c r="T139" i="1"/>
  <c r="S139" i="1"/>
  <c r="R139" i="1"/>
  <c r="Q139" i="1"/>
  <c r="W138" i="1"/>
  <c r="V138" i="1"/>
  <c r="U138" i="1"/>
  <c r="T138" i="1"/>
  <c r="S138" i="1"/>
  <c r="R138" i="1"/>
  <c r="Q138" i="1"/>
  <c r="W137" i="1"/>
  <c r="V137" i="1"/>
  <c r="U137" i="1"/>
  <c r="T137" i="1"/>
  <c r="S137" i="1"/>
  <c r="R137" i="1"/>
  <c r="Q137" i="1"/>
  <c r="W136" i="1"/>
  <c r="V136" i="1"/>
  <c r="U136" i="1"/>
  <c r="T136" i="1"/>
  <c r="S136" i="1"/>
  <c r="R136" i="1"/>
  <c r="Q136" i="1"/>
  <c r="W135" i="1"/>
  <c r="V135" i="1"/>
  <c r="U135" i="1"/>
  <c r="T135" i="1"/>
  <c r="S135" i="1"/>
  <c r="R135" i="1"/>
  <c r="Q135" i="1"/>
  <c r="W134" i="1"/>
  <c r="V134" i="1"/>
  <c r="U134" i="1"/>
  <c r="T134" i="1"/>
  <c r="S134" i="1"/>
  <c r="R134" i="1"/>
  <c r="Q134" i="1"/>
  <c r="W133" i="1"/>
  <c r="V133" i="1"/>
  <c r="U133" i="1"/>
  <c r="T133" i="1"/>
  <c r="S133" i="1"/>
  <c r="R133" i="1"/>
  <c r="Q133" i="1"/>
  <c r="W132" i="1"/>
  <c r="V132" i="1"/>
  <c r="U132" i="1"/>
  <c r="T132" i="1"/>
  <c r="S132" i="1"/>
  <c r="R132" i="1"/>
  <c r="Q132" i="1"/>
  <c r="W131" i="1"/>
  <c r="V131" i="1"/>
  <c r="U131" i="1"/>
  <c r="T131" i="1"/>
  <c r="S131" i="1"/>
  <c r="R131" i="1"/>
  <c r="Q131" i="1"/>
  <c r="W130" i="1"/>
  <c r="V130" i="1"/>
  <c r="U130" i="1"/>
  <c r="T130" i="1"/>
  <c r="S130" i="1"/>
  <c r="R130" i="1"/>
  <c r="Q130" i="1"/>
  <c r="W129" i="1"/>
  <c r="V129" i="1"/>
  <c r="U129" i="1"/>
  <c r="T129" i="1"/>
  <c r="S129" i="1"/>
  <c r="R129" i="1"/>
  <c r="Q129" i="1"/>
  <c r="W128" i="1"/>
  <c r="V128" i="1"/>
  <c r="U128" i="1"/>
  <c r="T128" i="1"/>
  <c r="S128" i="1"/>
  <c r="R128" i="1"/>
  <c r="Q128" i="1"/>
  <c r="W127" i="1"/>
  <c r="V127" i="1"/>
  <c r="U127" i="1"/>
  <c r="T127" i="1"/>
  <c r="S127" i="1"/>
  <c r="R127" i="1"/>
  <c r="Q127" i="1"/>
  <c r="W126" i="1"/>
  <c r="V126" i="1"/>
  <c r="U126" i="1"/>
  <c r="T126" i="1"/>
  <c r="S126" i="1"/>
  <c r="R126" i="1"/>
  <c r="Q126" i="1"/>
  <c r="W125" i="1"/>
  <c r="V125" i="1"/>
  <c r="U125" i="1"/>
  <c r="T125" i="1"/>
  <c r="S125" i="1"/>
  <c r="R125" i="1"/>
  <c r="Q125" i="1"/>
  <c r="W124" i="1"/>
  <c r="V124" i="1"/>
  <c r="U124" i="1"/>
  <c r="T124" i="1"/>
  <c r="S124" i="1"/>
  <c r="R124" i="1"/>
  <c r="Q124" i="1"/>
  <c r="W123" i="1"/>
  <c r="V123" i="1"/>
  <c r="U123" i="1"/>
  <c r="T123" i="1"/>
  <c r="S123" i="1"/>
  <c r="R123" i="1"/>
  <c r="Q123" i="1"/>
  <c r="W122" i="1"/>
  <c r="V122" i="1"/>
  <c r="U122" i="1"/>
  <c r="T122" i="1"/>
  <c r="S122" i="1"/>
  <c r="R122" i="1"/>
  <c r="Q122" i="1"/>
  <c r="W121" i="1"/>
  <c r="V121" i="1"/>
  <c r="U121" i="1"/>
  <c r="T121" i="1"/>
  <c r="S121" i="1"/>
  <c r="R121" i="1"/>
  <c r="Q121" i="1"/>
  <c r="W120" i="1"/>
  <c r="V120" i="1"/>
  <c r="U120" i="1"/>
  <c r="T120" i="1"/>
  <c r="S120" i="1"/>
  <c r="R120" i="1"/>
  <c r="Q120" i="1"/>
  <c r="W119" i="1"/>
  <c r="V119" i="1"/>
  <c r="U119" i="1"/>
  <c r="T119" i="1"/>
  <c r="S119" i="1"/>
  <c r="R119" i="1"/>
  <c r="Q119" i="1"/>
  <c r="W118" i="1"/>
  <c r="V118" i="1"/>
  <c r="U118" i="1"/>
  <c r="T118" i="1"/>
  <c r="S118" i="1"/>
  <c r="R118" i="1"/>
  <c r="Q118" i="1"/>
  <c r="W117" i="1"/>
  <c r="V117" i="1"/>
  <c r="U117" i="1"/>
  <c r="T117" i="1"/>
  <c r="S117" i="1"/>
  <c r="R117" i="1"/>
  <c r="Q117" i="1"/>
  <c r="W116" i="1"/>
  <c r="V116" i="1"/>
  <c r="U116" i="1"/>
  <c r="T116" i="1"/>
  <c r="S116" i="1"/>
  <c r="R116" i="1"/>
  <c r="Q116" i="1"/>
  <c r="W115" i="1"/>
  <c r="V115" i="1"/>
  <c r="U115" i="1"/>
  <c r="T115" i="1"/>
  <c r="S115" i="1"/>
  <c r="R115" i="1"/>
  <c r="Q115" i="1"/>
  <c r="W114" i="1"/>
  <c r="V114" i="1"/>
  <c r="U114" i="1"/>
  <c r="T114" i="1"/>
  <c r="S114" i="1"/>
  <c r="R114" i="1"/>
  <c r="Q114" i="1"/>
  <c r="W113" i="1"/>
  <c r="V113" i="1"/>
  <c r="U113" i="1"/>
  <c r="T113" i="1"/>
  <c r="S113" i="1"/>
  <c r="R113" i="1"/>
  <c r="Q113" i="1"/>
  <c r="W112" i="1"/>
  <c r="V112" i="1"/>
  <c r="U112" i="1"/>
  <c r="T112" i="1"/>
  <c r="S112" i="1"/>
  <c r="R112" i="1"/>
  <c r="Q112" i="1"/>
  <c r="W111" i="1"/>
  <c r="V111" i="1"/>
  <c r="U111" i="1"/>
  <c r="T111" i="1"/>
  <c r="S111" i="1"/>
  <c r="R111" i="1"/>
  <c r="Q111" i="1"/>
  <c r="W110" i="1"/>
  <c r="V110" i="1"/>
  <c r="U110" i="1"/>
  <c r="T110" i="1"/>
  <c r="S110" i="1"/>
  <c r="R110" i="1"/>
  <c r="Q110" i="1"/>
  <c r="W109" i="1"/>
  <c r="V109" i="1"/>
  <c r="U109" i="1"/>
  <c r="T109" i="1"/>
  <c r="S109" i="1"/>
  <c r="R109" i="1"/>
  <c r="Q109" i="1"/>
  <c r="W108" i="1"/>
  <c r="V108" i="1"/>
  <c r="U108" i="1"/>
  <c r="T108" i="1"/>
  <c r="S108" i="1"/>
  <c r="R108" i="1"/>
  <c r="Q108" i="1"/>
  <c r="W107" i="1"/>
  <c r="V107" i="1"/>
  <c r="U107" i="1"/>
  <c r="T107" i="1"/>
  <c r="S107" i="1"/>
  <c r="R107" i="1"/>
  <c r="Q107" i="1"/>
  <c r="W106" i="1"/>
  <c r="V106" i="1"/>
  <c r="U106" i="1"/>
  <c r="T106" i="1"/>
  <c r="S106" i="1"/>
  <c r="R106" i="1"/>
  <c r="Q106" i="1"/>
  <c r="W105" i="1"/>
  <c r="V105" i="1"/>
  <c r="U105" i="1"/>
  <c r="T105" i="1"/>
  <c r="S105" i="1"/>
  <c r="R105" i="1"/>
  <c r="Q105" i="1"/>
  <c r="W104" i="1"/>
  <c r="V104" i="1"/>
  <c r="U104" i="1"/>
  <c r="T104" i="1"/>
  <c r="S104" i="1"/>
  <c r="R104" i="1"/>
  <c r="Q104" i="1"/>
  <c r="W103" i="1"/>
  <c r="V103" i="1"/>
  <c r="U103" i="1"/>
  <c r="T103" i="1"/>
  <c r="S103" i="1"/>
  <c r="R103" i="1"/>
  <c r="Q103" i="1"/>
  <c r="W102" i="1"/>
  <c r="V102" i="1"/>
  <c r="U102" i="1"/>
  <c r="T102" i="1"/>
  <c r="S102" i="1"/>
  <c r="R102" i="1"/>
  <c r="Q102" i="1"/>
  <c r="W101" i="1"/>
  <c r="V101" i="1"/>
  <c r="U101" i="1"/>
  <c r="T101" i="1"/>
  <c r="S101" i="1"/>
  <c r="R101" i="1"/>
  <c r="Q101" i="1"/>
  <c r="W100" i="1"/>
  <c r="V100" i="1"/>
  <c r="U100" i="1"/>
  <c r="T100" i="1"/>
  <c r="S100" i="1"/>
  <c r="R100" i="1"/>
  <c r="Q100" i="1"/>
  <c r="W99" i="1"/>
  <c r="V99" i="1"/>
  <c r="U99" i="1"/>
  <c r="T99" i="1"/>
  <c r="S99" i="1"/>
  <c r="R99" i="1"/>
  <c r="Q99" i="1"/>
  <c r="W98" i="1"/>
  <c r="V98" i="1"/>
  <c r="U98" i="1"/>
  <c r="T98" i="1"/>
  <c r="S98" i="1"/>
  <c r="R98" i="1"/>
  <c r="Q98" i="1"/>
  <c r="W97" i="1"/>
  <c r="V97" i="1"/>
  <c r="U97" i="1"/>
  <c r="T97" i="1"/>
  <c r="S97" i="1"/>
  <c r="R97" i="1"/>
  <c r="Q97" i="1"/>
  <c r="W96" i="1"/>
  <c r="V96" i="1"/>
  <c r="U96" i="1"/>
  <c r="T96" i="1"/>
  <c r="S96" i="1"/>
  <c r="R96" i="1"/>
  <c r="Q96" i="1"/>
  <c r="W95" i="1"/>
  <c r="V95" i="1"/>
  <c r="U95" i="1"/>
  <c r="T95" i="1"/>
  <c r="S95" i="1"/>
  <c r="R95" i="1"/>
  <c r="Q95" i="1"/>
  <c r="W94" i="1"/>
  <c r="V94" i="1"/>
  <c r="U94" i="1"/>
  <c r="T94" i="1"/>
  <c r="S94" i="1"/>
  <c r="R94" i="1"/>
  <c r="Q94" i="1"/>
  <c r="W93" i="1"/>
  <c r="V93" i="1"/>
  <c r="U93" i="1"/>
  <c r="T93" i="1"/>
  <c r="S93" i="1"/>
  <c r="R93" i="1"/>
  <c r="Q93" i="1"/>
  <c r="W92" i="1"/>
  <c r="V92" i="1"/>
  <c r="U92" i="1"/>
  <c r="T92" i="1"/>
  <c r="S92" i="1"/>
  <c r="R92" i="1"/>
  <c r="Q92" i="1"/>
  <c r="W91" i="1"/>
  <c r="V91" i="1"/>
  <c r="U91" i="1"/>
  <c r="T91" i="1"/>
  <c r="S91" i="1"/>
  <c r="R91" i="1"/>
  <c r="Q91" i="1"/>
  <c r="W90" i="1"/>
  <c r="V90" i="1"/>
  <c r="U90" i="1"/>
  <c r="T90" i="1"/>
  <c r="S90" i="1"/>
  <c r="R90" i="1"/>
  <c r="Q90" i="1"/>
  <c r="W89" i="1"/>
  <c r="V89" i="1"/>
  <c r="U89" i="1"/>
  <c r="T89" i="1"/>
  <c r="S89" i="1"/>
  <c r="R89" i="1"/>
  <c r="Q89" i="1"/>
  <c r="W88" i="1"/>
  <c r="V88" i="1"/>
  <c r="U88" i="1"/>
  <c r="T88" i="1"/>
  <c r="S88" i="1"/>
  <c r="R88" i="1"/>
  <c r="Q88" i="1"/>
  <c r="W87" i="1"/>
  <c r="V87" i="1"/>
  <c r="U87" i="1"/>
  <c r="T87" i="1"/>
  <c r="S87" i="1"/>
  <c r="R87" i="1"/>
  <c r="Q87" i="1"/>
  <c r="W86" i="1"/>
  <c r="V86" i="1"/>
  <c r="U86" i="1"/>
  <c r="T86" i="1"/>
  <c r="S86" i="1"/>
  <c r="R86" i="1"/>
  <c r="Q86" i="1"/>
  <c r="W85" i="1"/>
  <c r="V85" i="1"/>
  <c r="U85" i="1"/>
  <c r="T85" i="1"/>
  <c r="S85" i="1"/>
  <c r="R85" i="1"/>
  <c r="Q85" i="1"/>
  <c r="W84" i="1"/>
  <c r="V84" i="1"/>
  <c r="U84" i="1"/>
  <c r="T84" i="1"/>
  <c r="S84" i="1"/>
  <c r="R84" i="1"/>
  <c r="Q84" i="1"/>
  <c r="W83" i="1"/>
  <c r="V83" i="1"/>
  <c r="U83" i="1"/>
  <c r="T83" i="1"/>
  <c r="S83" i="1"/>
  <c r="R83" i="1"/>
  <c r="Q83" i="1"/>
  <c r="W82" i="1"/>
  <c r="V82" i="1"/>
  <c r="U82" i="1"/>
  <c r="T82" i="1"/>
  <c r="S82" i="1"/>
  <c r="R82" i="1"/>
  <c r="Q82" i="1"/>
  <c r="W81" i="1"/>
  <c r="V81" i="1"/>
  <c r="U81" i="1"/>
  <c r="T81" i="1"/>
  <c r="S81" i="1"/>
  <c r="R81" i="1"/>
  <c r="Q81" i="1"/>
  <c r="W80" i="1"/>
  <c r="V80" i="1"/>
  <c r="U80" i="1"/>
  <c r="T80" i="1"/>
  <c r="S80" i="1"/>
  <c r="R80" i="1"/>
  <c r="Q80" i="1"/>
  <c r="W79" i="1"/>
  <c r="V79" i="1"/>
  <c r="U79" i="1"/>
  <c r="T79" i="1"/>
  <c r="S79" i="1"/>
  <c r="R79" i="1"/>
  <c r="Q79" i="1"/>
  <c r="W78" i="1"/>
  <c r="V78" i="1"/>
  <c r="U78" i="1"/>
  <c r="T78" i="1"/>
  <c r="S78" i="1"/>
  <c r="R78" i="1"/>
  <c r="Q78" i="1"/>
  <c r="W77" i="1"/>
  <c r="V77" i="1"/>
  <c r="U77" i="1"/>
  <c r="T77" i="1"/>
  <c r="S77" i="1"/>
  <c r="R77" i="1"/>
  <c r="Q77" i="1"/>
  <c r="W76" i="1"/>
  <c r="V76" i="1"/>
  <c r="U76" i="1"/>
  <c r="T76" i="1"/>
  <c r="S76" i="1"/>
  <c r="R76" i="1"/>
  <c r="Q76" i="1"/>
  <c r="W75" i="1"/>
  <c r="V75" i="1"/>
  <c r="U75" i="1"/>
  <c r="T75" i="1"/>
  <c r="S75" i="1"/>
  <c r="R75" i="1"/>
  <c r="Q75" i="1"/>
  <c r="W74" i="1"/>
  <c r="V74" i="1"/>
  <c r="U74" i="1"/>
  <c r="T74" i="1"/>
  <c r="S74" i="1"/>
  <c r="R74" i="1"/>
  <c r="Q74" i="1"/>
  <c r="W73" i="1"/>
  <c r="V73" i="1"/>
  <c r="U73" i="1"/>
  <c r="T73" i="1"/>
  <c r="S73" i="1"/>
  <c r="R73" i="1"/>
  <c r="Q73" i="1"/>
  <c r="W72" i="1"/>
  <c r="V72" i="1"/>
  <c r="U72" i="1"/>
  <c r="T72" i="1"/>
  <c r="S72" i="1"/>
  <c r="R72" i="1"/>
  <c r="Q72" i="1"/>
  <c r="W71" i="1"/>
  <c r="V71" i="1"/>
  <c r="U71" i="1"/>
  <c r="T71" i="1"/>
  <c r="S71" i="1"/>
  <c r="R71" i="1"/>
  <c r="Q71" i="1"/>
  <c r="W70" i="1"/>
  <c r="V70" i="1"/>
  <c r="U70" i="1"/>
  <c r="T70" i="1"/>
  <c r="S70" i="1"/>
  <c r="R70" i="1"/>
  <c r="Q70" i="1"/>
  <c r="W69" i="1"/>
  <c r="V69" i="1"/>
  <c r="U69" i="1"/>
  <c r="T69" i="1"/>
  <c r="S69" i="1"/>
  <c r="R69" i="1"/>
  <c r="Q69" i="1"/>
  <c r="W68" i="1"/>
  <c r="V68" i="1"/>
  <c r="U68" i="1"/>
  <c r="T68" i="1"/>
  <c r="S68" i="1"/>
  <c r="R68" i="1"/>
  <c r="Q68" i="1"/>
  <c r="W67" i="1"/>
  <c r="V67" i="1"/>
  <c r="U67" i="1"/>
  <c r="T67" i="1"/>
  <c r="S67" i="1"/>
  <c r="R67" i="1"/>
  <c r="Q67" i="1"/>
  <c r="W66" i="1"/>
  <c r="V66" i="1"/>
  <c r="U66" i="1"/>
  <c r="T66" i="1"/>
  <c r="S66" i="1"/>
  <c r="R66" i="1"/>
  <c r="Q66" i="1"/>
  <c r="W65" i="1"/>
  <c r="V65" i="1"/>
  <c r="U65" i="1"/>
  <c r="T65" i="1"/>
  <c r="S65" i="1"/>
  <c r="R65" i="1"/>
  <c r="Q65" i="1"/>
  <c r="W64" i="1"/>
  <c r="V64" i="1"/>
  <c r="U64" i="1"/>
  <c r="T64" i="1"/>
  <c r="S64" i="1"/>
  <c r="R64" i="1"/>
  <c r="Q64" i="1"/>
  <c r="W63" i="1"/>
  <c r="V63" i="1"/>
  <c r="U63" i="1"/>
  <c r="T63" i="1"/>
  <c r="S63" i="1"/>
  <c r="R63" i="1"/>
  <c r="Q63" i="1"/>
  <c r="W62" i="1"/>
  <c r="V62" i="1"/>
  <c r="U62" i="1"/>
  <c r="T62" i="1"/>
  <c r="S62" i="1"/>
  <c r="R62" i="1"/>
  <c r="Q62" i="1"/>
  <c r="W61" i="1"/>
  <c r="V61" i="1"/>
  <c r="U61" i="1"/>
  <c r="T61" i="1"/>
  <c r="S61" i="1"/>
  <c r="R61" i="1"/>
  <c r="Q61" i="1"/>
  <c r="W60" i="1"/>
  <c r="V60" i="1"/>
  <c r="U60" i="1"/>
  <c r="T60" i="1"/>
  <c r="S60" i="1"/>
  <c r="R60" i="1"/>
  <c r="Q60" i="1"/>
  <c r="W59" i="1"/>
  <c r="V59" i="1"/>
  <c r="U59" i="1"/>
  <c r="T59" i="1"/>
  <c r="S59" i="1"/>
  <c r="R59" i="1"/>
  <c r="Q59" i="1"/>
  <c r="W58" i="1"/>
  <c r="V58" i="1"/>
  <c r="U58" i="1"/>
  <c r="T58" i="1"/>
  <c r="S58" i="1"/>
  <c r="R58" i="1"/>
  <c r="Q58" i="1"/>
  <c r="W57" i="1"/>
  <c r="V57" i="1"/>
  <c r="U57" i="1"/>
  <c r="T57" i="1"/>
  <c r="S57" i="1"/>
  <c r="R57" i="1"/>
  <c r="Q57" i="1"/>
  <c r="W56" i="1"/>
  <c r="V56" i="1"/>
  <c r="U56" i="1"/>
  <c r="T56" i="1"/>
  <c r="S56" i="1"/>
  <c r="R56" i="1"/>
  <c r="Q56" i="1"/>
  <c r="W55" i="1"/>
  <c r="V55" i="1"/>
  <c r="U55" i="1"/>
  <c r="T55" i="1"/>
  <c r="S55" i="1"/>
  <c r="R55" i="1"/>
  <c r="Q55" i="1"/>
  <c r="W54" i="1"/>
  <c r="V54" i="1"/>
  <c r="U54" i="1"/>
  <c r="T54" i="1"/>
  <c r="S54" i="1"/>
  <c r="R54" i="1"/>
  <c r="Q54" i="1"/>
  <c r="W53" i="1"/>
  <c r="V53" i="1"/>
  <c r="U53" i="1"/>
  <c r="T53" i="1"/>
  <c r="S53" i="1"/>
  <c r="R53" i="1"/>
  <c r="Q53" i="1"/>
  <c r="W52" i="1"/>
  <c r="V52" i="1"/>
  <c r="U52" i="1"/>
  <c r="T52" i="1"/>
  <c r="S52" i="1"/>
  <c r="R52" i="1"/>
  <c r="Q52" i="1"/>
  <c r="W51" i="1"/>
  <c r="V51" i="1"/>
  <c r="U51" i="1"/>
  <c r="T51" i="1"/>
  <c r="S51" i="1"/>
  <c r="R51" i="1"/>
  <c r="Q51" i="1"/>
  <c r="W50" i="1"/>
  <c r="V50" i="1"/>
  <c r="U50" i="1"/>
  <c r="T50" i="1"/>
  <c r="S50" i="1"/>
  <c r="R50" i="1"/>
  <c r="Q50" i="1"/>
  <c r="W49" i="1"/>
  <c r="V49" i="1"/>
  <c r="U49" i="1"/>
  <c r="T49" i="1"/>
  <c r="S49" i="1"/>
  <c r="R49" i="1"/>
  <c r="Q49" i="1"/>
  <c r="W48" i="1"/>
  <c r="V48" i="1"/>
  <c r="U48" i="1"/>
  <c r="T48" i="1"/>
  <c r="S48" i="1"/>
  <c r="R48" i="1"/>
  <c r="Q48" i="1"/>
  <c r="W47" i="1"/>
  <c r="V47" i="1"/>
  <c r="U47" i="1"/>
  <c r="T47" i="1"/>
  <c r="S47" i="1"/>
  <c r="R47" i="1"/>
  <c r="Q47" i="1"/>
  <c r="W46" i="1"/>
  <c r="V46" i="1"/>
  <c r="U46" i="1"/>
  <c r="T46" i="1"/>
  <c r="S46" i="1"/>
  <c r="R46" i="1"/>
  <c r="Q46" i="1"/>
  <c r="W45" i="1"/>
  <c r="V45" i="1"/>
  <c r="U45" i="1"/>
  <c r="T45" i="1"/>
  <c r="S45" i="1"/>
  <c r="R45" i="1"/>
  <c r="Q45" i="1"/>
  <c r="W44" i="1"/>
  <c r="V44" i="1"/>
  <c r="U44" i="1"/>
  <c r="T44" i="1"/>
  <c r="S44" i="1"/>
  <c r="R44" i="1"/>
  <c r="Q44" i="1"/>
  <c r="W43" i="1"/>
  <c r="V43" i="1"/>
  <c r="U43" i="1"/>
  <c r="T43" i="1"/>
  <c r="S43" i="1"/>
  <c r="R43" i="1"/>
  <c r="Q43" i="1"/>
  <c r="W42" i="1"/>
  <c r="V42" i="1"/>
  <c r="U42" i="1"/>
  <c r="T42" i="1"/>
  <c r="S42" i="1"/>
  <c r="R42" i="1"/>
  <c r="Q42" i="1"/>
  <c r="W41" i="1"/>
  <c r="V41" i="1"/>
  <c r="U41" i="1"/>
  <c r="T41" i="1"/>
  <c r="S41" i="1"/>
  <c r="R41" i="1"/>
  <c r="Q41" i="1"/>
  <c r="W40" i="1"/>
  <c r="V40" i="1"/>
  <c r="U40" i="1"/>
  <c r="T40" i="1"/>
  <c r="S40" i="1"/>
  <c r="R40" i="1"/>
  <c r="Q40" i="1"/>
  <c r="W39" i="1"/>
  <c r="V39" i="1"/>
  <c r="U39" i="1"/>
  <c r="T39" i="1"/>
  <c r="S39" i="1"/>
  <c r="R39" i="1"/>
  <c r="Q39" i="1"/>
  <c r="W38" i="1"/>
  <c r="V38" i="1"/>
  <c r="U38" i="1"/>
  <c r="T38" i="1"/>
  <c r="S38" i="1"/>
  <c r="R38" i="1"/>
  <c r="Q38" i="1"/>
  <c r="W37" i="1"/>
  <c r="V37" i="1"/>
  <c r="U37" i="1"/>
  <c r="T37" i="1"/>
  <c r="S37" i="1"/>
  <c r="R37" i="1"/>
  <c r="Q37" i="1"/>
  <c r="W36" i="1"/>
  <c r="V36" i="1"/>
  <c r="U36" i="1"/>
  <c r="T36" i="1"/>
  <c r="S36" i="1"/>
  <c r="R36" i="1"/>
  <c r="Q36" i="1"/>
  <c r="W35" i="1"/>
  <c r="V35" i="1"/>
  <c r="U35" i="1"/>
  <c r="T35" i="1"/>
  <c r="S35" i="1"/>
  <c r="R35" i="1"/>
  <c r="Q35" i="1"/>
  <c r="W34" i="1"/>
  <c r="V34" i="1"/>
  <c r="U34" i="1"/>
  <c r="T34" i="1"/>
  <c r="S34" i="1"/>
  <c r="R34" i="1"/>
  <c r="Q34" i="1"/>
  <c r="W33" i="1"/>
  <c r="V33" i="1"/>
  <c r="U33" i="1"/>
  <c r="T33" i="1"/>
  <c r="S33" i="1"/>
  <c r="R33" i="1"/>
  <c r="Q33" i="1"/>
  <c r="W32" i="1"/>
  <c r="V32" i="1"/>
  <c r="U32" i="1"/>
  <c r="T32" i="1"/>
  <c r="S32" i="1"/>
  <c r="R32" i="1"/>
  <c r="Q32" i="1"/>
  <c r="W31" i="1"/>
  <c r="V31" i="1"/>
  <c r="U31" i="1"/>
  <c r="T31" i="1"/>
  <c r="S31" i="1"/>
  <c r="R31" i="1"/>
  <c r="Q31" i="1"/>
  <c r="W30" i="1"/>
  <c r="V30" i="1"/>
  <c r="U30" i="1"/>
  <c r="T30" i="1"/>
  <c r="S30" i="1"/>
  <c r="R30" i="1"/>
  <c r="Q30" i="1"/>
  <c r="W29" i="1"/>
  <c r="V29" i="1"/>
  <c r="U29" i="1"/>
  <c r="T29" i="1"/>
  <c r="S29" i="1"/>
  <c r="R29" i="1"/>
  <c r="Q29" i="1"/>
  <c r="W28" i="1"/>
  <c r="V28" i="1"/>
  <c r="U28" i="1"/>
  <c r="T28" i="1"/>
  <c r="S28" i="1"/>
  <c r="R28" i="1"/>
  <c r="Q28" i="1"/>
  <c r="W27" i="1"/>
  <c r="V27" i="1"/>
  <c r="U27" i="1"/>
  <c r="T27" i="1"/>
  <c r="S27" i="1"/>
  <c r="R27" i="1"/>
  <c r="Q27" i="1"/>
  <c r="W26" i="1"/>
  <c r="V26" i="1"/>
  <c r="U26" i="1"/>
  <c r="T26" i="1"/>
  <c r="S26" i="1"/>
  <c r="R26" i="1"/>
  <c r="Q26" i="1"/>
  <c r="W25" i="1"/>
  <c r="V25" i="1"/>
  <c r="U25" i="1"/>
  <c r="T25" i="1"/>
  <c r="S25" i="1"/>
  <c r="R25" i="1"/>
  <c r="Q25" i="1"/>
  <c r="W24" i="1"/>
  <c r="V24" i="1"/>
  <c r="U24" i="1"/>
  <c r="T24" i="1"/>
  <c r="S24" i="1"/>
  <c r="R24" i="1"/>
  <c r="Q24" i="1"/>
  <c r="W23" i="1"/>
  <c r="V23" i="1"/>
  <c r="U23" i="1"/>
  <c r="T23" i="1"/>
  <c r="S23" i="1"/>
  <c r="R23" i="1"/>
  <c r="Q23" i="1"/>
  <c r="W22" i="1"/>
  <c r="V22" i="1"/>
  <c r="U22" i="1"/>
  <c r="T22" i="1"/>
  <c r="S22" i="1"/>
  <c r="R22" i="1"/>
  <c r="Q22" i="1"/>
  <c r="W21" i="1"/>
  <c r="V21" i="1"/>
  <c r="U21" i="1"/>
  <c r="T21" i="1"/>
  <c r="S21" i="1"/>
  <c r="R21" i="1"/>
  <c r="Q21" i="1"/>
  <c r="W20" i="1"/>
  <c r="V20" i="1"/>
  <c r="U20" i="1"/>
  <c r="T20" i="1"/>
  <c r="S20" i="1"/>
  <c r="R20" i="1"/>
  <c r="Q20" i="1"/>
  <c r="W19" i="1"/>
  <c r="V19" i="1"/>
  <c r="U19" i="1"/>
  <c r="T19" i="1"/>
  <c r="S19" i="1"/>
  <c r="R19" i="1"/>
  <c r="Q19" i="1"/>
  <c r="W18" i="1"/>
  <c r="V18" i="1"/>
  <c r="U18" i="1"/>
  <c r="T18" i="1"/>
  <c r="S18" i="1"/>
  <c r="R18" i="1"/>
  <c r="Q18" i="1"/>
  <c r="W17" i="1"/>
  <c r="V17" i="1"/>
  <c r="U17" i="1"/>
  <c r="T17" i="1"/>
  <c r="S17" i="1"/>
  <c r="R17" i="1"/>
  <c r="Q17" i="1"/>
  <c r="W16" i="1"/>
  <c r="V16" i="1"/>
  <c r="U16" i="1"/>
  <c r="T16" i="1"/>
  <c r="S16" i="1"/>
  <c r="R16" i="1"/>
  <c r="Q16" i="1"/>
  <c r="W15" i="1"/>
  <c r="V15" i="1"/>
  <c r="U15" i="1"/>
  <c r="T15" i="1"/>
  <c r="S15" i="1"/>
  <c r="R15" i="1"/>
  <c r="Q15" i="1"/>
  <c r="W14" i="1"/>
  <c r="V14" i="1"/>
  <c r="U14" i="1"/>
  <c r="T14" i="1"/>
  <c r="S14" i="1"/>
  <c r="R14" i="1"/>
  <c r="Q14" i="1"/>
  <c r="W13" i="1"/>
  <c r="V13" i="1"/>
  <c r="U13" i="1"/>
  <c r="T13" i="1"/>
  <c r="S13" i="1"/>
  <c r="R13" i="1"/>
  <c r="Q13" i="1"/>
  <c r="W12" i="1"/>
  <c r="V12" i="1"/>
  <c r="U12" i="1"/>
  <c r="T12" i="1"/>
  <c r="S12" i="1"/>
  <c r="R12" i="1"/>
  <c r="Q12" i="1"/>
  <c r="W11" i="1"/>
  <c r="V11" i="1"/>
  <c r="U11" i="1"/>
  <c r="T11" i="1"/>
  <c r="S11" i="1"/>
  <c r="R11" i="1"/>
  <c r="Q11" i="1"/>
  <c r="W10" i="1"/>
  <c r="V10" i="1"/>
  <c r="U10" i="1"/>
  <c r="T10" i="1"/>
  <c r="S10" i="1"/>
  <c r="R10" i="1"/>
  <c r="Q10" i="1"/>
  <c r="W9" i="1"/>
  <c r="V9" i="1"/>
  <c r="U9" i="1"/>
  <c r="T9" i="1"/>
  <c r="S9" i="1"/>
  <c r="R9" i="1"/>
  <c r="Q9" i="1"/>
  <c r="W8" i="1"/>
  <c r="V8" i="1"/>
  <c r="U8" i="1"/>
  <c r="T8" i="1"/>
  <c r="S8" i="1"/>
  <c r="R8" i="1"/>
  <c r="Q8" i="1"/>
  <c r="W7" i="1"/>
  <c r="V7" i="1"/>
  <c r="U7" i="1"/>
  <c r="T7" i="1"/>
  <c r="S7" i="1"/>
  <c r="R7" i="1"/>
  <c r="Q7" i="1"/>
  <c r="W6" i="1"/>
  <c r="V6" i="1"/>
  <c r="U6" i="1"/>
  <c r="T6" i="1"/>
  <c r="S6" i="1"/>
  <c r="R6" i="1"/>
  <c r="Q6" i="1"/>
  <c r="W5" i="1"/>
  <c r="V5" i="1"/>
  <c r="U5" i="1"/>
  <c r="T5" i="1"/>
  <c r="S5" i="1"/>
  <c r="R5" i="1"/>
  <c r="Q5" i="1"/>
  <c r="W4" i="1"/>
  <c r="V4" i="1"/>
  <c r="U4" i="1"/>
  <c r="T4" i="1"/>
  <c r="S4" i="1"/>
  <c r="R4" i="1"/>
  <c r="Q4" i="1"/>
  <c r="W3" i="1"/>
  <c r="V3" i="1"/>
  <c r="U3" i="1"/>
  <c r="T3" i="1"/>
  <c r="S3" i="1"/>
  <c r="R3" i="1"/>
  <c r="Q3" i="1"/>
  <c r="W2" i="1"/>
  <c r="V2" i="1"/>
  <c r="U2" i="1"/>
  <c r="T2" i="1"/>
  <c r="S2" i="1"/>
  <c r="R2" i="1"/>
  <c r="Q2" i="1"/>
</calcChain>
</file>

<file path=xl/sharedStrings.xml><?xml version="1.0" encoding="utf-8"?>
<sst xmlns="http://schemas.openxmlformats.org/spreadsheetml/2006/main" count="42" uniqueCount="42">
  <si>
    <t>﻿CAL_DATE</t>
  </si>
  <si>
    <t>HARTALIK_TEEJ</t>
  </si>
  <si>
    <t>GANESH_CHATURTHI</t>
  </si>
  <si>
    <t>JANMASHTAMI</t>
  </si>
  <si>
    <t>VISHWAKARMA_PUJA</t>
  </si>
  <si>
    <t>KARWA_CHAUTH</t>
  </si>
  <si>
    <t>ONAM</t>
  </si>
  <si>
    <t>HANUMAN_JAYANTI</t>
  </si>
  <si>
    <t>AKSHYA_TRITIYA</t>
  </si>
  <si>
    <t>BUDDHA_PURNIMA</t>
  </si>
  <si>
    <t>GANGA_DUSSEHRA</t>
  </si>
  <si>
    <t>JAGANNATH_RATHYATRA</t>
  </si>
  <si>
    <t>GURU_PURNIMA</t>
  </si>
  <si>
    <t>NAG_PANCHAMI</t>
  </si>
  <si>
    <t>RAKSHA_BANDHAN</t>
  </si>
  <si>
    <t>MARRIAGE_DAY</t>
  </si>
  <si>
    <t>FESTIVE_DAYS_FROM_DIWALI</t>
  </si>
  <si>
    <t>IS_NAVRATARI</t>
  </si>
  <si>
    <t>IS_NAVRATARI_START</t>
  </si>
  <si>
    <t>IS_NAVRATARI_END</t>
  </si>
  <si>
    <t>IS_DUSSEHRA</t>
  </si>
  <si>
    <t>IS_PITRA_PAKSHA</t>
  </si>
  <si>
    <t>IS_DHANTERAS</t>
  </si>
  <si>
    <t>YEAR</t>
  </si>
  <si>
    <t>NAVRATRI_START</t>
  </si>
  <si>
    <t>NAVRATRI_END</t>
  </si>
  <si>
    <t>DUSSEHRA</t>
  </si>
  <si>
    <t>PITRA_START_SUPPLIED</t>
  </si>
  <si>
    <t>PITRA_END_SUPPLIED</t>
  </si>
  <si>
    <t>DHANTERAS</t>
  </si>
  <si>
    <t>DIWALI</t>
  </si>
  <si>
    <t>PITRA_FEATURE_START</t>
  </si>
  <si>
    <t>PITRA_FEATURE_END</t>
  </si>
  <si>
    <t>Definitions and source decisions</t>
  </si>
  <si>
    <t>Dates: supplied Festive Dates 2026-27 worksheet. Historical column headings determine years; month/day values are retained.</t>
  </si>
  <si>
    <t>2026 Diwali: November 8, from the original matrix D=1. The supplied 2026 Diwali cell contains text rather than a date.</t>
  </si>
  <si>
    <t>FESTIVE_DAYS_FROM_DIWALI = CAL_DATE minus same-year Diwali, clipped to [-20, +10]. Before Diwali is negative.</t>
  </si>
  <si>
    <t>IS_NAVRATARI marks dates strictly between the supplied Navratri start and Mahanavami dates; endpoints have separate flags.</t>
  </si>
  <si>
    <t>The supplied 2024 Mahanavami and Dussehra both fall on October 12. Both flags equal 1 on that date.</t>
  </si>
  <si>
    <t>IS_PITRA_PAKSHA follows Feature_engineering_set_up: the 16 days immediately before Navratri (N-16 through N-1).</t>
  </si>
  <si>
    <t>This gives September 6-21 in 2025 and September 25-October 10 in 2026, differing from the supplied starts retained in column E.</t>
  </si>
  <si>
    <t>Removed the 35 explicitly listed offset columns. N and D are retained unchanged. All 1,347 input dates and other values are preserved.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</si>
</sst>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4">
    <font>
      <sz val="11"/>
      <name val="Carlito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03D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351"/>
  <sheetViews>
    <sheetView showGridLines="0" tabSelected="1" workbookViewId="0">
      <pane xSplit="1" ySplit="1" topLeftCell="B1346" activePane="bottomRight" state="frozen"/>
      <selection pane="topRight"/>
      <selection pane="bottomLeft"/>
      <selection pane="bottomRight" activeCell="A1349" sqref="A1349"/>
    </sheetView>
  </sheetViews>
  <sheetFormatPr defaultRowHeight="14"/>
  <cols>
    <col min="1" max="1" width="14" style="10" customWidth="1"/>
    <col min="2" max="11" width="20" style="10" customWidth="1"/>
    <col min="12" max="12" width="23.4140625" style="10" customWidth="1"/>
    <col min="13" max="16" width="20" style="10" customWidth="1"/>
    <col min="17" max="17" width="29" style="10" customWidth="1"/>
    <col min="18" max="23" width="24" style="10" customWidth="1"/>
  </cols>
  <sheetData>
    <row r="1" spans="1:51" s="6" customFormat="1" ht="48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</row>
    <row r="2" spans="1:51">
      <c r="A2" s="8">
        <v>45017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f>MAX(-20,MIN(10,$A2-VLOOKUP(YEAR($A2),'Festive dates'!$A$2:$J$5,8,FALSE)))</f>
        <v>-20</v>
      </c>
      <c r="R2" s="9">
        <f>IF(AND($A2&gt;VLOOKUP(YEAR($A2),'Festive dates'!$A$2:$J$5,2,FALSE),$A2&lt;VLOOKUP(YEAR($A2),'Festive dates'!$A$2:$J$5,3,FALSE)),1,0)</f>
        <v>0</v>
      </c>
      <c r="S2" s="9">
        <f>IF($A2=VLOOKUP(YEAR($A2),'Festive dates'!$A$2:$J$5,2,FALSE),1,0)</f>
        <v>0</v>
      </c>
      <c r="T2" s="9">
        <f>IF($A2=VLOOKUP(YEAR($A2),'Festive dates'!$A$2:$J$5,3,FALSE),1,0)</f>
        <v>0</v>
      </c>
      <c r="U2" s="9">
        <f>IF($A2=VLOOKUP(YEAR($A2),'Festive dates'!$A$2:$J$5,4,FALSE),1,0)</f>
        <v>0</v>
      </c>
      <c r="V2" s="9">
        <f>IF(AND($A2&gt;=VLOOKUP(YEAR($A2),'Festive dates'!$A$2:$J$5,9,FALSE),$A2&lt;=VLOOKUP(YEAR($A2),'Festive dates'!$A$2:$J$5,10,FALSE)),1,0)</f>
        <v>0</v>
      </c>
      <c r="W2" s="9">
        <f>IF($A2=VLOOKUP(YEAR($A2),'Festive dates'!$A$2:$J$5,7,FALSE),1,0)</f>
        <v>0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>
      <c r="A3" s="8">
        <v>45018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f>MAX(-20,MIN(10,$A3-VLOOKUP(YEAR($A3),'Festive dates'!$A$2:$J$5,8,FALSE)))</f>
        <v>-20</v>
      </c>
      <c r="R3" s="9">
        <f>IF(AND($A3&gt;VLOOKUP(YEAR($A3),'Festive dates'!$A$2:$J$5,2,FALSE),$A3&lt;VLOOKUP(YEAR($A3),'Festive dates'!$A$2:$J$5,3,FALSE)),1,0)</f>
        <v>0</v>
      </c>
      <c r="S3" s="9">
        <f>IF($A3=VLOOKUP(YEAR($A3),'Festive dates'!$A$2:$J$5,2,FALSE),1,0)</f>
        <v>0</v>
      </c>
      <c r="T3" s="9">
        <f>IF($A3=VLOOKUP(YEAR($A3),'Festive dates'!$A$2:$J$5,3,FALSE),1,0)</f>
        <v>0</v>
      </c>
      <c r="U3" s="9">
        <f>IF($A3=VLOOKUP(YEAR($A3),'Festive dates'!$A$2:$J$5,4,FALSE),1,0)</f>
        <v>0</v>
      </c>
      <c r="V3" s="9">
        <f>IF(AND($A3&gt;=VLOOKUP(YEAR($A3),'Festive dates'!$A$2:$J$5,9,FALSE),$A3&lt;=VLOOKUP(YEAR($A3),'Festive dates'!$A$2:$J$5,10,FALSE)),1,0)</f>
        <v>0</v>
      </c>
      <c r="W3" s="9">
        <f>IF($A3=VLOOKUP(YEAR($A3),'Festive dates'!$A$2:$J$5,7,FALSE),1,0)</f>
        <v>0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>
      <c r="A4" s="8">
        <v>45019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f>MAX(-20,MIN(10,$A4-VLOOKUP(YEAR($A4),'Festive dates'!$A$2:$J$5,8,FALSE)))</f>
        <v>-20</v>
      </c>
      <c r="R4" s="9">
        <f>IF(AND($A4&gt;VLOOKUP(YEAR($A4),'Festive dates'!$A$2:$J$5,2,FALSE),$A4&lt;VLOOKUP(YEAR($A4),'Festive dates'!$A$2:$J$5,3,FALSE)),1,0)</f>
        <v>0</v>
      </c>
      <c r="S4" s="9">
        <f>IF($A4=VLOOKUP(YEAR($A4),'Festive dates'!$A$2:$J$5,2,FALSE),1,0)</f>
        <v>0</v>
      </c>
      <c r="T4" s="9">
        <f>IF($A4=VLOOKUP(YEAR($A4),'Festive dates'!$A$2:$J$5,3,FALSE),1,0)</f>
        <v>0</v>
      </c>
      <c r="U4" s="9">
        <f>IF($A4=VLOOKUP(YEAR($A4),'Festive dates'!$A$2:$J$5,4,FALSE),1,0)</f>
        <v>0</v>
      </c>
      <c r="V4" s="9">
        <f>IF(AND($A4&gt;=VLOOKUP(YEAR($A4),'Festive dates'!$A$2:$J$5,9,FALSE),$A4&lt;=VLOOKUP(YEAR($A4),'Festive dates'!$A$2:$J$5,10,FALSE)),1,0)</f>
        <v>0</v>
      </c>
      <c r="W4" s="9">
        <f>IF($A4=VLOOKUP(YEAR($A4),'Festive dates'!$A$2:$J$5,7,FALSE),1,0)</f>
        <v>0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>
      <c r="A5" s="8">
        <v>45020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f>MAX(-20,MIN(10,$A5-VLOOKUP(YEAR($A5),'Festive dates'!$A$2:$J$5,8,FALSE)))</f>
        <v>-20</v>
      </c>
      <c r="R5" s="9">
        <f>IF(AND($A5&gt;VLOOKUP(YEAR($A5),'Festive dates'!$A$2:$J$5,2,FALSE),$A5&lt;VLOOKUP(YEAR($A5),'Festive dates'!$A$2:$J$5,3,FALSE)),1,0)</f>
        <v>0</v>
      </c>
      <c r="S5" s="9">
        <f>IF($A5=VLOOKUP(YEAR($A5),'Festive dates'!$A$2:$J$5,2,FALSE),1,0)</f>
        <v>0</v>
      </c>
      <c r="T5" s="9">
        <f>IF($A5=VLOOKUP(YEAR($A5),'Festive dates'!$A$2:$J$5,3,FALSE),1,0)</f>
        <v>0</v>
      </c>
      <c r="U5" s="9">
        <f>IF($A5=VLOOKUP(YEAR($A5),'Festive dates'!$A$2:$J$5,4,FALSE),1,0)</f>
        <v>0</v>
      </c>
      <c r="V5" s="9">
        <f>IF(AND($A5&gt;=VLOOKUP(YEAR($A5),'Festive dates'!$A$2:$J$5,9,FALSE),$A5&lt;=VLOOKUP(YEAR($A5),'Festive dates'!$A$2:$J$5,10,FALSE)),1,0)</f>
        <v>0</v>
      </c>
      <c r="W5" s="9">
        <f>IF($A5=VLOOKUP(YEAR($A5),'Festive dates'!$A$2:$J$5,7,FALSE),1,0)</f>
        <v>0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>
      <c r="A6" s="8">
        <v>45021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f>MAX(-20,MIN(10,$A6-VLOOKUP(YEAR($A6),'Festive dates'!$A$2:$J$5,8,FALSE)))</f>
        <v>-20</v>
      </c>
      <c r="R6" s="9">
        <f>IF(AND($A6&gt;VLOOKUP(YEAR($A6),'Festive dates'!$A$2:$J$5,2,FALSE),$A6&lt;VLOOKUP(YEAR($A6),'Festive dates'!$A$2:$J$5,3,FALSE)),1,0)</f>
        <v>0</v>
      </c>
      <c r="S6" s="9">
        <f>IF($A6=VLOOKUP(YEAR($A6),'Festive dates'!$A$2:$J$5,2,FALSE),1,0)</f>
        <v>0</v>
      </c>
      <c r="T6" s="9">
        <f>IF($A6=VLOOKUP(YEAR($A6),'Festive dates'!$A$2:$J$5,3,FALSE),1,0)</f>
        <v>0</v>
      </c>
      <c r="U6" s="9">
        <f>IF($A6=VLOOKUP(YEAR($A6),'Festive dates'!$A$2:$J$5,4,FALSE),1,0)</f>
        <v>0</v>
      </c>
      <c r="V6" s="9">
        <f>IF(AND($A6&gt;=VLOOKUP(YEAR($A6),'Festive dates'!$A$2:$J$5,9,FALSE),$A6&lt;=VLOOKUP(YEAR($A6),'Festive dates'!$A$2:$J$5,10,FALSE)),1,0)</f>
        <v>0</v>
      </c>
      <c r="W6" s="9">
        <f>IF($A6=VLOOKUP(YEAR($A6),'Festive dates'!$A$2:$J$5,7,FALSE),1,0)</f>
        <v>0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>
      <c r="A7" s="8">
        <v>45022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1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f>MAX(-20,MIN(10,$A7-VLOOKUP(YEAR($A7),'Festive dates'!$A$2:$J$5,8,FALSE)))</f>
        <v>-20</v>
      </c>
      <c r="R7" s="9">
        <f>IF(AND($A7&gt;VLOOKUP(YEAR($A7),'Festive dates'!$A$2:$J$5,2,FALSE),$A7&lt;VLOOKUP(YEAR($A7),'Festive dates'!$A$2:$J$5,3,FALSE)),1,0)</f>
        <v>0</v>
      </c>
      <c r="S7" s="9">
        <f>IF($A7=VLOOKUP(YEAR($A7),'Festive dates'!$A$2:$J$5,2,FALSE),1,0)</f>
        <v>0</v>
      </c>
      <c r="T7" s="9">
        <f>IF($A7=VLOOKUP(YEAR($A7),'Festive dates'!$A$2:$J$5,3,FALSE),1,0)</f>
        <v>0</v>
      </c>
      <c r="U7" s="9">
        <f>IF($A7=VLOOKUP(YEAR($A7),'Festive dates'!$A$2:$J$5,4,FALSE),1,0)</f>
        <v>0</v>
      </c>
      <c r="V7" s="9">
        <f>IF(AND($A7&gt;=VLOOKUP(YEAR($A7),'Festive dates'!$A$2:$J$5,9,FALSE),$A7&lt;=VLOOKUP(YEAR($A7),'Festive dates'!$A$2:$J$5,10,FALSE)),1,0)</f>
        <v>0</v>
      </c>
      <c r="W7" s="9">
        <f>IF($A7=VLOOKUP(YEAR($A7),'Festive dates'!$A$2:$J$5,7,FALSE),1,0)</f>
        <v>0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>
      <c r="A8" s="8">
        <v>45023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f>MAX(-20,MIN(10,$A8-VLOOKUP(YEAR($A8),'Festive dates'!$A$2:$J$5,8,FALSE)))</f>
        <v>-20</v>
      </c>
      <c r="R8" s="9">
        <f>IF(AND($A8&gt;VLOOKUP(YEAR($A8),'Festive dates'!$A$2:$J$5,2,FALSE),$A8&lt;VLOOKUP(YEAR($A8),'Festive dates'!$A$2:$J$5,3,FALSE)),1,0)</f>
        <v>0</v>
      </c>
      <c r="S8" s="9">
        <f>IF($A8=VLOOKUP(YEAR($A8),'Festive dates'!$A$2:$J$5,2,FALSE),1,0)</f>
        <v>0</v>
      </c>
      <c r="T8" s="9">
        <f>IF($A8=VLOOKUP(YEAR($A8),'Festive dates'!$A$2:$J$5,3,FALSE),1,0)</f>
        <v>0</v>
      </c>
      <c r="U8" s="9">
        <f>IF($A8=VLOOKUP(YEAR($A8),'Festive dates'!$A$2:$J$5,4,FALSE),1,0)</f>
        <v>0</v>
      </c>
      <c r="V8" s="9">
        <f>IF(AND($A8&gt;=VLOOKUP(YEAR($A8),'Festive dates'!$A$2:$J$5,9,FALSE),$A8&lt;=VLOOKUP(YEAR($A8),'Festive dates'!$A$2:$J$5,10,FALSE)),1,0)</f>
        <v>0</v>
      </c>
      <c r="W8" s="9">
        <f>IF($A8=VLOOKUP(YEAR($A8),'Festive dates'!$A$2:$J$5,7,FALSE),1,0)</f>
        <v>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>
      <c r="A9" s="8">
        <v>45024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f>MAX(-20,MIN(10,$A9-VLOOKUP(YEAR($A9),'Festive dates'!$A$2:$J$5,8,FALSE)))</f>
        <v>-20</v>
      </c>
      <c r="R9" s="9">
        <f>IF(AND($A9&gt;VLOOKUP(YEAR($A9),'Festive dates'!$A$2:$J$5,2,FALSE),$A9&lt;VLOOKUP(YEAR($A9),'Festive dates'!$A$2:$J$5,3,FALSE)),1,0)</f>
        <v>0</v>
      </c>
      <c r="S9" s="9">
        <f>IF($A9=VLOOKUP(YEAR($A9),'Festive dates'!$A$2:$J$5,2,FALSE),1,0)</f>
        <v>0</v>
      </c>
      <c r="T9" s="9">
        <f>IF($A9=VLOOKUP(YEAR($A9),'Festive dates'!$A$2:$J$5,3,FALSE),1,0)</f>
        <v>0</v>
      </c>
      <c r="U9" s="9">
        <f>IF($A9=VLOOKUP(YEAR($A9),'Festive dates'!$A$2:$J$5,4,FALSE),1,0)</f>
        <v>0</v>
      </c>
      <c r="V9" s="9">
        <f>IF(AND($A9&gt;=VLOOKUP(YEAR($A9),'Festive dates'!$A$2:$J$5,9,FALSE),$A9&lt;=VLOOKUP(YEAR($A9),'Festive dates'!$A$2:$J$5,10,FALSE)),1,0)</f>
        <v>0</v>
      </c>
      <c r="W9" s="9">
        <f>IF($A9=VLOOKUP(YEAR($A9),'Festive dates'!$A$2:$J$5,7,FALSE),1,0)</f>
        <v>0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>
      <c r="A10" s="8">
        <v>45025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f>MAX(-20,MIN(10,$A10-VLOOKUP(YEAR($A10),'Festive dates'!$A$2:$J$5,8,FALSE)))</f>
        <v>-20</v>
      </c>
      <c r="R10" s="9">
        <f>IF(AND($A10&gt;VLOOKUP(YEAR($A10),'Festive dates'!$A$2:$J$5,2,FALSE),$A10&lt;VLOOKUP(YEAR($A10),'Festive dates'!$A$2:$J$5,3,FALSE)),1,0)</f>
        <v>0</v>
      </c>
      <c r="S10" s="9">
        <f>IF($A10=VLOOKUP(YEAR($A10),'Festive dates'!$A$2:$J$5,2,FALSE),1,0)</f>
        <v>0</v>
      </c>
      <c r="T10" s="9">
        <f>IF($A10=VLOOKUP(YEAR($A10),'Festive dates'!$A$2:$J$5,3,FALSE),1,0)</f>
        <v>0</v>
      </c>
      <c r="U10" s="9">
        <f>IF($A10=VLOOKUP(YEAR($A10),'Festive dates'!$A$2:$J$5,4,FALSE),1,0)</f>
        <v>0</v>
      </c>
      <c r="V10" s="9">
        <f>IF(AND($A10&gt;=VLOOKUP(YEAR($A10),'Festive dates'!$A$2:$J$5,9,FALSE),$A10&lt;=VLOOKUP(YEAR($A10),'Festive dates'!$A$2:$J$5,10,FALSE)),1,0)</f>
        <v>0</v>
      </c>
      <c r="W10" s="9">
        <f>IF($A10=VLOOKUP(YEAR($A10),'Festive dates'!$A$2:$J$5,7,FALSE),1,0)</f>
        <v>0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>
      <c r="A11" s="8">
        <v>45026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f>MAX(-20,MIN(10,$A11-VLOOKUP(YEAR($A11),'Festive dates'!$A$2:$J$5,8,FALSE)))</f>
        <v>-20</v>
      </c>
      <c r="R11" s="9">
        <f>IF(AND($A11&gt;VLOOKUP(YEAR($A11),'Festive dates'!$A$2:$J$5,2,FALSE),$A11&lt;VLOOKUP(YEAR($A11),'Festive dates'!$A$2:$J$5,3,FALSE)),1,0)</f>
        <v>0</v>
      </c>
      <c r="S11" s="9">
        <f>IF($A11=VLOOKUP(YEAR($A11),'Festive dates'!$A$2:$J$5,2,FALSE),1,0)</f>
        <v>0</v>
      </c>
      <c r="T11" s="9">
        <f>IF($A11=VLOOKUP(YEAR($A11),'Festive dates'!$A$2:$J$5,3,FALSE),1,0)</f>
        <v>0</v>
      </c>
      <c r="U11" s="9">
        <f>IF($A11=VLOOKUP(YEAR($A11),'Festive dates'!$A$2:$J$5,4,FALSE),1,0)</f>
        <v>0</v>
      </c>
      <c r="V11" s="9">
        <f>IF(AND($A11&gt;=VLOOKUP(YEAR($A11),'Festive dates'!$A$2:$J$5,9,FALSE),$A11&lt;=VLOOKUP(YEAR($A11),'Festive dates'!$A$2:$J$5,10,FALSE)),1,0)</f>
        <v>0</v>
      </c>
      <c r="W11" s="9">
        <f>IF($A11=VLOOKUP(YEAR($A11),'Festive dates'!$A$2:$J$5,7,FALSE),1,0)</f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>
      <c r="A12" s="8">
        <v>45027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f>MAX(-20,MIN(10,$A12-VLOOKUP(YEAR($A12),'Festive dates'!$A$2:$J$5,8,FALSE)))</f>
        <v>-20</v>
      </c>
      <c r="R12" s="9">
        <f>IF(AND($A12&gt;VLOOKUP(YEAR($A12),'Festive dates'!$A$2:$J$5,2,FALSE),$A12&lt;VLOOKUP(YEAR($A12),'Festive dates'!$A$2:$J$5,3,FALSE)),1,0)</f>
        <v>0</v>
      </c>
      <c r="S12" s="9">
        <f>IF($A12=VLOOKUP(YEAR($A12),'Festive dates'!$A$2:$J$5,2,FALSE),1,0)</f>
        <v>0</v>
      </c>
      <c r="T12" s="9">
        <f>IF($A12=VLOOKUP(YEAR($A12),'Festive dates'!$A$2:$J$5,3,FALSE),1,0)</f>
        <v>0</v>
      </c>
      <c r="U12" s="9">
        <f>IF($A12=VLOOKUP(YEAR($A12),'Festive dates'!$A$2:$J$5,4,FALSE),1,0)</f>
        <v>0</v>
      </c>
      <c r="V12" s="9">
        <f>IF(AND($A12&gt;=VLOOKUP(YEAR($A12),'Festive dates'!$A$2:$J$5,9,FALSE),$A12&lt;=VLOOKUP(YEAR($A12),'Festive dates'!$A$2:$J$5,10,FALSE)),1,0)</f>
        <v>0</v>
      </c>
      <c r="W12" s="9">
        <f>IF($A12=VLOOKUP(YEAR($A12),'Festive dates'!$A$2:$J$5,7,FALSE),1,0)</f>
        <v>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>
      <c r="A13" s="8">
        <v>45028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f>MAX(-20,MIN(10,$A13-VLOOKUP(YEAR($A13),'Festive dates'!$A$2:$J$5,8,FALSE)))</f>
        <v>-20</v>
      </c>
      <c r="R13" s="9">
        <f>IF(AND($A13&gt;VLOOKUP(YEAR($A13),'Festive dates'!$A$2:$J$5,2,FALSE),$A13&lt;VLOOKUP(YEAR($A13),'Festive dates'!$A$2:$J$5,3,FALSE)),1,0)</f>
        <v>0</v>
      </c>
      <c r="S13" s="9">
        <f>IF($A13=VLOOKUP(YEAR($A13),'Festive dates'!$A$2:$J$5,2,FALSE),1,0)</f>
        <v>0</v>
      </c>
      <c r="T13" s="9">
        <f>IF($A13=VLOOKUP(YEAR($A13),'Festive dates'!$A$2:$J$5,3,FALSE),1,0)</f>
        <v>0</v>
      </c>
      <c r="U13" s="9">
        <f>IF($A13=VLOOKUP(YEAR($A13),'Festive dates'!$A$2:$J$5,4,FALSE),1,0)</f>
        <v>0</v>
      </c>
      <c r="V13" s="9">
        <f>IF(AND($A13&gt;=VLOOKUP(YEAR($A13),'Festive dates'!$A$2:$J$5,9,FALSE),$A13&lt;=VLOOKUP(YEAR($A13),'Festive dates'!$A$2:$J$5,10,FALSE)),1,0)</f>
        <v>0</v>
      </c>
      <c r="W13" s="9">
        <f>IF($A13=VLOOKUP(YEAR($A13),'Festive dates'!$A$2:$J$5,7,FALSE),1,0)</f>
        <v>0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>
      <c r="A14" s="8">
        <v>45029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f>MAX(-20,MIN(10,$A14-VLOOKUP(YEAR($A14),'Festive dates'!$A$2:$J$5,8,FALSE)))</f>
        <v>-20</v>
      </c>
      <c r="R14" s="9">
        <f>IF(AND($A14&gt;VLOOKUP(YEAR($A14),'Festive dates'!$A$2:$J$5,2,FALSE),$A14&lt;VLOOKUP(YEAR($A14),'Festive dates'!$A$2:$J$5,3,FALSE)),1,0)</f>
        <v>0</v>
      </c>
      <c r="S14" s="9">
        <f>IF($A14=VLOOKUP(YEAR($A14),'Festive dates'!$A$2:$J$5,2,FALSE),1,0)</f>
        <v>0</v>
      </c>
      <c r="T14" s="9">
        <f>IF($A14=VLOOKUP(YEAR($A14),'Festive dates'!$A$2:$J$5,3,FALSE),1,0)</f>
        <v>0</v>
      </c>
      <c r="U14" s="9">
        <f>IF($A14=VLOOKUP(YEAR($A14),'Festive dates'!$A$2:$J$5,4,FALSE),1,0)</f>
        <v>0</v>
      </c>
      <c r="V14" s="9">
        <f>IF(AND($A14&gt;=VLOOKUP(YEAR($A14),'Festive dates'!$A$2:$J$5,9,FALSE),$A14&lt;=VLOOKUP(YEAR($A14),'Festive dates'!$A$2:$J$5,10,FALSE)),1,0)</f>
        <v>0</v>
      </c>
      <c r="W14" s="9">
        <f>IF($A14=VLOOKUP(YEAR($A14),'Festive dates'!$A$2:$J$5,7,FALSE),1,0)</f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>
      <c r="A15" s="8">
        <v>45030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f>MAX(-20,MIN(10,$A15-VLOOKUP(YEAR($A15),'Festive dates'!$A$2:$J$5,8,FALSE)))</f>
        <v>-20</v>
      </c>
      <c r="R15" s="9">
        <f>IF(AND($A15&gt;VLOOKUP(YEAR($A15),'Festive dates'!$A$2:$J$5,2,FALSE),$A15&lt;VLOOKUP(YEAR($A15),'Festive dates'!$A$2:$J$5,3,FALSE)),1,0)</f>
        <v>0</v>
      </c>
      <c r="S15" s="9">
        <f>IF($A15=VLOOKUP(YEAR($A15),'Festive dates'!$A$2:$J$5,2,FALSE),1,0)</f>
        <v>0</v>
      </c>
      <c r="T15" s="9">
        <f>IF($A15=VLOOKUP(YEAR($A15),'Festive dates'!$A$2:$J$5,3,FALSE),1,0)</f>
        <v>0</v>
      </c>
      <c r="U15" s="9">
        <f>IF($A15=VLOOKUP(YEAR($A15),'Festive dates'!$A$2:$J$5,4,FALSE),1,0)</f>
        <v>0</v>
      </c>
      <c r="V15" s="9">
        <f>IF(AND($A15&gt;=VLOOKUP(YEAR($A15),'Festive dates'!$A$2:$J$5,9,FALSE),$A15&lt;=VLOOKUP(YEAR($A15),'Festive dates'!$A$2:$J$5,10,FALSE)),1,0)</f>
        <v>0</v>
      </c>
      <c r="W15" s="9">
        <f>IF($A15=VLOOKUP(YEAR($A15),'Festive dates'!$A$2:$J$5,7,FALSE),1,0)</f>
        <v>0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>
      <c r="A16" s="8">
        <v>45031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f>MAX(-20,MIN(10,$A16-VLOOKUP(YEAR($A16),'Festive dates'!$A$2:$J$5,8,FALSE)))</f>
        <v>-20</v>
      </c>
      <c r="R16" s="9">
        <f>IF(AND($A16&gt;VLOOKUP(YEAR($A16),'Festive dates'!$A$2:$J$5,2,FALSE),$A16&lt;VLOOKUP(YEAR($A16),'Festive dates'!$A$2:$J$5,3,FALSE)),1,0)</f>
        <v>0</v>
      </c>
      <c r="S16" s="9">
        <f>IF($A16=VLOOKUP(YEAR($A16),'Festive dates'!$A$2:$J$5,2,FALSE),1,0)</f>
        <v>0</v>
      </c>
      <c r="T16" s="9">
        <f>IF($A16=VLOOKUP(YEAR($A16),'Festive dates'!$A$2:$J$5,3,FALSE),1,0)</f>
        <v>0</v>
      </c>
      <c r="U16" s="9">
        <f>IF($A16=VLOOKUP(YEAR($A16),'Festive dates'!$A$2:$J$5,4,FALSE),1,0)</f>
        <v>0</v>
      </c>
      <c r="V16" s="9">
        <f>IF(AND($A16&gt;=VLOOKUP(YEAR($A16),'Festive dates'!$A$2:$J$5,9,FALSE),$A16&lt;=VLOOKUP(YEAR($A16),'Festive dates'!$A$2:$J$5,10,FALSE)),1,0)</f>
        <v>0</v>
      </c>
      <c r="W16" s="9">
        <f>IF($A16=VLOOKUP(YEAR($A16),'Festive dates'!$A$2:$J$5,7,FALSE),1,0)</f>
        <v>0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>
      <c r="A17" s="8">
        <v>45032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f>MAX(-20,MIN(10,$A17-VLOOKUP(YEAR($A17),'Festive dates'!$A$2:$J$5,8,FALSE)))</f>
        <v>-20</v>
      </c>
      <c r="R17" s="9">
        <f>IF(AND($A17&gt;VLOOKUP(YEAR($A17),'Festive dates'!$A$2:$J$5,2,FALSE),$A17&lt;VLOOKUP(YEAR($A17),'Festive dates'!$A$2:$J$5,3,FALSE)),1,0)</f>
        <v>0</v>
      </c>
      <c r="S17" s="9">
        <f>IF($A17=VLOOKUP(YEAR($A17),'Festive dates'!$A$2:$J$5,2,FALSE),1,0)</f>
        <v>0</v>
      </c>
      <c r="T17" s="9">
        <f>IF($A17=VLOOKUP(YEAR($A17),'Festive dates'!$A$2:$J$5,3,FALSE),1,0)</f>
        <v>0</v>
      </c>
      <c r="U17" s="9">
        <f>IF($A17=VLOOKUP(YEAR($A17),'Festive dates'!$A$2:$J$5,4,FALSE),1,0)</f>
        <v>0</v>
      </c>
      <c r="V17" s="9">
        <f>IF(AND($A17&gt;=VLOOKUP(YEAR($A17),'Festive dates'!$A$2:$J$5,9,FALSE),$A17&lt;=VLOOKUP(YEAR($A17),'Festive dates'!$A$2:$J$5,10,FALSE)),1,0)</f>
        <v>0</v>
      </c>
      <c r="W17" s="9">
        <f>IF($A17=VLOOKUP(YEAR($A17),'Festive dates'!$A$2:$J$5,7,FALSE),1,0)</f>
        <v>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>
      <c r="A18" s="8">
        <v>45033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f>MAX(-20,MIN(10,$A18-VLOOKUP(YEAR($A18),'Festive dates'!$A$2:$J$5,8,FALSE)))</f>
        <v>-20</v>
      </c>
      <c r="R18" s="9">
        <f>IF(AND($A18&gt;VLOOKUP(YEAR($A18),'Festive dates'!$A$2:$J$5,2,FALSE),$A18&lt;VLOOKUP(YEAR($A18),'Festive dates'!$A$2:$J$5,3,FALSE)),1,0)</f>
        <v>0</v>
      </c>
      <c r="S18" s="9">
        <f>IF($A18=VLOOKUP(YEAR($A18),'Festive dates'!$A$2:$J$5,2,FALSE),1,0)</f>
        <v>0</v>
      </c>
      <c r="T18" s="9">
        <f>IF($A18=VLOOKUP(YEAR($A18),'Festive dates'!$A$2:$J$5,3,FALSE),1,0)</f>
        <v>0</v>
      </c>
      <c r="U18" s="9">
        <f>IF($A18=VLOOKUP(YEAR($A18),'Festive dates'!$A$2:$J$5,4,FALSE),1,0)</f>
        <v>0</v>
      </c>
      <c r="V18" s="9">
        <f>IF(AND($A18&gt;=VLOOKUP(YEAR($A18),'Festive dates'!$A$2:$J$5,9,FALSE),$A18&lt;=VLOOKUP(YEAR($A18),'Festive dates'!$A$2:$J$5,10,FALSE)),1,0)</f>
        <v>0</v>
      </c>
      <c r="W18" s="9">
        <f>IF($A18=VLOOKUP(YEAR($A18),'Festive dates'!$A$2:$J$5,7,FALSE),1,0)</f>
        <v>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>
      <c r="A19" s="8">
        <v>45034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f>MAX(-20,MIN(10,$A19-VLOOKUP(YEAR($A19),'Festive dates'!$A$2:$J$5,8,FALSE)))</f>
        <v>-20</v>
      </c>
      <c r="R19" s="9">
        <f>IF(AND($A19&gt;VLOOKUP(YEAR($A19),'Festive dates'!$A$2:$J$5,2,FALSE),$A19&lt;VLOOKUP(YEAR($A19),'Festive dates'!$A$2:$J$5,3,FALSE)),1,0)</f>
        <v>0</v>
      </c>
      <c r="S19" s="9">
        <f>IF($A19=VLOOKUP(YEAR($A19),'Festive dates'!$A$2:$J$5,2,FALSE),1,0)</f>
        <v>0</v>
      </c>
      <c r="T19" s="9">
        <f>IF($A19=VLOOKUP(YEAR($A19),'Festive dates'!$A$2:$J$5,3,FALSE),1,0)</f>
        <v>0</v>
      </c>
      <c r="U19" s="9">
        <f>IF($A19=VLOOKUP(YEAR($A19),'Festive dates'!$A$2:$J$5,4,FALSE),1,0)</f>
        <v>0</v>
      </c>
      <c r="V19" s="9">
        <f>IF(AND($A19&gt;=VLOOKUP(YEAR($A19),'Festive dates'!$A$2:$J$5,9,FALSE),$A19&lt;=VLOOKUP(YEAR($A19),'Festive dates'!$A$2:$J$5,10,FALSE)),1,0)</f>
        <v>0</v>
      </c>
      <c r="W19" s="9">
        <f>IF($A19=VLOOKUP(YEAR($A19),'Festive dates'!$A$2:$J$5,7,FALSE),1,0)</f>
        <v>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>
      <c r="A20" s="8">
        <v>45035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f>MAX(-20,MIN(10,$A20-VLOOKUP(YEAR($A20),'Festive dates'!$A$2:$J$5,8,FALSE)))</f>
        <v>-20</v>
      </c>
      <c r="R20" s="9">
        <f>IF(AND($A20&gt;VLOOKUP(YEAR($A20),'Festive dates'!$A$2:$J$5,2,FALSE),$A20&lt;VLOOKUP(YEAR($A20),'Festive dates'!$A$2:$J$5,3,FALSE)),1,0)</f>
        <v>0</v>
      </c>
      <c r="S20" s="9">
        <f>IF($A20=VLOOKUP(YEAR($A20),'Festive dates'!$A$2:$J$5,2,FALSE),1,0)</f>
        <v>0</v>
      </c>
      <c r="T20" s="9">
        <f>IF($A20=VLOOKUP(YEAR($A20),'Festive dates'!$A$2:$J$5,3,FALSE),1,0)</f>
        <v>0</v>
      </c>
      <c r="U20" s="9">
        <f>IF($A20=VLOOKUP(YEAR($A20),'Festive dates'!$A$2:$J$5,4,FALSE),1,0)</f>
        <v>0</v>
      </c>
      <c r="V20" s="9">
        <f>IF(AND($A20&gt;=VLOOKUP(YEAR($A20),'Festive dates'!$A$2:$J$5,9,FALSE),$A20&lt;=VLOOKUP(YEAR($A20),'Festive dates'!$A$2:$J$5,10,FALSE)),1,0)</f>
        <v>0</v>
      </c>
      <c r="W20" s="9">
        <f>IF($A20=VLOOKUP(YEAR($A20),'Festive dates'!$A$2:$J$5,7,FALSE),1,0)</f>
        <v>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>
      <c r="A21" s="8">
        <v>45036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f>MAX(-20,MIN(10,$A21-VLOOKUP(YEAR($A21),'Festive dates'!$A$2:$J$5,8,FALSE)))</f>
        <v>-20</v>
      </c>
      <c r="R21" s="9">
        <f>IF(AND($A21&gt;VLOOKUP(YEAR($A21),'Festive dates'!$A$2:$J$5,2,FALSE),$A21&lt;VLOOKUP(YEAR($A21),'Festive dates'!$A$2:$J$5,3,FALSE)),1,0)</f>
        <v>0</v>
      </c>
      <c r="S21" s="9">
        <f>IF($A21=VLOOKUP(YEAR($A21),'Festive dates'!$A$2:$J$5,2,FALSE),1,0)</f>
        <v>0</v>
      </c>
      <c r="T21" s="9">
        <f>IF($A21=VLOOKUP(YEAR($A21),'Festive dates'!$A$2:$J$5,3,FALSE),1,0)</f>
        <v>0</v>
      </c>
      <c r="U21" s="9">
        <f>IF($A21=VLOOKUP(YEAR($A21),'Festive dates'!$A$2:$J$5,4,FALSE),1,0)</f>
        <v>0</v>
      </c>
      <c r="V21" s="9">
        <f>IF(AND($A21&gt;=VLOOKUP(YEAR($A21),'Festive dates'!$A$2:$J$5,9,FALSE),$A21&lt;=VLOOKUP(YEAR($A21),'Festive dates'!$A$2:$J$5,10,FALSE)),1,0)</f>
        <v>0</v>
      </c>
      <c r="W21" s="9">
        <f>IF($A21=VLOOKUP(YEAR($A21),'Festive dates'!$A$2:$J$5,7,FALSE),1,0)</f>
        <v>0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>
      <c r="A22" s="8">
        <v>45037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f>MAX(-20,MIN(10,$A22-VLOOKUP(YEAR($A22),'Festive dates'!$A$2:$J$5,8,FALSE)))</f>
        <v>-20</v>
      </c>
      <c r="R22" s="9">
        <f>IF(AND($A22&gt;VLOOKUP(YEAR($A22),'Festive dates'!$A$2:$J$5,2,FALSE),$A22&lt;VLOOKUP(YEAR($A22),'Festive dates'!$A$2:$J$5,3,FALSE)),1,0)</f>
        <v>0</v>
      </c>
      <c r="S22" s="9">
        <f>IF($A22=VLOOKUP(YEAR($A22),'Festive dates'!$A$2:$J$5,2,FALSE),1,0)</f>
        <v>0</v>
      </c>
      <c r="T22" s="9">
        <f>IF($A22=VLOOKUP(YEAR($A22),'Festive dates'!$A$2:$J$5,3,FALSE),1,0)</f>
        <v>0</v>
      </c>
      <c r="U22" s="9">
        <f>IF($A22=VLOOKUP(YEAR($A22),'Festive dates'!$A$2:$J$5,4,FALSE),1,0)</f>
        <v>0</v>
      </c>
      <c r="V22" s="9">
        <f>IF(AND($A22&gt;=VLOOKUP(YEAR($A22),'Festive dates'!$A$2:$J$5,9,FALSE),$A22&lt;=VLOOKUP(YEAR($A22),'Festive dates'!$A$2:$J$5,10,FALSE)),1,0)</f>
        <v>0</v>
      </c>
      <c r="W22" s="9">
        <f>IF($A22=VLOOKUP(YEAR($A22),'Festive dates'!$A$2:$J$5,7,FALSE),1,0)</f>
        <v>0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>
      <c r="A23" s="8">
        <v>45038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1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f>MAX(-20,MIN(10,$A23-VLOOKUP(YEAR($A23),'Festive dates'!$A$2:$J$5,8,FALSE)))</f>
        <v>-20</v>
      </c>
      <c r="R23" s="9">
        <f>IF(AND($A23&gt;VLOOKUP(YEAR($A23),'Festive dates'!$A$2:$J$5,2,FALSE),$A23&lt;VLOOKUP(YEAR($A23),'Festive dates'!$A$2:$J$5,3,FALSE)),1,0)</f>
        <v>0</v>
      </c>
      <c r="S23" s="9">
        <f>IF($A23=VLOOKUP(YEAR($A23),'Festive dates'!$A$2:$J$5,2,FALSE),1,0)</f>
        <v>0</v>
      </c>
      <c r="T23" s="9">
        <f>IF($A23=VLOOKUP(YEAR($A23),'Festive dates'!$A$2:$J$5,3,FALSE),1,0)</f>
        <v>0</v>
      </c>
      <c r="U23" s="9">
        <f>IF($A23=VLOOKUP(YEAR($A23),'Festive dates'!$A$2:$J$5,4,FALSE),1,0)</f>
        <v>0</v>
      </c>
      <c r="V23" s="9">
        <f>IF(AND($A23&gt;=VLOOKUP(YEAR($A23),'Festive dates'!$A$2:$J$5,9,FALSE),$A23&lt;=VLOOKUP(YEAR($A23),'Festive dates'!$A$2:$J$5,10,FALSE)),1,0)</f>
        <v>0</v>
      </c>
      <c r="W23" s="9">
        <f>IF($A23=VLOOKUP(YEAR($A23),'Festive dates'!$A$2:$J$5,7,FALSE),1,0)</f>
        <v>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>
      <c r="A24" s="8">
        <v>45039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f>MAX(-20,MIN(10,$A24-VLOOKUP(YEAR($A24),'Festive dates'!$A$2:$J$5,8,FALSE)))</f>
        <v>-20</v>
      </c>
      <c r="R24" s="9">
        <f>IF(AND($A24&gt;VLOOKUP(YEAR($A24),'Festive dates'!$A$2:$J$5,2,FALSE),$A24&lt;VLOOKUP(YEAR($A24),'Festive dates'!$A$2:$J$5,3,FALSE)),1,0)</f>
        <v>0</v>
      </c>
      <c r="S24" s="9">
        <f>IF($A24=VLOOKUP(YEAR($A24),'Festive dates'!$A$2:$J$5,2,FALSE),1,0)</f>
        <v>0</v>
      </c>
      <c r="T24" s="9">
        <f>IF($A24=VLOOKUP(YEAR($A24),'Festive dates'!$A$2:$J$5,3,FALSE),1,0)</f>
        <v>0</v>
      </c>
      <c r="U24" s="9">
        <f>IF($A24=VLOOKUP(YEAR($A24),'Festive dates'!$A$2:$J$5,4,FALSE),1,0)</f>
        <v>0</v>
      </c>
      <c r="V24" s="9">
        <f>IF(AND($A24&gt;=VLOOKUP(YEAR($A24),'Festive dates'!$A$2:$J$5,9,FALSE),$A24&lt;=VLOOKUP(YEAR($A24),'Festive dates'!$A$2:$J$5,10,FALSE)),1,0)</f>
        <v>0</v>
      </c>
      <c r="W24" s="9">
        <f>IF($A24=VLOOKUP(YEAR($A24),'Festive dates'!$A$2:$J$5,7,FALSE),1,0)</f>
        <v>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>
      <c r="A25" s="8">
        <v>45040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f>MAX(-20,MIN(10,$A25-VLOOKUP(YEAR($A25),'Festive dates'!$A$2:$J$5,8,FALSE)))</f>
        <v>-20</v>
      </c>
      <c r="R25" s="9">
        <f>IF(AND($A25&gt;VLOOKUP(YEAR($A25),'Festive dates'!$A$2:$J$5,2,FALSE),$A25&lt;VLOOKUP(YEAR($A25),'Festive dates'!$A$2:$J$5,3,FALSE)),1,0)</f>
        <v>0</v>
      </c>
      <c r="S25" s="9">
        <f>IF($A25=VLOOKUP(YEAR($A25),'Festive dates'!$A$2:$J$5,2,FALSE),1,0)</f>
        <v>0</v>
      </c>
      <c r="T25" s="9">
        <f>IF($A25=VLOOKUP(YEAR($A25),'Festive dates'!$A$2:$J$5,3,FALSE),1,0)</f>
        <v>0</v>
      </c>
      <c r="U25" s="9">
        <f>IF($A25=VLOOKUP(YEAR($A25),'Festive dates'!$A$2:$J$5,4,FALSE),1,0)</f>
        <v>0</v>
      </c>
      <c r="V25" s="9">
        <f>IF(AND($A25&gt;=VLOOKUP(YEAR($A25),'Festive dates'!$A$2:$J$5,9,FALSE),$A25&lt;=VLOOKUP(YEAR($A25),'Festive dates'!$A$2:$J$5,10,FALSE)),1,0)</f>
        <v>0</v>
      </c>
      <c r="W25" s="9">
        <f>IF($A25=VLOOKUP(YEAR($A25),'Festive dates'!$A$2:$J$5,7,FALSE),1,0)</f>
        <v>0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>
      <c r="A26" s="8">
        <v>45041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f>MAX(-20,MIN(10,$A26-VLOOKUP(YEAR($A26),'Festive dates'!$A$2:$J$5,8,FALSE)))</f>
        <v>-20</v>
      </c>
      <c r="R26" s="9">
        <f>IF(AND($A26&gt;VLOOKUP(YEAR($A26),'Festive dates'!$A$2:$J$5,2,FALSE),$A26&lt;VLOOKUP(YEAR($A26),'Festive dates'!$A$2:$J$5,3,FALSE)),1,0)</f>
        <v>0</v>
      </c>
      <c r="S26" s="9">
        <f>IF($A26=VLOOKUP(YEAR($A26),'Festive dates'!$A$2:$J$5,2,FALSE),1,0)</f>
        <v>0</v>
      </c>
      <c r="T26" s="9">
        <f>IF($A26=VLOOKUP(YEAR($A26),'Festive dates'!$A$2:$J$5,3,FALSE),1,0)</f>
        <v>0</v>
      </c>
      <c r="U26" s="9">
        <f>IF($A26=VLOOKUP(YEAR($A26),'Festive dates'!$A$2:$J$5,4,FALSE),1,0)</f>
        <v>0</v>
      </c>
      <c r="V26" s="9">
        <f>IF(AND($A26&gt;=VLOOKUP(YEAR($A26),'Festive dates'!$A$2:$J$5,9,FALSE),$A26&lt;=VLOOKUP(YEAR($A26),'Festive dates'!$A$2:$J$5,10,FALSE)),1,0)</f>
        <v>0</v>
      </c>
      <c r="W26" s="9">
        <f>IF($A26=VLOOKUP(YEAR($A26),'Festive dates'!$A$2:$J$5,7,FALSE),1,0)</f>
        <v>0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>
      <c r="A27" s="8">
        <v>45042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f>MAX(-20,MIN(10,$A27-VLOOKUP(YEAR($A27),'Festive dates'!$A$2:$J$5,8,FALSE)))</f>
        <v>-20</v>
      </c>
      <c r="R27" s="9">
        <f>IF(AND($A27&gt;VLOOKUP(YEAR($A27),'Festive dates'!$A$2:$J$5,2,FALSE),$A27&lt;VLOOKUP(YEAR($A27),'Festive dates'!$A$2:$J$5,3,FALSE)),1,0)</f>
        <v>0</v>
      </c>
      <c r="S27" s="9">
        <f>IF($A27=VLOOKUP(YEAR($A27),'Festive dates'!$A$2:$J$5,2,FALSE),1,0)</f>
        <v>0</v>
      </c>
      <c r="T27" s="9">
        <f>IF($A27=VLOOKUP(YEAR($A27),'Festive dates'!$A$2:$J$5,3,FALSE),1,0)</f>
        <v>0</v>
      </c>
      <c r="U27" s="9">
        <f>IF($A27=VLOOKUP(YEAR($A27),'Festive dates'!$A$2:$J$5,4,FALSE),1,0)</f>
        <v>0</v>
      </c>
      <c r="V27" s="9">
        <f>IF(AND($A27&gt;=VLOOKUP(YEAR($A27),'Festive dates'!$A$2:$J$5,9,FALSE),$A27&lt;=VLOOKUP(YEAR($A27),'Festive dates'!$A$2:$J$5,10,FALSE)),1,0)</f>
        <v>0</v>
      </c>
      <c r="W27" s="9">
        <f>IF($A27=VLOOKUP(YEAR($A27),'Festive dates'!$A$2:$J$5,7,FALSE),1,0)</f>
        <v>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>
      <c r="A28" s="8">
        <v>45043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f>MAX(-20,MIN(10,$A28-VLOOKUP(YEAR($A28),'Festive dates'!$A$2:$J$5,8,FALSE)))</f>
        <v>-20</v>
      </c>
      <c r="R28" s="9">
        <f>IF(AND($A28&gt;VLOOKUP(YEAR($A28),'Festive dates'!$A$2:$J$5,2,FALSE),$A28&lt;VLOOKUP(YEAR($A28),'Festive dates'!$A$2:$J$5,3,FALSE)),1,0)</f>
        <v>0</v>
      </c>
      <c r="S28" s="9">
        <f>IF($A28=VLOOKUP(YEAR($A28),'Festive dates'!$A$2:$J$5,2,FALSE),1,0)</f>
        <v>0</v>
      </c>
      <c r="T28" s="9">
        <f>IF($A28=VLOOKUP(YEAR($A28),'Festive dates'!$A$2:$J$5,3,FALSE),1,0)</f>
        <v>0</v>
      </c>
      <c r="U28" s="9">
        <f>IF($A28=VLOOKUP(YEAR($A28),'Festive dates'!$A$2:$J$5,4,FALSE),1,0)</f>
        <v>0</v>
      </c>
      <c r="V28" s="9">
        <f>IF(AND($A28&gt;=VLOOKUP(YEAR($A28),'Festive dates'!$A$2:$J$5,9,FALSE),$A28&lt;=VLOOKUP(YEAR($A28),'Festive dates'!$A$2:$J$5,10,FALSE)),1,0)</f>
        <v>0</v>
      </c>
      <c r="W28" s="9">
        <f>IF($A28=VLOOKUP(YEAR($A28),'Festive dates'!$A$2:$J$5,7,FALSE),1,0)</f>
        <v>0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>
      <c r="A29" s="8">
        <v>45044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f>MAX(-20,MIN(10,$A29-VLOOKUP(YEAR($A29),'Festive dates'!$A$2:$J$5,8,FALSE)))</f>
        <v>-20</v>
      </c>
      <c r="R29" s="9">
        <f>IF(AND($A29&gt;VLOOKUP(YEAR($A29),'Festive dates'!$A$2:$J$5,2,FALSE),$A29&lt;VLOOKUP(YEAR($A29),'Festive dates'!$A$2:$J$5,3,FALSE)),1,0)</f>
        <v>0</v>
      </c>
      <c r="S29" s="9">
        <f>IF($A29=VLOOKUP(YEAR($A29),'Festive dates'!$A$2:$J$5,2,FALSE),1,0)</f>
        <v>0</v>
      </c>
      <c r="T29" s="9">
        <f>IF($A29=VLOOKUP(YEAR($A29),'Festive dates'!$A$2:$J$5,3,FALSE),1,0)</f>
        <v>0</v>
      </c>
      <c r="U29" s="9">
        <f>IF($A29=VLOOKUP(YEAR($A29),'Festive dates'!$A$2:$J$5,4,FALSE),1,0)</f>
        <v>0</v>
      </c>
      <c r="V29" s="9">
        <f>IF(AND($A29&gt;=VLOOKUP(YEAR($A29),'Festive dates'!$A$2:$J$5,9,FALSE),$A29&lt;=VLOOKUP(YEAR($A29),'Festive dates'!$A$2:$J$5,10,FALSE)),1,0)</f>
        <v>0</v>
      </c>
      <c r="W29" s="9">
        <f>IF($A29=VLOOKUP(YEAR($A29),'Festive dates'!$A$2:$J$5,7,FALSE),1,0)</f>
        <v>0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>
      <c r="A30" s="8">
        <v>45045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1</v>
      </c>
      <c r="Q30" s="9">
        <f>MAX(-20,MIN(10,$A30-VLOOKUP(YEAR($A30),'Festive dates'!$A$2:$J$5,8,FALSE)))</f>
        <v>-20</v>
      </c>
      <c r="R30" s="9">
        <f>IF(AND($A30&gt;VLOOKUP(YEAR($A30),'Festive dates'!$A$2:$J$5,2,FALSE),$A30&lt;VLOOKUP(YEAR($A30),'Festive dates'!$A$2:$J$5,3,FALSE)),1,0)</f>
        <v>0</v>
      </c>
      <c r="S30" s="9">
        <f>IF($A30=VLOOKUP(YEAR($A30),'Festive dates'!$A$2:$J$5,2,FALSE),1,0)</f>
        <v>0</v>
      </c>
      <c r="T30" s="9">
        <f>IF($A30=VLOOKUP(YEAR($A30),'Festive dates'!$A$2:$J$5,3,FALSE),1,0)</f>
        <v>0</v>
      </c>
      <c r="U30" s="9">
        <f>IF($A30=VLOOKUP(YEAR($A30),'Festive dates'!$A$2:$J$5,4,FALSE),1,0)</f>
        <v>0</v>
      </c>
      <c r="V30" s="9">
        <f>IF(AND($A30&gt;=VLOOKUP(YEAR($A30),'Festive dates'!$A$2:$J$5,9,FALSE),$A30&lt;=VLOOKUP(YEAR($A30),'Festive dates'!$A$2:$J$5,10,FALSE)),1,0)</f>
        <v>0</v>
      </c>
      <c r="W30" s="9">
        <f>IF($A30=VLOOKUP(YEAR($A30),'Festive dates'!$A$2:$J$5,7,FALSE),1,0)</f>
        <v>0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>
      <c r="A31" s="8">
        <v>45046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f>MAX(-20,MIN(10,$A31-VLOOKUP(YEAR($A31),'Festive dates'!$A$2:$J$5,8,FALSE)))</f>
        <v>-20</v>
      </c>
      <c r="R31" s="9">
        <f>IF(AND($A31&gt;VLOOKUP(YEAR($A31),'Festive dates'!$A$2:$J$5,2,FALSE),$A31&lt;VLOOKUP(YEAR($A31),'Festive dates'!$A$2:$J$5,3,FALSE)),1,0)</f>
        <v>0</v>
      </c>
      <c r="S31" s="9">
        <f>IF($A31=VLOOKUP(YEAR($A31),'Festive dates'!$A$2:$J$5,2,FALSE),1,0)</f>
        <v>0</v>
      </c>
      <c r="T31" s="9">
        <f>IF($A31=VLOOKUP(YEAR($A31),'Festive dates'!$A$2:$J$5,3,FALSE),1,0)</f>
        <v>0</v>
      </c>
      <c r="U31" s="9">
        <f>IF($A31=VLOOKUP(YEAR($A31),'Festive dates'!$A$2:$J$5,4,FALSE),1,0)</f>
        <v>0</v>
      </c>
      <c r="V31" s="9">
        <f>IF(AND($A31&gt;=VLOOKUP(YEAR($A31),'Festive dates'!$A$2:$J$5,9,FALSE),$A31&lt;=VLOOKUP(YEAR($A31),'Festive dates'!$A$2:$J$5,10,FALSE)),1,0)</f>
        <v>0</v>
      </c>
      <c r="W31" s="9">
        <f>IF($A31=VLOOKUP(YEAR($A31),'Festive dates'!$A$2:$J$5,7,FALSE),1,0)</f>
        <v>0</v>
      </c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>
      <c r="A32" s="8">
        <v>45047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1</v>
      </c>
      <c r="Q32" s="9">
        <f>MAX(-20,MIN(10,$A32-VLOOKUP(YEAR($A32),'Festive dates'!$A$2:$J$5,8,FALSE)))</f>
        <v>-20</v>
      </c>
      <c r="R32" s="9">
        <f>IF(AND($A32&gt;VLOOKUP(YEAR($A32),'Festive dates'!$A$2:$J$5,2,FALSE),$A32&lt;VLOOKUP(YEAR($A32),'Festive dates'!$A$2:$J$5,3,FALSE)),1,0)</f>
        <v>0</v>
      </c>
      <c r="S32" s="9">
        <f>IF($A32=VLOOKUP(YEAR($A32),'Festive dates'!$A$2:$J$5,2,FALSE),1,0)</f>
        <v>0</v>
      </c>
      <c r="T32" s="9">
        <f>IF($A32=VLOOKUP(YEAR($A32),'Festive dates'!$A$2:$J$5,3,FALSE),1,0)</f>
        <v>0</v>
      </c>
      <c r="U32" s="9">
        <f>IF($A32=VLOOKUP(YEAR($A32),'Festive dates'!$A$2:$J$5,4,FALSE),1,0)</f>
        <v>0</v>
      </c>
      <c r="V32" s="9">
        <f>IF(AND($A32&gt;=VLOOKUP(YEAR($A32),'Festive dates'!$A$2:$J$5,9,FALSE),$A32&lt;=VLOOKUP(YEAR($A32),'Festive dates'!$A$2:$J$5,10,FALSE)),1,0)</f>
        <v>0</v>
      </c>
      <c r="W32" s="9">
        <f>IF($A32=VLOOKUP(YEAR($A32),'Festive dates'!$A$2:$J$5,7,FALSE),1,0)</f>
        <v>0</v>
      </c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>
      <c r="A33" s="8">
        <v>45048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1</v>
      </c>
      <c r="Q33" s="9">
        <f>MAX(-20,MIN(10,$A33-VLOOKUP(YEAR($A33),'Festive dates'!$A$2:$J$5,8,FALSE)))</f>
        <v>-20</v>
      </c>
      <c r="R33" s="9">
        <f>IF(AND($A33&gt;VLOOKUP(YEAR($A33),'Festive dates'!$A$2:$J$5,2,FALSE),$A33&lt;VLOOKUP(YEAR($A33),'Festive dates'!$A$2:$J$5,3,FALSE)),1,0)</f>
        <v>0</v>
      </c>
      <c r="S33" s="9">
        <f>IF($A33=VLOOKUP(YEAR($A33),'Festive dates'!$A$2:$J$5,2,FALSE),1,0)</f>
        <v>0</v>
      </c>
      <c r="T33" s="9">
        <f>IF($A33=VLOOKUP(YEAR($A33),'Festive dates'!$A$2:$J$5,3,FALSE),1,0)</f>
        <v>0</v>
      </c>
      <c r="U33" s="9">
        <f>IF($A33=VLOOKUP(YEAR($A33),'Festive dates'!$A$2:$J$5,4,FALSE),1,0)</f>
        <v>0</v>
      </c>
      <c r="V33" s="9">
        <f>IF(AND($A33&gt;=VLOOKUP(YEAR($A33),'Festive dates'!$A$2:$J$5,9,FALSE),$A33&lt;=VLOOKUP(YEAR($A33),'Festive dates'!$A$2:$J$5,10,FALSE)),1,0)</f>
        <v>0</v>
      </c>
      <c r="W33" s="9">
        <f>IF($A33=VLOOKUP(YEAR($A33),'Festive dates'!$A$2:$J$5,7,FALSE),1,0)</f>
        <v>0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>
      <c r="A34" s="8">
        <v>45049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1</v>
      </c>
      <c r="Q34" s="9">
        <f>MAX(-20,MIN(10,$A34-VLOOKUP(YEAR($A34),'Festive dates'!$A$2:$J$5,8,FALSE)))</f>
        <v>-20</v>
      </c>
      <c r="R34" s="9">
        <f>IF(AND($A34&gt;VLOOKUP(YEAR($A34),'Festive dates'!$A$2:$J$5,2,FALSE),$A34&lt;VLOOKUP(YEAR($A34),'Festive dates'!$A$2:$J$5,3,FALSE)),1,0)</f>
        <v>0</v>
      </c>
      <c r="S34" s="9">
        <f>IF($A34=VLOOKUP(YEAR($A34),'Festive dates'!$A$2:$J$5,2,FALSE),1,0)</f>
        <v>0</v>
      </c>
      <c r="T34" s="9">
        <f>IF($A34=VLOOKUP(YEAR($A34),'Festive dates'!$A$2:$J$5,3,FALSE),1,0)</f>
        <v>0</v>
      </c>
      <c r="U34" s="9">
        <f>IF($A34=VLOOKUP(YEAR($A34),'Festive dates'!$A$2:$J$5,4,FALSE),1,0)</f>
        <v>0</v>
      </c>
      <c r="V34" s="9">
        <f>IF(AND($A34&gt;=VLOOKUP(YEAR($A34),'Festive dates'!$A$2:$J$5,9,FALSE),$A34&lt;=VLOOKUP(YEAR($A34),'Festive dates'!$A$2:$J$5,10,FALSE)),1,0)</f>
        <v>0</v>
      </c>
      <c r="W34" s="9">
        <f>IF($A34=VLOOKUP(YEAR($A34),'Festive dates'!$A$2:$J$5,7,FALSE),1,0)</f>
        <v>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>
      <c r="A35" s="8">
        <v>45050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1</v>
      </c>
      <c r="Q35" s="9">
        <f>MAX(-20,MIN(10,$A35-VLOOKUP(YEAR($A35),'Festive dates'!$A$2:$J$5,8,FALSE)))</f>
        <v>-20</v>
      </c>
      <c r="R35" s="9">
        <f>IF(AND($A35&gt;VLOOKUP(YEAR($A35),'Festive dates'!$A$2:$J$5,2,FALSE),$A35&lt;VLOOKUP(YEAR($A35),'Festive dates'!$A$2:$J$5,3,FALSE)),1,0)</f>
        <v>0</v>
      </c>
      <c r="S35" s="9">
        <f>IF($A35=VLOOKUP(YEAR($A35),'Festive dates'!$A$2:$J$5,2,FALSE),1,0)</f>
        <v>0</v>
      </c>
      <c r="T35" s="9">
        <f>IF($A35=VLOOKUP(YEAR($A35),'Festive dates'!$A$2:$J$5,3,FALSE),1,0)</f>
        <v>0</v>
      </c>
      <c r="U35" s="9">
        <f>IF($A35=VLOOKUP(YEAR($A35),'Festive dates'!$A$2:$J$5,4,FALSE),1,0)</f>
        <v>0</v>
      </c>
      <c r="V35" s="9">
        <f>IF(AND($A35&gt;=VLOOKUP(YEAR($A35),'Festive dates'!$A$2:$J$5,9,FALSE),$A35&lt;=VLOOKUP(YEAR($A35),'Festive dates'!$A$2:$J$5,10,FALSE)),1,0)</f>
        <v>0</v>
      </c>
      <c r="W35" s="9">
        <f>IF($A35=VLOOKUP(YEAR($A35),'Festive dates'!$A$2:$J$5,7,FALSE),1,0)</f>
        <v>0</v>
      </c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>
      <c r="A36" s="8">
        <v>45051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1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f>MAX(-20,MIN(10,$A36-VLOOKUP(YEAR($A36),'Festive dates'!$A$2:$J$5,8,FALSE)))</f>
        <v>-20</v>
      </c>
      <c r="R36" s="9">
        <f>IF(AND($A36&gt;VLOOKUP(YEAR($A36),'Festive dates'!$A$2:$J$5,2,FALSE),$A36&lt;VLOOKUP(YEAR($A36),'Festive dates'!$A$2:$J$5,3,FALSE)),1,0)</f>
        <v>0</v>
      </c>
      <c r="S36" s="9">
        <f>IF($A36=VLOOKUP(YEAR($A36),'Festive dates'!$A$2:$J$5,2,FALSE),1,0)</f>
        <v>0</v>
      </c>
      <c r="T36" s="9">
        <f>IF($A36=VLOOKUP(YEAR($A36),'Festive dates'!$A$2:$J$5,3,FALSE),1,0)</f>
        <v>0</v>
      </c>
      <c r="U36" s="9">
        <f>IF($A36=VLOOKUP(YEAR($A36),'Festive dates'!$A$2:$J$5,4,FALSE),1,0)</f>
        <v>0</v>
      </c>
      <c r="V36" s="9">
        <f>IF(AND($A36&gt;=VLOOKUP(YEAR($A36),'Festive dates'!$A$2:$J$5,9,FALSE),$A36&lt;=VLOOKUP(YEAR($A36),'Festive dates'!$A$2:$J$5,10,FALSE)),1,0)</f>
        <v>0</v>
      </c>
      <c r="W36" s="9">
        <f>IF($A36=VLOOKUP(YEAR($A36),'Festive dates'!$A$2:$J$5,7,FALSE),1,0)</f>
        <v>0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>
      <c r="A37" s="8">
        <v>45052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f>MAX(-20,MIN(10,$A37-VLOOKUP(YEAR($A37),'Festive dates'!$A$2:$J$5,8,FALSE)))</f>
        <v>-20</v>
      </c>
      <c r="R37" s="9">
        <f>IF(AND($A37&gt;VLOOKUP(YEAR($A37),'Festive dates'!$A$2:$J$5,2,FALSE),$A37&lt;VLOOKUP(YEAR($A37),'Festive dates'!$A$2:$J$5,3,FALSE)),1,0)</f>
        <v>0</v>
      </c>
      <c r="S37" s="9">
        <f>IF($A37=VLOOKUP(YEAR($A37),'Festive dates'!$A$2:$J$5,2,FALSE),1,0)</f>
        <v>0</v>
      </c>
      <c r="T37" s="9">
        <f>IF($A37=VLOOKUP(YEAR($A37),'Festive dates'!$A$2:$J$5,3,FALSE),1,0)</f>
        <v>0</v>
      </c>
      <c r="U37" s="9">
        <f>IF($A37=VLOOKUP(YEAR($A37),'Festive dates'!$A$2:$J$5,4,FALSE),1,0)</f>
        <v>0</v>
      </c>
      <c r="V37" s="9">
        <f>IF(AND($A37&gt;=VLOOKUP(YEAR($A37),'Festive dates'!$A$2:$J$5,9,FALSE),$A37&lt;=VLOOKUP(YEAR($A37),'Festive dates'!$A$2:$J$5,10,FALSE)),1,0)</f>
        <v>0</v>
      </c>
      <c r="W37" s="9">
        <f>IF($A37=VLOOKUP(YEAR($A37),'Festive dates'!$A$2:$J$5,7,FALSE),1,0)</f>
        <v>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>
      <c r="A38" s="8">
        <v>45053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f>MAX(-20,MIN(10,$A38-VLOOKUP(YEAR($A38),'Festive dates'!$A$2:$J$5,8,FALSE)))</f>
        <v>-20</v>
      </c>
      <c r="R38" s="9">
        <f>IF(AND($A38&gt;VLOOKUP(YEAR($A38),'Festive dates'!$A$2:$J$5,2,FALSE),$A38&lt;VLOOKUP(YEAR($A38),'Festive dates'!$A$2:$J$5,3,FALSE)),1,0)</f>
        <v>0</v>
      </c>
      <c r="S38" s="9">
        <f>IF($A38=VLOOKUP(YEAR($A38),'Festive dates'!$A$2:$J$5,2,FALSE),1,0)</f>
        <v>0</v>
      </c>
      <c r="T38" s="9">
        <f>IF($A38=VLOOKUP(YEAR($A38),'Festive dates'!$A$2:$J$5,3,FALSE),1,0)</f>
        <v>0</v>
      </c>
      <c r="U38" s="9">
        <f>IF($A38=VLOOKUP(YEAR($A38),'Festive dates'!$A$2:$J$5,4,FALSE),1,0)</f>
        <v>0</v>
      </c>
      <c r="V38" s="9">
        <f>IF(AND($A38&gt;=VLOOKUP(YEAR($A38),'Festive dates'!$A$2:$J$5,9,FALSE),$A38&lt;=VLOOKUP(YEAR($A38),'Festive dates'!$A$2:$J$5,10,FALSE)),1,0)</f>
        <v>0</v>
      </c>
      <c r="W38" s="9">
        <f>IF($A38=VLOOKUP(YEAR($A38),'Festive dates'!$A$2:$J$5,7,FALSE),1,0)</f>
        <v>0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>
      <c r="A39" s="8">
        <v>45054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1</v>
      </c>
      <c r="Q39" s="9">
        <f>MAX(-20,MIN(10,$A39-VLOOKUP(YEAR($A39),'Festive dates'!$A$2:$J$5,8,FALSE)))</f>
        <v>-20</v>
      </c>
      <c r="R39" s="9">
        <f>IF(AND($A39&gt;VLOOKUP(YEAR($A39),'Festive dates'!$A$2:$J$5,2,FALSE),$A39&lt;VLOOKUP(YEAR($A39),'Festive dates'!$A$2:$J$5,3,FALSE)),1,0)</f>
        <v>0</v>
      </c>
      <c r="S39" s="9">
        <f>IF($A39=VLOOKUP(YEAR($A39),'Festive dates'!$A$2:$J$5,2,FALSE),1,0)</f>
        <v>0</v>
      </c>
      <c r="T39" s="9">
        <f>IF($A39=VLOOKUP(YEAR($A39),'Festive dates'!$A$2:$J$5,3,FALSE),1,0)</f>
        <v>0</v>
      </c>
      <c r="U39" s="9">
        <f>IF($A39=VLOOKUP(YEAR($A39),'Festive dates'!$A$2:$J$5,4,FALSE),1,0)</f>
        <v>0</v>
      </c>
      <c r="V39" s="9">
        <f>IF(AND($A39&gt;=VLOOKUP(YEAR($A39),'Festive dates'!$A$2:$J$5,9,FALSE),$A39&lt;=VLOOKUP(YEAR($A39),'Festive dates'!$A$2:$J$5,10,FALSE)),1,0)</f>
        <v>0</v>
      </c>
      <c r="W39" s="9">
        <f>IF($A39=VLOOKUP(YEAR($A39),'Festive dates'!$A$2:$J$5,7,FALSE),1,0)</f>
        <v>0</v>
      </c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>
      <c r="A40" s="8">
        <v>45055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1</v>
      </c>
      <c r="Q40" s="9">
        <f>MAX(-20,MIN(10,$A40-VLOOKUP(YEAR($A40),'Festive dates'!$A$2:$J$5,8,FALSE)))</f>
        <v>-20</v>
      </c>
      <c r="R40" s="9">
        <f>IF(AND($A40&gt;VLOOKUP(YEAR($A40),'Festive dates'!$A$2:$J$5,2,FALSE),$A40&lt;VLOOKUP(YEAR($A40),'Festive dates'!$A$2:$J$5,3,FALSE)),1,0)</f>
        <v>0</v>
      </c>
      <c r="S40" s="9">
        <f>IF($A40=VLOOKUP(YEAR($A40),'Festive dates'!$A$2:$J$5,2,FALSE),1,0)</f>
        <v>0</v>
      </c>
      <c r="T40" s="9">
        <f>IF($A40=VLOOKUP(YEAR($A40),'Festive dates'!$A$2:$J$5,3,FALSE),1,0)</f>
        <v>0</v>
      </c>
      <c r="U40" s="9">
        <f>IF($A40=VLOOKUP(YEAR($A40),'Festive dates'!$A$2:$J$5,4,FALSE),1,0)</f>
        <v>0</v>
      </c>
      <c r="V40" s="9">
        <f>IF(AND($A40&gt;=VLOOKUP(YEAR($A40),'Festive dates'!$A$2:$J$5,9,FALSE),$A40&lt;=VLOOKUP(YEAR($A40),'Festive dates'!$A$2:$J$5,10,FALSE)),1,0)</f>
        <v>0</v>
      </c>
      <c r="W40" s="9">
        <f>IF($A40=VLOOKUP(YEAR($A40),'Festive dates'!$A$2:$J$5,7,FALSE),1,0)</f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>
      <c r="A41" s="8">
        <v>45056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f>MAX(-20,MIN(10,$A41-VLOOKUP(YEAR($A41),'Festive dates'!$A$2:$J$5,8,FALSE)))</f>
        <v>-20</v>
      </c>
      <c r="R41" s="9">
        <f>IF(AND($A41&gt;VLOOKUP(YEAR($A41),'Festive dates'!$A$2:$J$5,2,FALSE),$A41&lt;VLOOKUP(YEAR($A41),'Festive dates'!$A$2:$J$5,3,FALSE)),1,0)</f>
        <v>0</v>
      </c>
      <c r="S41" s="9">
        <f>IF($A41=VLOOKUP(YEAR($A41),'Festive dates'!$A$2:$J$5,2,FALSE),1,0)</f>
        <v>0</v>
      </c>
      <c r="T41" s="9">
        <f>IF($A41=VLOOKUP(YEAR($A41),'Festive dates'!$A$2:$J$5,3,FALSE),1,0)</f>
        <v>0</v>
      </c>
      <c r="U41" s="9">
        <f>IF($A41=VLOOKUP(YEAR($A41),'Festive dates'!$A$2:$J$5,4,FALSE),1,0)</f>
        <v>0</v>
      </c>
      <c r="V41" s="9">
        <f>IF(AND($A41&gt;=VLOOKUP(YEAR($A41),'Festive dates'!$A$2:$J$5,9,FALSE),$A41&lt;=VLOOKUP(YEAR($A41),'Festive dates'!$A$2:$J$5,10,FALSE)),1,0)</f>
        <v>0</v>
      </c>
      <c r="W41" s="9">
        <f>IF($A41=VLOOKUP(YEAR($A41),'Festive dates'!$A$2:$J$5,7,FALSE),1,0)</f>
        <v>0</v>
      </c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>
      <c r="A42" s="8">
        <v>45057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f>MAX(-20,MIN(10,$A42-VLOOKUP(YEAR($A42),'Festive dates'!$A$2:$J$5,8,FALSE)))</f>
        <v>-20</v>
      </c>
      <c r="R42" s="9">
        <f>IF(AND($A42&gt;VLOOKUP(YEAR($A42),'Festive dates'!$A$2:$J$5,2,FALSE),$A42&lt;VLOOKUP(YEAR($A42),'Festive dates'!$A$2:$J$5,3,FALSE)),1,0)</f>
        <v>0</v>
      </c>
      <c r="S42" s="9">
        <f>IF($A42=VLOOKUP(YEAR($A42),'Festive dates'!$A$2:$J$5,2,FALSE),1,0)</f>
        <v>0</v>
      </c>
      <c r="T42" s="9">
        <f>IF($A42=VLOOKUP(YEAR($A42),'Festive dates'!$A$2:$J$5,3,FALSE),1,0)</f>
        <v>0</v>
      </c>
      <c r="U42" s="9">
        <f>IF($A42=VLOOKUP(YEAR($A42),'Festive dates'!$A$2:$J$5,4,FALSE),1,0)</f>
        <v>0</v>
      </c>
      <c r="V42" s="9">
        <f>IF(AND($A42&gt;=VLOOKUP(YEAR($A42),'Festive dates'!$A$2:$J$5,9,FALSE),$A42&lt;=VLOOKUP(YEAR($A42),'Festive dates'!$A$2:$J$5,10,FALSE)),1,0)</f>
        <v>0</v>
      </c>
      <c r="W42" s="9">
        <f>IF($A42=VLOOKUP(YEAR($A42),'Festive dates'!$A$2:$J$5,7,FALSE),1,0)</f>
        <v>0</v>
      </c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>
      <c r="A43" s="8">
        <v>45058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f>MAX(-20,MIN(10,$A43-VLOOKUP(YEAR($A43),'Festive dates'!$A$2:$J$5,8,FALSE)))</f>
        <v>-20</v>
      </c>
      <c r="R43" s="9">
        <f>IF(AND($A43&gt;VLOOKUP(YEAR($A43),'Festive dates'!$A$2:$J$5,2,FALSE),$A43&lt;VLOOKUP(YEAR($A43),'Festive dates'!$A$2:$J$5,3,FALSE)),1,0)</f>
        <v>0</v>
      </c>
      <c r="S43" s="9">
        <f>IF($A43=VLOOKUP(YEAR($A43),'Festive dates'!$A$2:$J$5,2,FALSE),1,0)</f>
        <v>0</v>
      </c>
      <c r="T43" s="9">
        <f>IF($A43=VLOOKUP(YEAR($A43),'Festive dates'!$A$2:$J$5,3,FALSE),1,0)</f>
        <v>0</v>
      </c>
      <c r="U43" s="9">
        <f>IF($A43=VLOOKUP(YEAR($A43),'Festive dates'!$A$2:$J$5,4,FALSE),1,0)</f>
        <v>0</v>
      </c>
      <c r="V43" s="9">
        <f>IF(AND($A43&gt;=VLOOKUP(YEAR($A43),'Festive dates'!$A$2:$J$5,9,FALSE),$A43&lt;=VLOOKUP(YEAR($A43),'Festive dates'!$A$2:$J$5,10,FALSE)),1,0)</f>
        <v>0</v>
      </c>
      <c r="W43" s="9">
        <f>IF($A43=VLOOKUP(YEAR($A43),'Festive dates'!$A$2:$J$5,7,FALSE),1,0)</f>
        <v>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>
      <c r="A44" s="8">
        <v>45059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1</v>
      </c>
      <c r="Q44" s="9">
        <f>MAX(-20,MIN(10,$A44-VLOOKUP(YEAR($A44),'Festive dates'!$A$2:$J$5,8,FALSE)))</f>
        <v>-20</v>
      </c>
      <c r="R44" s="9">
        <f>IF(AND($A44&gt;VLOOKUP(YEAR($A44),'Festive dates'!$A$2:$J$5,2,FALSE),$A44&lt;VLOOKUP(YEAR($A44),'Festive dates'!$A$2:$J$5,3,FALSE)),1,0)</f>
        <v>0</v>
      </c>
      <c r="S44" s="9">
        <f>IF($A44=VLOOKUP(YEAR($A44),'Festive dates'!$A$2:$J$5,2,FALSE),1,0)</f>
        <v>0</v>
      </c>
      <c r="T44" s="9">
        <f>IF($A44=VLOOKUP(YEAR($A44),'Festive dates'!$A$2:$J$5,3,FALSE),1,0)</f>
        <v>0</v>
      </c>
      <c r="U44" s="9">
        <f>IF($A44=VLOOKUP(YEAR($A44),'Festive dates'!$A$2:$J$5,4,FALSE),1,0)</f>
        <v>0</v>
      </c>
      <c r="V44" s="9">
        <f>IF(AND($A44&gt;=VLOOKUP(YEAR($A44),'Festive dates'!$A$2:$J$5,9,FALSE),$A44&lt;=VLOOKUP(YEAR($A44),'Festive dates'!$A$2:$J$5,10,FALSE)),1,0)</f>
        <v>0</v>
      </c>
      <c r="W44" s="9">
        <f>IF($A44=VLOOKUP(YEAR($A44),'Festive dates'!$A$2:$J$5,7,FALSE),1,0)</f>
        <v>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>
      <c r="A45" s="8">
        <v>45060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1</v>
      </c>
      <c r="Q45" s="9">
        <f>MAX(-20,MIN(10,$A45-VLOOKUP(YEAR($A45),'Festive dates'!$A$2:$J$5,8,FALSE)))</f>
        <v>-20</v>
      </c>
      <c r="R45" s="9">
        <f>IF(AND($A45&gt;VLOOKUP(YEAR($A45),'Festive dates'!$A$2:$J$5,2,FALSE),$A45&lt;VLOOKUP(YEAR($A45),'Festive dates'!$A$2:$J$5,3,FALSE)),1,0)</f>
        <v>0</v>
      </c>
      <c r="S45" s="9">
        <f>IF($A45=VLOOKUP(YEAR($A45),'Festive dates'!$A$2:$J$5,2,FALSE),1,0)</f>
        <v>0</v>
      </c>
      <c r="T45" s="9">
        <f>IF($A45=VLOOKUP(YEAR($A45),'Festive dates'!$A$2:$J$5,3,FALSE),1,0)</f>
        <v>0</v>
      </c>
      <c r="U45" s="9">
        <f>IF($A45=VLOOKUP(YEAR($A45),'Festive dates'!$A$2:$J$5,4,FALSE),1,0)</f>
        <v>0</v>
      </c>
      <c r="V45" s="9">
        <f>IF(AND($A45&gt;=VLOOKUP(YEAR($A45),'Festive dates'!$A$2:$J$5,9,FALSE),$A45&lt;=VLOOKUP(YEAR($A45),'Festive dates'!$A$2:$J$5,10,FALSE)),1,0)</f>
        <v>0</v>
      </c>
      <c r="W45" s="9">
        <f>IF($A45=VLOOKUP(YEAR($A45),'Festive dates'!$A$2:$J$5,7,FALSE),1,0)</f>
        <v>0</v>
      </c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>
      <c r="A46" s="8">
        <v>45061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1</v>
      </c>
      <c r="Q46" s="9">
        <f>MAX(-20,MIN(10,$A46-VLOOKUP(YEAR($A46),'Festive dates'!$A$2:$J$5,8,FALSE)))</f>
        <v>-20</v>
      </c>
      <c r="R46" s="9">
        <f>IF(AND($A46&gt;VLOOKUP(YEAR($A46),'Festive dates'!$A$2:$J$5,2,FALSE),$A46&lt;VLOOKUP(YEAR($A46),'Festive dates'!$A$2:$J$5,3,FALSE)),1,0)</f>
        <v>0</v>
      </c>
      <c r="S46" s="9">
        <f>IF($A46=VLOOKUP(YEAR($A46),'Festive dates'!$A$2:$J$5,2,FALSE),1,0)</f>
        <v>0</v>
      </c>
      <c r="T46" s="9">
        <f>IF($A46=VLOOKUP(YEAR($A46),'Festive dates'!$A$2:$J$5,3,FALSE),1,0)</f>
        <v>0</v>
      </c>
      <c r="U46" s="9">
        <f>IF($A46=VLOOKUP(YEAR($A46),'Festive dates'!$A$2:$J$5,4,FALSE),1,0)</f>
        <v>0</v>
      </c>
      <c r="V46" s="9">
        <f>IF(AND($A46&gt;=VLOOKUP(YEAR($A46),'Festive dates'!$A$2:$J$5,9,FALSE),$A46&lt;=VLOOKUP(YEAR($A46),'Festive dates'!$A$2:$J$5,10,FALSE)),1,0)</f>
        <v>0</v>
      </c>
      <c r="W46" s="9">
        <f>IF($A46=VLOOKUP(YEAR($A46),'Festive dates'!$A$2:$J$5,7,FALSE),1,0)</f>
        <v>0</v>
      </c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>
      <c r="A47" s="8">
        <v>45062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f>MAX(-20,MIN(10,$A47-VLOOKUP(YEAR($A47),'Festive dates'!$A$2:$J$5,8,FALSE)))</f>
        <v>-20</v>
      </c>
      <c r="R47" s="9">
        <f>IF(AND($A47&gt;VLOOKUP(YEAR($A47),'Festive dates'!$A$2:$J$5,2,FALSE),$A47&lt;VLOOKUP(YEAR($A47),'Festive dates'!$A$2:$J$5,3,FALSE)),1,0)</f>
        <v>0</v>
      </c>
      <c r="S47" s="9">
        <f>IF($A47=VLOOKUP(YEAR($A47),'Festive dates'!$A$2:$J$5,2,FALSE),1,0)</f>
        <v>0</v>
      </c>
      <c r="T47" s="9">
        <f>IF($A47=VLOOKUP(YEAR($A47),'Festive dates'!$A$2:$J$5,3,FALSE),1,0)</f>
        <v>0</v>
      </c>
      <c r="U47" s="9">
        <f>IF($A47=VLOOKUP(YEAR($A47),'Festive dates'!$A$2:$J$5,4,FALSE),1,0)</f>
        <v>0</v>
      </c>
      <c r="V47" s="9">
        <f>IF(AND($A47&gt;=VLOOKUP(YEAR($A47),'Festive dates'!$A$2:$J$5,9,FALSE),$A47&lt;=VLOOKUP(YEAR($A47),'Festive dates'!$A$2:$J$5,10,FALSE)),1,0)</f>
        <v>0</v>
      </c>
      <c r="W47" s="9">
        <f>IF($A47=VLOOKUP(YEAR($A47),'Festive dates'!$A$2:$J$5,7,FALSE),1,0)</f>
        <v>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>
      <c r="A48" s="8">
        <v>45063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f>MAX(-20,MIN(10,$A48-VLOOKUP(YEAR($A48),'Festive dates'!$A$2:$J$5,8,FALSE)))</f>
        <v>-20</v>
      </c>
      <c r="R48" s="9">
        <f>IF(AND($A48&gt;VLOOKUP(YEAR($A48),'Festive dates'!$A$2:$J$5,2,FALSE),$A48&lt;VLOOKUP(YEAR($A48),'Festive dates'!$A$2:$J$5,3,FALSE)),1,0)</f>
        <v>0</v>
      </c>
      <c r="S48" s="9">
        <f>IF($A48=VLOOKUP(YEAR($A48),'Festive dates'!$A$2:$J$5,2,FALSE),1,0)</f>
        <v>0</v>
      </c>
      <c r="T48" s="9">
        <f>IF($A48=VLOOKUP(YEAR($A48),'Festive dates'!$A$2:$J$5,3,FALSE),1,0)</f>
        <v>0</v>
      </c>
      <c r="U48" s="9">
        <f>IF($A48=VLOOKUP(YEAR($A48),'Festive dates'!$A$2:$J$5,4,FALSE),1,0)</f>
        <v>0</v>
      </c>
      <c r="V48" s="9">
        <f>IF(AND($A48&gt;=VLOOKUP(YEAR($A48),'Festive dates'!$A$2:$J$5,9,FALSE),$A48&lt;=VLOOKUP(YEAR($A48),'Festive dates'!$A$2:$J$5,10,FALSE)),1,0)</f>
        <v>0</v>
      </c>
      <c r="W48" s="9">
        <f>IF($A48=VLOOKUP(YEAR($A48),'Festive dates'!$A$2:$J$5,7,FALSE),1,0)</f>
        <v>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>
      <c r="A49" s="8">
        <v>45064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f>MAX(-20,MIN(10,$A49-VLOOKUP(YEAR($A49),'Festive dates'!$A$2:$J$5,8,FALSE)))</f>
        <v>-20</v>
      </c>
      <c r="R49" s="9">
        <f>IF(AND($A49&gt;VLOOKUP(YEAR($A49),'Festive dates'!$A$2:$J$5,2,FALSE),$A49&lt;VLOOKUP(YEAR($A49),'Festive dates'!$A$2:$J$5,3,FALSE)),1,0)</f>
        <v>0</v>
      </c>
      <c r="S49" s="9">
        <f>IF($A49=VLOOKUP(YEAR($A49),'Festive dates'!$A$2:$J$5,2,FALSE),1,0)</f>
        <v>0</v>
      </c>
      <c r="T49" s="9">
        <f>IF($A49=VLOOKUP(YEAR($A49),'Festive dates'!$A$2:$J$5,3,FALSE),1,0)</f>
        <v>0</v>
      </c>
      <c r="U49" s="9">
        <f>IF($A49=VLOOKUP(YEAR($A49),'Festive dates'!$A$2:$J$5,4,FALSE),1,0)</f>
        <v>0</v>
      </c>
      <c r="V49" s="9">
        <f>IF(AND($A49&gt;=VLOOKUP(YEAR($A49),'Festive dates'!$A$2:$J$5,9,FALSE),$A49&lt;=VLOOKUP(YEAR($A49),'Festive dates'!$A$2:$J$5,10,FALSE)),1,0)</f>
        <v>0</v>
      </c>
      <c r="W49" s="9">
        <f>IF($A49=VLOOKUP(YEAR($A49),'Festive dates'!$A$2:$J$5,7,FALSE),1,0)</f>
        <v>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>
      <c r="A50" s="8">
        <v>45065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f>MAX(-20,MIN(10,$A50-VLOOKUP(YEAR($A50),'Festive dates'!$A$2:$J$5,8,FALSE)))</f>
        <v>-20</v>
      </c>
      <c r="R50" s="9">
        <f>IF(AND($A50&gt;VLOOKUP(YEAR($A50),'Festive dates'!$A$2:$J$5,2,FALSE),$A50&lt;VLOOKUP(YEAR($A50),'Festive dates'!$A$2:$J$5,3,FALSE)),1,0)</f>
        <v>0</v>
      </c>
      <c r="S50" s="9">
        <f>IF($A50=VLOOKUP(YEAR($A50),'Festive dates'!$A$2:$J$5,2,FALSE),1,0)</f>
        <v>0</v>
      </c>
      <c r="T50" s="9">
        <f>IF($A50=VLOOKUP(YEAR($A50),'Festive dates'!$A$2:$J$5,3,FALSE),1,0)</f>
        <v>0</v>
      </c>
      <c r="U50" s="9">
        <f>IF($A50=VLOOKUP(YEAR($A50),'Festive dates'!$A$2:$J$5,4,FALSE),1,0)</f>
        <v>0</v>
      </c>
      <c r="V50" s="9">
        <f>IF(AND($A50&gt;=VLOOKUP(YEAR($A50),'Festive dates'!$A$2:$J$5,9,FALSE),$A50&lt;=VLOOKUP(YEAR($A50),'Festive dates'!$A$2:$J$5,10,FALSE)),1,0)</f>
        <v>0</v>
      </c>
      <c r="W50" s="9">
        <f>IF($A50=VLOOKUP(YEAR($A50),'Festive dates'!$A$2:$J$5,7,FALSE),1,0)</f>
        <v>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>
      <c r="A51" s="8">
        <v>45066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1</v>
      </c>
      <c r="Q51" s="9">
        <f>MAX(-20,MIN(10,$A51-VLOOKUP(YEAR($A51),'Festive dates'!$A$2:$J$5,8,FALSE)))</f>
        <v>-20</v>
      </c>
      <c r="R51" s="9">
        <f>IF(AND($A51&gt;VLOOKUP(YEAR($A51),'Festive dates'!$A$2:$J$5,2,FALSE),$A51&lt;VLOOKUP(YEAR($A51),'Festive dates'!$A$2:$J$5,3,FALSE)),1,0)</f>
        <v>0</v>
      </c>
      <c r="S51" s="9">
        <f>IF($A51=VLOOKUP(YEAR($A51),'Festive dates'!$A$2:$J$5,2,FALSE),1,0)</f>
        <v>0</v>
      </c>
      <c r="T51" s="9">
        <f>IF($A51=VLOOKUP(YEAR($A51),'Festive dates'!$A$2:$J$5,3,FALSE),1,0)</f>
        <v>0</v>
      </c>
      <c r="U51" s="9">
        <f>IF($A51=VLOOKUP(YEAR($A51),'Festive dates'!$A$2:$J$5,4,FALSE),1,0)</f>
        <v>0</v>
      </c>
      <c r="V51" s="9">
        <f>IF(AND($A51&gt;=VLOOKUP(YEAR($A51),'Festive dates'!$A$2:$J$5,9,FALSE),$A51&lt;=VLOOKUP(YEAR($A51),'Festive dates'!$A$2:$J$5,10,FALSE)),1,0)</f>
        <v>0</v>
      </c>
      <c r="W51" s="9">
        <f>IF($A51=VLOOKUP(YEAR($A51),'Festive dates'!$A$2:$J$5,7,FALSE),1,0)</f>
        <v>0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>
      <c r="A52" s="8">
        <v>45067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f>MAX(-20,MIN(10,$A52-VLOOKUP(YEAR($A52),'Festive dates'!$A$2:$J$5,8,FALSE)))</f>
        <v>-20</v>
      </c>
      <c r="R52" s="9">
        <f>IF(AND($A52&gt;VLOOKUP(YEAR($A52),'Festive dates'!$A$2:$J$5,2,FALSE),$A52&lt;VLOOKUP(YEAR($A52),'Festive dates'!$A$2:$J$5,3,FALSE)),1,0)</f>
        <v>0</v>
      </c>
      <c r="S52" s="9">
        <f>IF($A52=VLOOKUP(YEAR($A52),'Festive dates'!$A$2:$J$5,2,FALSE),1,0)</f>
        <v>0</v>
      </c>
      <c r="T52" s="9">
        <f>IF($A52=VLOOKUP(YEAR($A52),'Festive dates'!$A$2:$J$5,3,FALSE),1,0)</f>
        <v>0</v>
      </c>
      <c r="U52" s="9">
        <f>IF($A52=VLOOKUP(YEAR($A52),'Festive dates'!$A$2:$J$5,4,FALSE),1,0)</f>
        <v>0</v>
      </c>
      <c r="V52" s="9">
        <f>IF(AND($A52&gt;=VLOOKUP(YEAR($A52),'Festive dates'!$A$2:$J$5,9,FALSE),$A52&lt;=VLOOKUP(YEAR($A52),'Festive dates'!$A$2:$J$5,10,FALSE)),1,0)</f>
        <v>0</v>
      </c>
      <c r="W52" s="9">
        <f>IF($A52=VLOOKUP(YEAR($A52),'Festive dates'!$A$2:$J$5,7,FALSE),1,0)</f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>
      <c r="A53" s="8">
        <v>45068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1</v>
      </c>
      <c r="Q53" s="9">
        <f>MAX(-20,MIN(10,$A53-VLOOKUP(YEAR($A53),'Festive dates'!$A$2:$J$5,8,FALSE)))</f>
        <v>-20</v>
      </c>
      <c r="R53" s="9">
        <f>IF(AND($A53&gt;VLOOKUP(YEAR($A53),'Festive dates'!$A$2:$J$5,2,FALSE),$A53&lt;VLOOKUP(YEAR($A53),'Festive dates'!$A$2:$J$5,3,FALSE)),1,0)</f>
        <v>0</v>
      </c>
      <c r="S53" s="9">
        <f>IF($A53=VLOOKUP(YEAR($A53),'Festive dates'!$A$2:$J$5,2,FALSE),1,0)</f>
        <v>0</v>
      </c>
      <c r="T53" s="9">
        <f>IF($A53=VLOOKUP(YEAR($A53),'Festive dates'!$A$2:$J$5,3,FALSE),1,0)</f>
        <v>0</v>
      </c>
      <c r="U53" s="9">
        <f>IF($A53=VLOOKUP(YEAR($A53),'Festive dates'!$A$2:$J$5,4,FALSE),1,0)</f>
        <v>0</v>
      </c>
      <c r="V53" s="9">
        <f>IF(AND($A53&gt;=VLOOKUP(YEAR($A53),'Festive dates'!$A$2:$J$5,9,FALSE),$A53&lt;=VLOOKUP(YEAR($A53),'Festive dates'!$A$2:$J$5,10,FALSE)),1,0)</f>
        <v>0</v>
      </c>
      <c r="W53" s="9">
        <f>IF($A53=VLOOKUP(YEAR($A53),'Festive dates'!$A$2:$J$5,7,FALSE),1,0)</f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>
      <c r="A54" s="8">
        <v>45069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1</v>
      </c>
      <c r="Q54" s="9">
        <f>MAX(-20,MIN(10,$A54-VLOOKUP(YEAR($A54),'Festive dates'!$A$2:$J$5,8,FALSE)))</f>
        <v>-20</v>
      </c>
      <c r="R54" s="9">
        <f>IF(AND($A54&gt;VLOOKUP(YEAR($A54),'Festive dates'!$A$2:$J$5,2,FALSE),$A54&lt;VLOOKUP(YEAR($A54),'Festive dates'!$A$2:$J$5,3,FALSE)),1,0)</f>
        <v>0</v>
      </c>
      <c r="S54" s="9">
        <f>IF($A54=VLOOKUP(YEAR($A54),'Festive dates'!$A$2:$J$5,2,FALSE),1,0)</f>
        <v>0</v>
      </c>
      <c r="T54" s="9">
        <f>IF($A54=VLOOKUP(YEAR($A54),'Festive dates'!$A$2:$J$5,3,FALSE),1,0)</f>
        <v>0</v>
      </c>
      <c r="U54" s="9">
        <f>IF($A54=VLOOKUP(YEAR($A54),'Festive dates'!$A$2:$J$5,4,FALSE),1,0)</f>
        <v>0</v>
      </c>
      <c r="V54" s="9">
        <f>IF(AND($A54&gt;=VLOOKUP(YEAR($A54),'Festive dates'!$A$2:$J$5,9,FALSE),$A54&lt;=VLOOKUP(YEAR($A54),'Festive dates'!$A$2:$J$5,10,FALSE)),1,0)</f>
        <v>0</v>
      </c>
      <c r="W54" s="9">
        <f>IF($A54=VLOOKUP(YEAR($A54),'Festive dates'!$A$2:$J$5,7,FALSE),1,0)</f>
        <v>0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>
      <c r="A55" s="8">
        <v>45070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f>MAX(-20,MIN(10,$A55-VLOOKUP(YEAR($A55),'Festive dates'!$A$2:$J$5,8,FALSE)))</f>
        <v>-20</v>
      </c>
      <c r="R55" s="9">
        <f>IF(AND($A55&gt;VLOOKUP(YEAR($A55),'Festive dates'!$A$2:$J$5,2,FALSE),$A55&lt;VLOOKUP(YEAR($A55),'Festive dates'!$A$2:$J$5,3,FALSE)),1,0)</f>
        <v>0</v>
      </c>
      <c r="S55" s="9">
        <f>IF($A55=VLOOKUP(YEAR($A55),'Festive dates'!$A$2:$J$5,2,FALSE),1,0)</f>
        <v>0</v>
      </c>
      <c r="T55" s="9">
        <f>IF($A55=VLOOKUP(YEAR($A55),'Festive dates'!$A$2:$J$5,3,FALSE),1,0)</f>
        <v>0</v>
      </c>
      <c r="U55" s="9">
        <f>IF($A55=VLOOKUP(YEAR($A55),'Festive dates'!$A$2:$J$5,4,FALSE),1,0)</f>
        <v>0</v>
      </c>
      <c r="V55" s="9">
        <f>IF(AND($A55&gt;=VLOOKUP(YEAR($A55),'Festive dates'!$A$2:$J$5,9,FALSE),$A55&lt;=VLOOKUP(YEAR($A55),'Festive dates'!$A$2:$J$5,10,FALSE)),1,0)</f>
        <v>0</v>
      </c>
      <c r="W55" s="9">
        <f>IF($A55=VLOOKUP(YEAR($A55),'Festive dates'!$A$2:$J$5,7,FALSE),1,0)</f>
        <v>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>
      <c r="A56" s="8">
        <v>45071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1</v>
      </c>
      <c r="Q56" s="9">
        <f>MAX(-20,MIN(10,$A56-VLOOKUP(YEAR($A56),'Festive dates'!$A$2:$J$5,8,FALSE)))</f>
        <v>-20</v>
      </c>
      <c r="R56" s="9">
        <f>IF(AND($A56&gt;VLOOKUP(YEAR($A56),'Festive dates'!$A$2:$J$5,2,FALSE),$A56&lt;VLOOKUP(YEAR($A56),'Festive dates'!$A$2:$J$5,3,FALSE)),1,0)</f>
        <v>0</v>
      </c>
      <c r="S56" s="9">
        <f>IF($A56=VLOOKUP(YEAR($A56),'Festive dates'!$A$2:$J$5,2,FALSE),1,0)</f>
        <v>0</v>
      </c>
      <c r="T56" s="9">
        <f>IF($A56=VLOOKUP(YEAR($A56),'Festive dates'!$A$2:$J$5,3,FALSE),1,0)</f>
        <v>0</v>
      </c>
      <c r="U56" s="9">
        <f>IF($A56=VLOOKUP(YEAR($A56),'Festive dates'!$A$2:$J$5,4,FALSE),1,0)</f>
        <v>0</v>
      </c>
      <c r="V56" s="9">
        <f>IF(AND($A56&gt;=VLOOKUP(YEAR($A56),'Festive dates'!$A$2:$J$5,9,FALSE),$A56&lt;=VLOOKUP(YEAR($A56),'Festive dates'!$A$2:$J$5,10,FALSE)),1,0)</f>
        <v>0</v>
      </c>
      <c r="W56" s="9">
        <f>IF($A56=VLOOKUP(YEAR($A56),'Festive dates'!$A$2:$J$5,7,FALSE),1,0)</f>
        <v>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>
      <c r="A57" s="8">
        <v>45072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f>MAX(-20,MIN(10,$A57-VLOOKUP(YEAR($A57),'Festive dates'!$A$2:$J$5,8,FALSE)))</f>
        <v>-20</v>
      </c>
      <c r="R57" s="9">
        <f>IF(AND($A57&gt;VLOOKUP(YEAR($A57),'Festive dates'!$A$2:$J$5,2,FALSE),$A57&lt;VLOOKUP(YEAR($A57),'Festive dates'!$A$2:$J$5,3,FALSE)),1,0)</f>
        <v>0</v>
      </c>
      <c r="S57" s="9">
        <f>IF($A57=VLOOKUP(YEAR($A57),'Festive dates'!$A$2:$J$5,2,FALSE),1,0)</f>
        <v>0</v>
      </c>
      <c r="T57" s="9">
        <f>IF($A57=VLOOKUP(YEAR($A57),'Festive dates'!$A$2:$J$5,3,FALSE),1,0)</f>
        <v>0</v>
      </c>
      <c r="U57" s="9">
        <f>IF($A57=VLOOKUP(YEAR($A57),'Festive dates'!$A$2:$J$5,4,FALSE),1,0)</f>
        <v>0</v>
      </c>
      <c r="V57" s="9">
        <f>IF(AND($A57&gt;=VLOOKUP(YEAR($A57),'Festive dates'!$A$2:$J$5,9,FALSE),$A57&lt;=VLOOKUP(YEAR($A57),'Festive dates'!$A$2:$J$5,10,FALSE)),1,0)</f>
        <v>0</v>
      </c>
      <c r="W57" s="9">
        <f>IF($A57=VLOOKUP(YEAR($A57),'Festive dates'!$A$2:$J$5,7,FALSE),1,0)</f>
        <v>0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>
      <c r="A58" s="8">
        <v>45073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1</v>
      </c>
      <c r="Q58" s="9">
        <f>MAX(-20,MIN(10,$A58-VLOOKUP(YEAR($A58),'Festive dates'!$A$2:$J$5,8,FALSE)))</f>
        <v>-20</v>
      </c>
      <c r="R58" s="9">
        <f>IF(AND($A58&gt;VLOOKUP(YEAR($A58),'Festive dates'!$A$2:$J$5,2,FALSE),$A58&lt;VLOOKUP(YEAR($A58),'Festive dates'!$A$2:$J$5,3,FALSE)),1,0)</f>
        <v>0</v>
      </c>
      <c r="S58" s="9">
        <f>IF($A58=VLOOKUP(YEAR($A58),'Festive dates'!$A$2:$J$5,2,FALSE),1,0)</f>
        <v>0</v>
      </c>
      <c r="T58" s="9">
        <f>IF($A58=VLOOKUP(YEAR($A58),'Festive dates'!$A$2:$J$5,3,FALSE),1,0)</f>
        <v>0</v>
      </c>
      <c r="U58" s="9">
        <f>IF($A58=VLOOKUP(YEAR($A58),'Festive dates'!$A$2:$J$5,4,FALSE),1,0)</f>
        <v>0</v>
      </c>
      <c r="V58" s="9">
        <f>IF(AND($A58&gt;=VLOOKUP(YEAR($A58),'Festive dates'!$A$2:$J$5,9,FALSE),$A58&lt;=VLOOKUP(YEAR($A58),'Festive dates'!$A$2:$J$5,10,FALSE)),1,0)</f>
        <v>0</v>
      </c>
      <c r="W58" s="9">
        <f>IF($A58=VLOOKUP(YEAR($A58),'Festive dates'!$A$2:$J$5,7,FALSE),1,0)</f>
        <v>0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>
      <c r="A59" s="8">
        <v>45074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f>MAX(-20,MIN(10,$A59-VLOOKUP(YEAR($A59),'Festive dates'!$A$2:$J$5,8,FALSE)))</f>
        <v>-20</v>
      </c>
      <c r="R59" s="9">
        <f>IF(AND($A59&gt;VLOOKUP(YEAR($A59),'Festive dates'!$A$2:$J$5,2,FALSE),$A59&lt;VLOOKUP(YEAR($A59),'Festive dates'!$A$2:$J$5,3,FALSE)),1,0)</f>
        <v>0</v>
      </c>
      <c r="S59" s="9">
        <f>IF($A59=VLOOKUP(YEAR($A59),'Festive dates'!$A$2:$J$5,2,FALSE),1,0)</f>
        <v>0</v>
      </c>
      <c r="T59" s="9">
        <f>IF($A59=VLOOKUP(YEAR($A59),'Festive dates'!$A$2:$J$5,3,FALSE),1,0)</f>
        <v>0</v>
      </c>
      <c r="U59" s="9">
        <f>IF($A59=VLOOKUP(YEAR($A59),'Festive dates'!$A$2:$J$5,4,FALSE),1,0)</f>
        <v>0</v>
      </c>
      <c r="V59" s="9">
        <f>IF(AND($A59&gt;=VLOOKUP(YEAR($A59),'Festive dates'!$A$2:$J$5,9,FALSE),$A59&lt;=VLOOKUP(YEAR($A59),'Festive dates'!$A$2:$J$5,10,FALSE)),1,0)</f>
        <v>0</v>
      </c>
      <c r="W59" s="9">
        <f>IF($A59=VLOOKUP(YEAR($A59),'Festive dates'!$A$2:$J$5,7,FALSE),1,0)</f>
        <v>0</v>
      </c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>
      <c r="A60" s="8">
        <v>45075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1</v>
      </c>
      <c r="Q60" s="9">
        <f>MAX(-20,MIN(10,$A60-VLOOKUP(YEAR($A60),'Festive dates'!$A$2:$J$5,8,FALSE)))</f>
        <v>-20</v>
      </c>
      <c r="R60" s="9">
        <f>IF(AND($A60&gt;VLOOKUP(YEAR($A60),'Festive dates'!$A$2:$J$5,2,FALSE),$A60&lt;VLOOKUP(YEAR($A60),'Festive dates'!$A$2:$J$5,3,FALSE)),1,0)</f>
        <v>0</v>
      </c>
      <c r="S60" s="9">
        <f>IF($A60=VLOOKUP(YEAR($A60),'Festive dates'!$A$2:$J$5,2,FALSE),1,0)</f>
        <v>0</v>
      </c>
      <c r="T60" s="9">
        <f>IF($A60=VLOOKUP(YEAR($A60),'Festive dates'!$A$2:$J$5,3,FALSE),1,0)</f>
        <v>0</v>
      </c>
      <c r="U60" s="9">
        <f>IF($A60=VLOOKUP(YEAR($A60),'Festive dates'!$A$2:$J$5,4,FALSE),1,0)</f>
        <v>0</v>
      </c>
      <c r="V60" s="9">
        <f>IF(AND($A60&gt;=VLOOKUP(YEAR($A60),'Festive dates'!$A$2:$J$5,9,FALSE),$A60&lt;=VLOOKUP(YEAR($A60),'Festive dates'!$A$2:$J$5,10,FALSE)),1,0)</f>
        <v>0</v>
      </c>
      <c r="W60" s="9">
        <f>IF($A60=VLOOKUP(YEAR($A60),'Festive dates'!$A$2:$J$5,7,FALSE),1,0)</f>
        <v>0</v>
      </c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>
      <c r="A61" s="8">
        <v>45076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1</v>
      </c>
      <c r="L61" s="9">
        <v>0</v>
      </c>
      <c r="M61" s="9">
        <v>0</v>
      </c>
      <c r="N61" s="9">
        <v>0</v>
      </c>
      <c r="O61" s="9">
        <v>0</v>
      </c>
      <c r="P61" s="9">
        <v>1</v>
      </c>
      <c r="Q61" s="9">
        <f>MAX(-20,MIN(10,$A61-VLOOKUP(YEAR($A61),'Festive dates'!$A$2:$J$5,8,FALSE)))</f>
        <v>-20</v>
      </c>
      <c r="R61" s="9">
        <f>IF(AND($A61&gt;VLOOKUP(YEAR($A61),'Festive dates'!$A$2:$J$5,2,FALSE),$A61&lt;VLOOKUP(YEAR($A61),'Festive dates'!$A$2:$J$5,3,FALSE)),1,0)</f>
        <v>0</v>
      </c>
      <c r="S61" s="9">
        <f>IF($A61=VLOOKUP(YEAR($A61),'Festive dates'!$A$2:$J$5,2,FALSE),1,0)</f>
        <v>0</v>
      </c>
      <c r="T61" s="9">
        <f>IF($A61=VLOOKUP(YEAR($A61),'Festive dates'!$A$2:$J$5,3,FALSE),1,0)</f>
        <v>0</v>
      </c>
      <c r="U61" s="9">
        <f>IF($A61=VLOOKUP(YEAR($A61),'Festive dates'!$A$2:$J$5,4,FALSE),1,0)</f>
        <v>0</v>
      </c>
      <c r="V61" s="9">
        <f>IF(AND($A61&gt;=VLOOKUP(YEAR($A61),'Festive dates'!$A$2:$J$5,9,FALSE),$A61&lt;=VLOOKUP(YEAR($A61),'Festive dates'!$A$2:$J$5,10,FALSE)),1,0)</f>
        <v>0</v>
      </c>
      <c r="W61" s="9">
        <f>IF($A61=VLOOKUP(YEAR($A61),'Festive dates'!$A$2:$J$5,7,FALSE),1,0)</f>
        <v>0</v>
      </c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>
      <c r="A62" s="8">
        <v>45077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1</v>
      </c>
      <c r="Q62" s="9">
        <f>MAX(-20,MIN(10,$A62-VLOOKUP(YEAR($A62),'Festive dates'!$A$2:$J$5,8,FALSE)))</f>
        <v>-20</v>
      </c>
      <c r="R62" s="9">
        <f>IF(AND($A62&gt;VLOOKUP(YEAR($A62),'Festive dates'!$A$2:$J$5,2,FALSE),$A62&lt;VLOOKUP(YEAR($A62),'Festive dates'!$A$2:$J$5,3,FALSE)),1,0)</f>
        <v>0</v>
      </c>
      <c r="S62" s="9">
        <f>IF($A62=VLOOKUP(YEAR($A62),'Festive dates'!$A$2:$J$5,2,FALSE),1,0)</f>
        <v>0</v>
      </c>
      <c r="T62" s="9">
        <f>IF($A62=VLOOKUP(YEAR($A62),'Festive dates'!$A$2:$J$5,3,FALSE),1,0)</f>
        <v>0</v>
      </c>
      <c r="U62" s="9">
        <f>IF($A62=VLOOKUP(YEAR($A62),'Festive dates'!$A$2:$J$5,4,FALSE),1,0)</f>
        <v>0</v>
      </c>
      <c r="V62" s="9">
        <f>IF(AND($A62&gt;=VLOOKUP(YEAR($A62),'Festive dates'!$A$2:$J$5,9,FALSE),$A62&lt;=VLOOKUP(YEAR($A62),'Festive dates'!$A$2:$J$5,10,FALSE)),1,0)</f>
        <v>0</v>
      </c>
      <c r="W62" s="9">
        <f>IF($A62=VLOOKUP(YEAR($A62),'Festive dates'!$A$2:$J$5,7,FALSE),1,0)</f>
        <v>0</v>
      </c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>
      <c r="A63" s="8">
        <v>45078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f>MAX(-20,MIN(10,$A63-VLOOKUP(YEAR($A63),'Festive dates'!$A$2:$J$5,8,FALSE)))</f>
        <v>-20</v>
      </c>
      <c r="R63" s="9">
        <f>IF(AND($A63&gt;VLOOKUP(YEAR($A63),'Festive dates'!$A$2:$J$5,2,FALSE),$A63&lt;VLOOKUP(YEAR($A63),'Festive dates'!$A$2:$J$5,3,FALSE)),1,0)</f>
        <v>0</v>
      </c>
      <c r="S63" s="9">
        <f>IF($A63=VLOOKUP(YEAR($A63),'Festive dates'!$A$2:$J$5,2,FALSE),1,0)</f>
        <v>0</v>
      </c>
      <c r="T63" s="9">
        <f>IF($A63=VLOOKUP(YEAR($A63),'Festive dates'!$A$2:$J$5,3,FALSE),1,0)</f>
        <v>0</v>
      </c>
      <c r="U63" s="9">
        <f>IF($A63=VLOOKUP(YEAR($A63),'Festive dates'!$A$2:$J$5,4,FALSE),1,0)</f>
        <v>0</v>
      </c>
      <c r="V63" s="9">
        <f>IF(AND($A63&gt;=VLOOKUP(YEAR($A63),'Festive dates'!$A$2:$J$5,9,FALSE),$A63&lt;=VLOOKUP(YEAR($A63),'Festive dates'!$A$2:$J$5,10,FALSE)),1,0)</f>
        <v>0</v>
      </c>
      <c r="W63" s="9">
        <f>IF($A63=VLOOKUP(YEAR($A63),'Festive dates'!$A$2:$J$5,7,FALSE),1,0)</f>
        <v>0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>
      <c r="A64" s="8">
        <v>45079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f>MAX(-20,MIN(10,$A64-VLOOKUP(YEAR($A64),'Festive dates'!$A$2:$J$5,8,FALSE)))</f>
        <v>-20</v>
      </c>
      <c r="R64" s="9">
        <f>IF(AND($A64&gt;VLOOKUP(YEAR($A64),'Festive dates'!$A$2:$J$5,2,FALSE),$A64&lt;VLOOKUP(YEAR($A64),'Festive dates'!$A$2:$J$5,3,FALSE)),1,0)</f>
        <v>0</v>
      </c>
      <c r="S64" s="9">
        <f>IF($A64=VLOOKUP(YEAR($A64),'Festive dates'!$A$2:$J$5,2,FALSE),1,0)</f>
        <v>0</v>
      </c>
      <c r="T64" s="9">
        <f>IF($A64=VLOOKUP(YEAR($A64),'Festive dates'!$A$2:$J$5,3,FALSE),1,0)</f>
        <v>0</v>
      </c>
      <c r="U64" s="9">
        <f>IF($A64=VLOOKUP(YEAR($A64),'Festive dates'!$A$2:$J$5,4,FALSE),1,0)</f>
        <v>0</v>
      </c>
      <c r="V64" s="9">
        <f>IF(AND($A64&gt;=VLOOKUP(YEAR($A64),'Festive dates'!$A$2:$J$5,9,FALSE),$A64&lt;=VLOOKUP(YEAR($A64),'Festive dates'!$A$2:$J$5,10,FALSE)),1,0)</f>
        <v>0</v>
      </c>
      <c r="W64" s="9">
        <f>IF($A64=VLOOKUP(YEAR($A64),'Festive dates'!$A$2:$J$5,7,FALSE),1,0)</f>
        <v>0</v>
      </c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>
      <c r="A65" s="8">
        <v>45080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f>MAX(-20,MIN(10,$A65-VLOOKUP(YEAR($A65),'Festive dates'!$A$2:$J$5,8,FALSE)))</f>
        <v>-20</v>
      </c>
      <c r="R65" s="9">
        <f>IF(AND($A65&gt;VLOOKUP(YEAR($A65),'Festive dates'!$A$2:$J$5,2,FALSE),$A65&lt;VLOOKUP(YEAR($A65),'Festive dates'!$A$2:$J$5,3,FALSE)),1,0)</f>
        <v>0</v>
      </c>
      <c r="S65" s="9">
        <f>IF($A65=VLOOKUP(YEAR($A65),'Festive dates'!$A$2:$J$5,2,FALSE),1,0)</f>
        <v>0</v>
      </c>
      <c r="T65" s="9">
        <f>IF($A65=VLOOKUP(YEAR($A65),'Festive dates'!$A$2:$J$5,3,FALSE),1,0)</f>
        <v>0</v>
      </c>
      <c r="U65" s="9">
        <f>IF($A65=VLOOKUP(YEAR($A65),'Festive dates'!$A$2:$J$5,4,FALSE),1,0)</f>
        <v>0</v>
      </c>
      <c r="V65" s="9">
        <f>IF(AND($A65&gt;=VLOOKUP(YEAR($A65),'Festive dates'!$A$2:$J$5,9,FALSE),$A65&lt;=VLOOKUP(YEAR($A65),'Festive dates'!$A$2:$J$5,10,FALSE)),1,0)</f>
        <v>0</v>
      </c>
      <c r="W65" s="9">
        <f>IF($A65=VLOOKUP(YEAR($A65),'Festive dates'!$A$2:$J$5,7,FALSE),1,0)</f>
        <v>0</v>
      </c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>
      <c r="A66" s="8">
        <v>45081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1</v>
      </c>
      <c r="Q66" s="9">
        <f>MAX(-20,MIN(10,$A66-VLOOKUP(YEAR($A66),'Festive dates'!$A$2:$J$5,8,FALSE)))</f>
        <v>-20</v>
      </c>
      <c r="R66" s="9">
        <f>IF(AND($A66&gt;VLOOKUP(YEAR($A66),'Festive dates'!$A$2:$J$5,2,FALSE),$A66&lt;VLOOKUP(YEAR($A66),'Festive dates'!$A$2:$J$5,3,FALSE)),1,0)</f>
        <v>0</v>
      </c>
      <c r="S66" s="9">
        <f>IF($A66=VLOOKUP(YEAR($A66),'Festive dates'!$A$2:$J$5,2,FALSE),1,0)</f>
        <v>0</v>
      </c>
      <c r="T66" s="9">
        <f>IF($A66=VLOOKUP(YEAR($A66),'Festive dates'!$A$2:$J$5,3,FALSE),1,0)</f>
        <v>0</v>
      </c>
      <c r="U66" s="9">
        <f>IF($A66=VLOOKUP(YEAR($A66),'Festive dates'!$A$2:$J$5,4,FALSE),1,0)</f>
        <v>0</v>
      </c>
      <c r="V66" s="9">
        <f>IF(AND($A66&gt;=VLOOKUP(YEAR($A66),'Festive dates'!$A$2:$J$5,9,FALSE),$A66&lt;=VLOOKUP(YEAR($A66),'Festive dates'!$A$2:$J$5,10,FALSE)),1,0)</f>
        <v>0</v>
      </c>
      <c r="W66" s="9">
        <f>IF($A66=VLOOKUP(YEAR($A66),'Festive dates'!$A$2:$J$5,7,FALSE),1,0)</f>
        <v>0</v>
      </c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>
      <c r="A67" s="8">
        <v>45082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1</v>
      </c>
      <c r="Q67" s="9">
        <f>MAX(-20,MIN(10,$A67-VLOOKUP(YEAR($A67),'Festive dates'!$A$2:$J$5,8,FALSE)))</f>
        <v>-20</v>
      </c>
      <c r="R67" s="9">
        <f>IF(AND($A67&gt;VLOOKUP(YEAR($A67),'Festive dates'!$A$2:$J$5,2,FALSE),$A67&lt;VLOOKUP(YEAR($A67),'Festive dates'!$A$2:$J$5,3,FALSE)),1,0)</f>
        <v>0</v>
      </c>
      <c r="S67" s="9">
        <f>IF($A67=VLOOKUP(YEAR($A67),'Festive dates'!$A$2:$J$5,2,FALSE),1,0)</f>
        <v>0</v>
      </c>
      <c r="T67" s="9">
        <f>IF($A67=VLOOKUP(YEAR($A67),'Festive dates'!$A$2:$J$5,3,FALSE),1,0)</f>
        <v>0</v>
      </c>
      <c r="U67" s="9">
        <f>IF($A67=VLOOKUP(YEAR($A67),'Festive dates'!$A$2:$J$5,4,FALSE),1,0)</f>
        <v>0</v>
      </c>
      <c r="V67" s="9">
        <f>IF(AND($A67&gt;=VLOOKUP(YEAR($A67),'Festive dates'!$A$2:$J$5,9,FALSE),$A67&lt;=VLOOKUP(YEAR($A67),'Festive dates'!$A$2:$J$5,10,FALSE)),1,0)</f>
        <v>0</v>
      </c>
      <c r="W67" s="9">
        <f>IF($A67=VLOOKUP(YEAR($A67),'Festive dates'!$A$2:$J$5,7,FALSE),1,0)</f>
        <v>0</v>
      </c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>
      <c r="A68" s="8">
        <v>45083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f>MAX(-20,MIN(10,$A68-VLOOKUP(YEAR($A68),'Festive dates'!$A$2:$J$5,8,FALSE)))</f>
        <v>-20</v>
      </c>
      <c r="R68" s="9">
        <f>IF(AND($A68&gt;VLOOKUP(YEAR($A68),'Festive dates'!$A$2:$J$5,2,FALSE),$A68&lt;VLOOKUP(YEAR($A68),'Festive dates'!$A$2:$J$5,3,FALSE)),1,0)</f>
        <v>0</v>
      </c>
      <c r="S68" s="9">
        <f>IF($A68=VLOOKUP(YEAR($A68),'Festive dates'!$A$2:$J$5,2,FALSE),1,0)</f>
        <v>0</v>
      </c>
      <c r="T68" s="9">
        <f>IF($A68=VLOOKUP(YEAR($A68),'Festive dates'!$A$2:$J$5,3,FALSE),1,0)</f>
        <v>0</v>
      </c>
      <c r="U68" s="9">
        <f>IF($A68=VLOOKUP(YEAR($A68),'Festive dates'!$A$2:$J$5,4,FALSE),1,0)</f>
        <v>0</v>
      </c>
      <c r="V68" s="9">
        <f>IF(AND($A68&gt;=VLOOKUP(YEAR($A68),'Festive dates'!$A$2:$J$5,9,FALSE),$A68&lt;=VLOOKUP(YEAR($A68),'Festive dates'!$A$2:$J$5,10,FALSE)),1,0)</f>
        <v>0</v>
      </c>
      <c r="W68" s="9">
        <f>IF($A68=VLOOKUP(YEAR($A68),'Festive dates'!$A$2:$J$5,7,FALSE),1,0)</f>
        <v>0</v>
      </c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>
      <c r="A69" s="8">
        <v>45084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f>MAX(-20,MIN(10,$A69-VLOOKUP(YEAR($A69),'Festive dates'!$A$2:$J$5,8,FALSE)))</f>
        <v>-20</v>
      </c>
      <c r="R69" s="9">
        <f>IF(AND($A69&gt;VLOOKUP(YEAR($A69),'Festive dates'!$A$2:$J$5,2,FALSE),$A69&lt;VLOOKUP(YEAR($A69),'Festive dates'!$A$2:$J$5,3,FALSE)),1,0)</f>
        <v>0</v>
      </c>
      <c r="S69" s="9">
        <f>IF($A69=VLOOKUP(YEAR($A69),'Festive dates'!$A$2:$J$5,2,FALSE),1,0)</f>
        <v>0</v>
      </c>
      <c r="T69" s="9">
        <f>IF($A69=VLOOKUP(YEAR($A69),'Festive dates'!$A$2:$J$5,3,FALSE),1,0)</f>
        <v>0</v>
      </c>
      <c r="U69" s="9">
        <f>IF($A69=VLOOKUP(YEAR($A69),'Festive dates'!$A$2:$J$5,4,FALSE),1,0)</f>
        <v>0</v>
      </c>
      <c r="V69" s="9">
        <f>IF(AND($A69&gt;=VLOOKUP(YEAR($A69),'Festive dates'!$A$2:$J$5,9,FALSE),$A69&lt;=VLOOKUP(YEAR($A69),'Festive dates'!$A$2:$J$5,10,FALSE)),1,0)</f>
        <v>0</v>
      </c>
      <c r="W69" s="9">
        <f>IF($A69=VLOOKUP(YEAR($A69),'Festive dates'!$A$2:$J$5,7,FALSE),1,0)</f>
        <v>0</v>
      </c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>
      <c r="A70" s="8">
        <v>45085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f>MAX(-20,MIN(10,$A70-VLOOKUP(YEAR($A70),'Festive dates'!$A$2:$J$5,8,FALSE)))</f>
        <v>-20</v>
      </c>
      <c r="R70" s="9">
        <f>IF(AND($A70&gt;VLOOKUP(YEAR($A70),'Festive dates'!$A$2:$J$5,2,FALSE),$A70&lt;VLOOKUP(YEAR($A70),'Festive dates'!$A$2:$J$5,3,FALSE)),1,0)</f>
        <v>0</v>
      </c>
      <c r="S70" s="9">
        <f>IF($A70=VLOOKUP(YEAR($A70),'Festive dates'!$A$2:$J$5,2,FALSE),1,0)</f>
        <v>0</v>
      </c>
      <c r="T70" s="9">
        <f>IF($A70=VLOOKUP(YEAR($A70),'Festive dates'!$A$2:$J$5,3,FALSE),1,0)</f>
        <v>0</v>
      </c>
      <c r="U70" s="9">
        <f>IF($A70=VLOOKUP(YEAR($A70),'Festive dates'!$A$2:$J$5,4,FALSE),1,0)</f>
        <v>0</v>
      </c>
      <c r="V70" s="9">
        <f>IF(AND($A70&gt;=VLOOKUP(YEAR($A70),'Festive dates'!$A$2:$J$5,9,FALSE),$A70&lt;=VLOOKUP(YEAR($A70),'Festive dates'!$A$2:$J$5,10,FALSE)),1,0)</f>
        <v>0</v>
      </c>
      <c r="W70" s="9">
        <f>IF($A70=VLOOKUP(YEAR($A70),'Festive dates'!$A$2:$J$5,7,FALSE),1,0)</f>
        <v>0</v>
      </c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>
      <c r="A71" s="8">
        <v>45086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f>MAX(-20,MIN(10,$A71-VLOOKUP(YEAR($A71),'Festive dates'!$A$2:$J$5,8,FALSE)))</f>
        <v>-20</v>
      </c>
      <c r="R71" s="9">
        <f>IF(AND($A71&gt;VLOOKUP(YEAR($A71),'Festive dates'!$A$2:$J$5,2,FALSE),$A71&lt;VLOOKUP(YEAR($A71),'Festive dates'!$A$2:$J$5,3,FALSE)),1,0)</f>
        <v>0</v>
      </c>
      <c r="S71" s="9">
        <f>IF($A71=VLOOKUP(YEAR($A71),'Festive dates'!$A$2:$J$5,2,FALSE),1,0)</f>
        <v>0</v>
      </c>
      <c r="T71" s="9">
        <f>IF($A71=VLOOKUP(YEAR($A71),'Festive dates'!$A$2:$J$5,3,FALSE),1,0)</f>
        <v>0</v>
      </c>
      <c r="U71" s="9">
        <f>IF($A71=VLOOKUP(YEAR($A71),'Festive dates'!$A$2:$J$5,4,FALSE),1,0)</f>
        <v>0</v>
      </c>
      <c r="V71" s="9">
        <f>IF(AND($A71&gt;=VLOOKUP(YEAR($A71),'Festive dates'!$A$2:$J$5,9,FALSE),$A71&lt;=VLOOKUP(YEAR($A71),'Festive dates'!$A$2:$J$5,10,FALSE)),1,0)</f>
        <v>0</v>
      </c>
      <c r="W71" s="9">
        <f>IF($A71=VLOOKUP(YEAR($A71),'Festive dates'!$A$2:$J$5,7,FALSE),1,0)</f>
        <v>0</v>
      </c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>
      <c r="A72" s="8">
        <v>45087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f>MAX(-20,MIN(10,$A72-VLOOKUP(YEAR($A72),'Festive dates'!$A$2:$J$5,8,FALSE)))</f>
        <v>-20</v>
      </c>
      <c r="R72" s="9">
        <f>IF(AND($A72&gt;VLOOKUP(YEAR($A72),'Festive dates'!$A$2:$J$5,2,FALSE),$A72&lt;VLOOKUP(YEAR($A72),'Festive dates'!$A$2:$J$5,3,FALSE)),1,0)</f>
        <v>0</v>
      </c>
      <c r="S72" s="9">
        <f>IF($A72=VLOOKUP(YEAR($A72),'Festive dates'!$A$2:$J$5,2,FALSE),1,0)</f>
        <v>0</v>
      </c>
      <c r="T72" s="9">
        <f>IF($A72=VLOOKUP(YEAR($A72),'Festive dates'!$A$2:$J$5,3,FALSE),1,0)</f>
        <v>0</v>
      </c>
      <c r="U72" s="9">
        <f>IF($A72=VLOOKUP(YEAR($A72),'Festive dates'!$A$2:$J$5,4,FALSE),1,0)</f>
        <v>0</v>
      </c>
      <c r="V72" s="9">
        <f>IF(AND($A72&gt;=VLOOKUP(YEAR($A72),'Festive dates'!$A$2:$J$5,9,FALSE),$A72&lt;=VLOOKUP(YEAR($A72),'Festive dates'!$A$2:$J$5,10,FALSE)),1,0)</f>
        <v>0</v>
      </c>
      <c r="W72" s="9">
        <f>IF($A72=VLOOKUP(YEAR($A72),'Festive dates'!$A$2:$J$5,7,FALSE),1,0)</f>
        <v>0</v>
      </c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>
      <c r="A73" s="8">
        <v>45088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f>MAX(-20,MIN(10,$A73-VLOOKUP(YEAR($A73),'Festive dates'!$A$2:$J$5,8,FALSE)))</f>
        <v>-20</v>
      </c>
      <c r="R73" s="9">
        <f>IF(AND($A73&gt;VLOOKUP(YEAR($A73),'Festive dates'!$A$2:$J$5,2,FALSE),$A73&lt;VLOOKUP(YEAR($A73),'Festive dates'!$A$2:$J$5,3,FALSE)),1,0)</f>
        <v>0</v>
      </c>
      <c r="S73" s="9">
        <f>IF($A73=VLOOKUP(YEAR($A73),'Festive dates'!$A$2:$J$5,2,FALSE),1,0)</f>
        <v>0</v>
      </c>
      <c r="T73" s="9">
        <f>IF($A73=VLOOKUP(YEAR($A73),'Festive dates'!$A$2:$J$5,3,FALSE),1,0)</f>
        <v>0</v>
      </c>
      <c r="U73" s="9">
        <f>IF($A73=VLOOKUP(YEAR($A73),'Festive dates'!$A$2:$J$5,4,FALSE),1,0)</f>
        <v>0</v>
      </c>
      <c r="V73" s="9">
        <f>IF(AND($A73&gt;=VLOOKUP(YEAR($A73),'Festive dates'!$A$2:$J$5,9,FALSE),$A73&lt;=VLOOKUP(YEAR($A73),'Festive dates'!$A$2:$J$5,10,FALSE)),1,0)</f>
        <v>0</v>
      </c>
      <c r="W73" s="9">
        <f>IF($A73=VLOOKUP(YEAR($A73),'Festive dates'!$A$2:$J$5,7,FALSE),1,0)</f>
        <v>0</v>
      </c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>
      <c r="A74" s="8">
        <v>45089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f>MAX(-20,MIN(10,$A74-VLOOKUP(YEAR($A74),'Festive dates'!$A$2:$J$5,8,FALSE)))</f>
        <v>-20</v>
      </c>
      <c r="R74" s="9">
        <f>IF(AND($A74&gt;VLOOKUP(YEAR($A74),'Festive dates'!$A$2:$J$5,2,FALSE),$A74&lt;VLOOKUP(YEAR($A74),'Festive dates'!$A$2:$J$5,3,FALSE)),1,0)</f>
        <v>0</v>
      </c>
      <c r="S74" s="9">
        <f>IF($A74=VLOOKUP(YEAR($A74),'Festive dates'!$A$2:$J$5,2,FALSE),1,0)</f>
        <v>0</v>
      </c>
      <c r="T74" s="9">
        <f>IF($A74=VLOOKUP(YEAR($A74),'Festive dates'!$A$2:$J$5,3,FALSE),1,0)</f>
        <v>0</v>
      </c>
      <c r="U74" s="9">
        <f>IF($A74=VLOOKUP(YEAR($A74),'Festive dates'!$A$2:$J$5,4,FALSE),1,0)</f>
        <v>0</v>
      </c>
      <c r="V74" s="9">
        <f>IF(AND($A74&gt;=VLOOKUP(YEAR($A74),'Festive dates'!$A$2:$J$5,9,FALSE),$A74&lt;=VLOOKUP(YEAR($A74),'Festive dates'!$A$2:$J$5,10,FALSE)),1,0)</f>
        <v>0</v>
      </c>
      <c r="W74" s="9">
        <f>IF($A74=VLOOKUP(YEAR($A74),'Festive dates'!$A$2:$J$5,7,FALSE),1,0)</f>
        <v>0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>
      <c r="A75" s="8">
        <v>45090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f>MAX(-20,MIN(10,$A75-VLOOKUP(YEAR($A75),'Festive dates'!$A$2:$J$5,8,FALSE)))</f>
        <v>-20</v>
      </c>
      <c r="R75" s="9">
        <f>IF(AND($A75&gt;VLOOKUP(YEAR($A75),'Festive dates'!$A$2:$J$5,2,FALSE),$A75&lt;VLOOKUP(YEAR($A75),'Festive dates'!$A$2:$J$5,3,FALSE)),1,0)</f>
        <v>0</v>
      </c>
      <c r="S75" s="9">
        <f>IF($A75=VLOOKUP(YEAR($A75),'Festive dates'!$A$2:$J$5,2,FALSE),1,0)</f>
        <v>0</v>
      </c>
      <c r="T75" s="9">
        <f>IF($A75=VLOOKUP(YEAR($A75),'Festive dates'!$A$2:$J$5,3,FALSE),1,0)</f>
        <v>0</v>
      </c>
      <c r="U75" s="9">
        <f>IF($A75=VLOOKUP(YEAR($A75),'Festive dates'!$A$2:$J$5,4,FALSE),1,0)</f>
        <v>0</v>
      </c>
      <c r="V75" s="9">
        <f>IF(AND($A75&gt;=VLOOKUP(YEAR($A75),'Festive dates'!$A$2:$J$5,9,FALSE),$A75&lt;=VLOOKUP(YEAR($A75),'Festive dates'!$A$2:$J$5,10,FALSE)),1,0)</f>
        <v>0</v>
      </c>
      <c r="W75" s="9">
        <f>IF($A75=VLOOKUP(YEAR($A75),'Festive dates'!$A$2:$J$5,7,FALSE),1,0)</f>
        <v>0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>
      <c r="A76" s="8">
        <v>45091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f>MAX(-20,MIN(10,$A76-VLOOKUP(YEAR($A76),'Festive dates'!$A$2:$J$5,8,FALSE)))</f>
        <v>-20</v>
      </c>
      <c r="R76" s="9">
        <f>IF(AND($A76&gt;VLOOKUP(YEAR($A76),'Festive dates'!$A$2:$J$5,2,FALSE),$A76&lt;VLOOKUP(YEAR($A76),'Festive dates'!$A$2:$J$5,3,FALSE)),1,0)</f>
        <v>0</v>
      </c>
      <c r="S76" s="9">
        <f>IF($A76=VLOOKUP(YEAR($A76),'Festive dates'!$A$2:$J$5,2,FALSE),1,0)</f>
        <v>0</v>
      </c>
      <c r="T76" s="9">
        <f>IF($A76=VLOOKUP(YEAR($A76),'Festive dates'!$A$2:$J$5,3,FALSE),1,0)</f>
        <v>0</v>
      </c>
      <c r="U76" s="9">
        <f>IF($A76=VLOOKUP(YEAR($A76),'Festive dates'!$A$2:$J$5,4,FALSE),1,0)</f>
        <v>0</v>
      </c>
      <c r="V76" s="9">
        <f>IF(AND($A76&gt;=VLOOKUP(YEAR($A76),'Festive dates'!$A$2:$J$5,9,FALSE),$A76&lt;=VLOOKUP(YEAR($A76),'Festive dates'!$A$2:$J$5,10,FALSE)),1,0)</f>
        <v>0</v>
      </c>
      <c r="W76" s="9">
        <f>IF($A76=VLOOKUP(YEAR($A76),'Festive dates'!$A$2:$J$5,7,FALSE),1,0)</f>
        <v>0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>
      <c r="A77" s="8">
        <v>45092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f>MAX(-20,MIN(10,$A77-VLOOKUP(YEAR($A77),'Festive dates'!$A$2:$J$5,8,FALSE)))</f>
        <v>-20</v>
      </c>
      <c r="R77" s="9">
        <f>IF(AND($A77&gt;VLOOKUP(YEAR($A77),'Festive dates'!$A$2:$J$5,2,FALSE),$A77&lt;VLOOKUP(YEAR($A77),'Festive dates'!$A$2:$J$5,3,FALSE)),1,0)</f>
        <v>0</v>
      </c>
      <c r="S77" s="9">
        <f>IF($A77=VLOOKUP(YEAR($A77),'Festive dates'!$A$2:$J$5,2,FALSE),1,0)</f>
        <v>0</v>
      </c>
      <c r="T77" s="9">
        <f>IF($A77=VLOOKUP(YEAR($A77),'Festive dates'!$A$2:$J$5,3,FALSE),1,0)</f>
        <v>0</v>
      </c>
      <c r="U77" s="9">
        <f>IF($A77=VLOOKUP(YEAR($A77),'Festive dates'!$A$2:$J$5,4,FALSE),1,0)</f>
        <v>0</v>
      </c>
      <c r="V77" s="9">
        <f>IF(AND($A77&gt;=VLOOKUP(YEAR($A77),'Festive dates'!$A$2:$J$5,9,FALSE),$A77&lt;=VLOOKUP(YEAR($A77),'Festive dates'!$A$2:$J$5,10,FALSE)),1,0)</f>
        <v>0</v>
      </c>
      <c r="W77" s="9">
        <f>IF($A77=VLOOKUP(YEAR($A77),'Festive dates'!$A$2:$J$5,7,FALSE),1,0)</f>
        <v>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>
      <c r="A78" s="8">
        <v>45093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1</v>
      </c>
      <c r="Q78" s="9">
        <f>MAX(-20,MIN(10,$A78-VLOOKUP(YEAR($A78),'Festive dates'!$A$2:$J$5,8,FALSE)))</f>
        <v>-20</v>
      </c>
      <c r="R78" s="9">
        <f>IF(AND($A78&gt;VLOOKUP(YEAR($A78),'Festive dates'!$A$2:$J$5,2,FALSE),$A78&lt;VLOOKUP(YEAR($A78),'Festive dates'!$A$2:$J$5,3,FALSE)),1,0)</f>
        <v>0</v>
      </c>
      <c r="S78" s="9">
        <f>IF($A78=VLOOKUP(YEAR($A78),'Festive dates'!$A$2:$J$5,2,FALSE),1,0)</f>
        <v>0</v>
      </c>
      <c r="T78" s="9">
        <f>IF($A78=VLOOKUP(YEAR($A78),'Festive dates'!$A$2:$J$5,3,FALSE),1,0)</f>
        <v>0</v>
      </c>
      <c r="U78" s="9">
        <f>IF($A78=VLOOKUP(YEAR($A78),'Festive dates'!$A$2:$J$5,4,FALSE),1,0)</f>
        <v>0</v>
      </c>
      <c r="V78" s="9">
        <f>IF(AND($A78&gt;=VLOOKUP(YEAR($A78),'Festive dates'!$A$2:$J$5,9,FALSE),$A78&lt;=VLOOKUP(YEAR($A78),'Festive dates'!$A$2:$J$5,10,FALSE)),1,0)</f>
        <v>0</v>
      </c>
      <c r="W78" s="9">
        <f>IF($A78=VLOOKUP(YEAR($A78),'Festive dates'!$A$2:$J$5,7,FALSE),1,0)</f>
        <v>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>
      <c r="A79" s="8">
        <v>45094</v>
      </c>
      <c r="B79" s="9">
        <v>0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1</v>
      </c>
      <c r="Q79" s="9">
        <f>MAX(-20,MIN(10,$A79-VLOOKUP(YEAR($A79),'Festive dates'!$A$2:$J$5,8,FALSE)))</f>
        <v>-20</v>
      </c>
      <c r="R79" s="9">
        <f>IF(AND($A79&gt;VLOOKUP(YEAR($A79),'Festive dates'!$A$2:$J$5,2,FALSE),$A79&lt;VLOOKUP(YEAR($A79),'Festive dates'!$A$2:$J$5,3,FALSE)),1,0)</f>
        <v>0</v>
      </c>
      <c r="S79" s="9">
        <f>IF($A79=VLOOKUP(YEAR($A79),'Festive dates'!$A$2:$J$5,2,FALSE),1,0)</f>
        <v>0</v>
      </c>
      <c r="T79" s="9">
        <f>IF($A79=VLOOKUP(YEAR($A79),'Festive dates'!$A$2:$J$5,3,FALSE),1,0)</f>
        <v>0</v>
      </c>
      <c r="U79" s="9">
        <f>IF($A79=VLOOKUP(YEAR($A79),'Festive dates'!$A$2:$J$5,4,FALSE),1,0)</f>
        <v>0</v>
      </c>
      <c r="V79" s="9">
        <f>IF(AND($A79&gt;=VLOOKUP(YEAR($A79),'Festive dates'!$A$2:$J$5,9,FALSE),$A79&lt;=VLOOKUP(YEAR($A79),'Festive dates'!$A$2:$J$5,10,FALSE)),1,0)</f>
        <v>0</v>
      </c>
      <c r="W79" s="9">
        <f>IF($A79=VLOOKUP(YEAR($A79),'Festive dates'!$A$2:$J$5,7,FALSE),1,0)</f>
        <v>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>
      <c r="A80" s="8">
        <v>45095</v>
      </c>
      <c r="B80" s="9">
        <v>0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f>MAX(-20,MIN(10,$A80-VLOOKUP(YEAR($A80),'Festive dates'!$A$2:$J$5,8,FALSE)))</f>
        <v>-20</v>
      </c>
      <c r="R80" s="9">
        <f>IF(AND($A80&gt;VLOOKUP(YEAR($A80),'Festive dates'!$A$2:$J$5,2,FALSE),$A80&lt;VLOOKUP(YEAR($A80),'Festive dates'!$A$2:$J$5,3,FALSE)),1,0)</f>
        <v>0</v>
      </c>
      <c r="S80" s="9">
        <f>IF($A80=VLOOKUP(YEAR($A80),'Festive dates'!$A$2:$J$5,2,FALSE),1,0)</f>
        <v>0</v>
      </c>
      <c r="T80" s="9">
        <f>IF($A80=VLOOKUP(YEAR($A80),'Festive dates'!$A$2:$J$5,3,FALSE),1,0)</f>
        <v>0</v>
      </c>
      <c r="U80" s="9">
        <f>IF($A80=VLOOKUP(YEAR($A80),'Festive dates'!$A$2:$J$5,4,FALSE),1,0)</f>
        <v>0</v>
      </c>
      <c r="V80" s="9">
        <f>IF(AND($A80&gt;=VLOOKUP(YEAR($A80),'Festive dates'!$A$2:$J$5,9,FALSE),$A80&lt;=VLOOKUP(YEAR($A80),'Festive dates'!$A$2:$J$5,10,FALSE)),1,0)</f>
        <v>0</v>
      </c>
      <c r="W80" s="9">
        <f>IF($A80=VLOOKUP(YEAR($A80),'Festive dates'!$A$2:$J$5,7,FALSE),1,0)</f>
        <v>0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>
      <c r="A81" s="8">
        <v>45096</v>
      </c>
      <c r="B81" s="9">
        <v>0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1</v>
      </c>
      <c r="Q81" s="9">
        <f>MAX(-20,MIN(10,$A81-VLOOKUP(YEAR($A81),'Festive dates'!$A$2:$J$5,8,FALSE)))</f>
        <v>-20</v>
      </c>
      <c r="R81" s="9">
        <f>IF(AND($A81&gt;VLOOKUP(YEAR($A81),'Festive dates'!$A$2:$J$5,2,FALSE),$A81&lt;VLOOKUP(YEAR($A81),'Festive dates'!$A$2:$J$5,3,FALSE)),1,0)</f>
        <v>0</v>
      </c>
      <c r="S81" s="9">
        <f>IF($A81=VLOOKUP(YEAR($A81),'Festive dates'!$A$2:$J$5,2,FALSE),1,0)</f>
        <v>0</v>
      </c>
      <c r="T81" s="9">
        <f>IF($A81=VLOOKUP(YEAR($A81),'Festive dates'!$A$2:$J$5,3,FALSE),1,0)</f>
        <v>0</v>
      </c>
      <c r="U81" s="9">
        <f>IF($A81=VLOOKUP(YEAR($A81),'Festive dates'!$A$2:$J$5,4,FALSE),1,0)</f>
        <v>0</v>
      </c>
      <c r="V81" s="9">
        <f>IF(AND($A81&gt;=VLOOKUP(YEAR($A81),'Festive dates'!$A$2:$J$5,9,FALSE),$A81&lt;=VLOOKUP(YEAR($A81),'Festive dates'!$A$2:$J$5,10,FALSE)),1,0)</f>
        <v>0</v>
      </c>
      <c r="W81" s="9">
        <f>IF($A81=VLOOKUP(YEAR($A81),'Festive dates'!$A$2:$J$5,7,FALSE),1,0)</f>
        <v>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>
      <c r="A82" s="8">
        <v>45097</v>
      </c>
      <c r="B82" s="9">
        <v>0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1</v>
      </c>
      <c r="M82" s="9">
        <v>0</v>
      </c>
      <c r="N82" s="9">
        <v>0</v>
      </c>
      <c r="O82" s="9">
        <v>0</v>
      </c>
      <c r="P82" s="9">
        <v>1</v>
      </c>
      <c r="Q82" s="9">
        <f>MAX(-20,MIN(10,$A82-VLOOKUP(YEAR($A82),'Festive dates'!$A$2:$J$5,8,FALSE)))</f>
        <v>-20</v>
      </c>
      <c r="R82" s="9">
        <f>IF(AND($A82&gt;VLOOKUP(YEAR($A82),'Festive dates'!$A$2:$J$5,2,FALSE),$A82&lt;VLOOKUP(YEAR($A82),'Festive dates'!$A$2:$J$5,3,FALSE)),1,0)</f>
        <v>0</v>
      </c>
      <c r="S82" s="9">
        <f>IF($A82=VLOOKUP(YEAR($A82),'Festive dates'!$A$2:$J$5,2,FALSE),1,0)</f>
        <v>0</v>
      </c>
      <c r="T82" s="9">
        <f>IF($A82=VLOOKUP(YEAR($A82),'Festive dates'!$A$2:$J$5,3,FALSE),1,0)</f>
        <v>0</v>
      </c>
      <c r="U82" s="9">
        <f>IF($A82=VLOOKUP(YEAR($A82),'Festive dates'!$A$2:$J$5,4,FALSE),1,0)</f>
        <v>0</v>
      </c>
      <c r="V82" s="9">
        <f>IF(AND($A82&gt;=VLOOKUP(YEAR($A82),'Festive dates'!$A$2:$J$5,9,FALSE),$A82&lt;=VLOOKUP(YEAR($A82),'Festive dates'!$A$2:$J$5,10,FALSE)),1,0)</f>
        <v>0</v>
      </c>
      <c r="W82" s="9">
        <f>IF($A82=VLOOKUP(YEAR($A82),'Festive dates'!$A$2:$J$5,7,FALSE),1,0)</f>
        <v>0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>
      <c r="A83" s="8">
        <v>45098</v>
      </c>
      <c r="B83" s="9">
        <v>0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f>MAX(-20,MIN(10,$A83-VLOOKUP(YEAR($A83),'Festive dates'!$A$2:$J$5,8,FALSE)))</f>
        <v>-20</v>
      </c>
      <c r="R83" s="9">
        <f>IF(AND($A83&gt;VLOOKUP(YEAR($A83),'Festive dates'!$A$2:$J$5,2,FALSE),$A83&lt;VLOOKUP(YEAR($A83),'Festive dates'!$A$2:$J$5,3,FALSE)),1,0)</f>
        <v>0</v>
      </c>
      <c r="S83" s="9">
        <f>IF($A83=VLOOKUP(YEAR($A83),'Festive dates'!$A$2:$J$5,2,FALSE),1,0)</f>
        <v>0</v>
      </c>
      <c r="T83" s="9">
        <f>IF($A83=VLOOKUP(YEAR($A83),'Festive dates'!$A$2:$J$5,3,FALSE),1,0)</f>
        <v>0</v>
      </c>
      <c r="U83" s="9">
        <f>IF($A83=VLOOKUP(YEAR($A83),'Festive dates'!$A$2:$J$5,4,FALSE),1,0)</f>
        <v>0</v>
      </c>
      <c r="V83" s="9">
        <f>IF(AND($A83&gt;=VLOOKUP(YEAR($A83),'Festive dates'!$A$2:$J$5,9,FALSE),$A83&lt;=VLOOKUP(YEAR($A83),'Festive dates'!$A$2:$J$5,10,FALSE)),1,0)</f>
        <v>0</v>
      </c>
      <c r="W83" s="9">
        <f>IF($A83=VLOOKUP(YEAR($A83),'Festive dates'!$A$2:$J$5,7,FALSE),1,0)</f>
        <v>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>
      <c r="A84" s="8">
        <v>45099</v>
      </c>
      <c r="B84" s="9">
        <v>0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f>MAX(-20,MIN(10,$A84-VLOOKUP(YEAR($A84),'Festive dates'!$A$2:$J$5,8,FALSE)))</f>
        <v>-20</v>
      </c>
      <c r="R84" s="9">
        <f>IF(AND($A84&gt;VLOOKUP(YEAR($A84),'Festive dates'!$A$2:$J$5,2,FALSE),$A84&lt;VLOOKUP(YEAR($A84),'Festive dates'!$A$2:$J$5,3,FALSE)),1,0)</f>
        <v>0</v>
      </c>
      <c r="S84" s="9">
        <f>IF($A84=VLOOKUP(YEAR($A84),'Festive dates'!$A$2:$J$5,2,FALSE),1,0)</f>
        <v>0</v>
      </c>
      <c r="T84" s="9">
        <f>IF($A84=VLOOKUP(YEAR($A84),'Festive dates'!$A$2:$J$5,3,FALSE),1,0)</f>
        <v>0</v>
      </c>
      <c r="U84" s="9">
        <f>IF($A84=VLOOKUP(YEAR($A84),'Festive dates'!$A$2:$J$5,4,FALSE),1,0)</f>
        <v>0</v>
      </c>
      <c r="V84" s="9">
        <f>IF(AND($A84&gt;=VLOOKUP(YEAR($A84),'Festive dates'!$A$2:$J$5,9,FALSE),$A84&lt;=VLOOKUP(YEAR($A84),'Festive dates'!$A$2:$J$5,10,FALSE)),1,0)</f>
        <v>0</v>
      </c>
      <c r="W84" s="9">
        <f>IF($A84=VLOOKUP(YEAR($A84),'Festive dates'!$A$2:$J$5,7,FALSE),1,0)</f>
        <v>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>
      <c r="A85" s="8">
        <v>45100</v>
      </c>
      <c r="B85" s="9">
        <v>0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f>MAX(-20,MIN(10,$A85-VLOOKUP(YEAR($A85),'Festive dates'!$A$2:$J$5,8,FALSE)))</f>
        <v>-20</v>
      </c>
      <c r="R85" s="9">
        <f>IF(AND($A85&gt;VLOOKUP(YEAR($A85),'Festive dates'!$A$2:$J$5,2,FALSE),$A85&lt;VLOOKUP(YEAR($A85),'Festive dates'!$A$2:$J$5,3,FALSE)),1,0)</f>
        <v>0</v>
      </c>
      <c r="S85" s="9">
        <f>IF($A85=VLOOKUP(YEAR($A85),'Festive dates'!$A$2:$J$5,2,FALSE),1,0)</f>
        <v>0</v>
      </c>
      <c r="T85" s="9">
        <f>IF($A85=VLOOKUP(YEAR($A85),'Festive dates'!$A$2:$J$5,3,FALSE),1,0)</f>
        <v>0</v>
      </c>
      <c r="U85" s="9">
        <f>IF($A85=VLOOKUP(YEAR($A85),'Festive dates'!$A$2:$J$5,4,FALSE),1,0)</f>
        <v>0</v>
      </c>
      <c r="V85" s="9">
        <f>IF(AND($A85&gt;=VLOOKUP(YEAR($A85),'Festive dates'!$A$2:$J$5,9,FALSE),$A85&lt;=VLOOKUP(YEAR($A85),'Festive dates'!$A$2:$J$5,10,FALSE)),1,0)</f>
        <v>0</v>
      </c>
      <c r="W85" s="9">
        <f>IF($A85=VLOOKUP(YEAR($A85),'Festive dates'!$A$2:$J$5,7,FALSE),1,0)</f>
        <v>0</v>
      </c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>
      <c r="A86" s="8">
        <v>45101</v>
      </c>
      <c r="B86" s="9">
        <v>0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f>MAX(-20,MIN(10,$A86-VLOOKUP(YEAR($A86),'Festive dates'!$A$2:$J$5,8,FALSE)))</f>
        <v>-20</v>
      </c>
      <c r="R86" s="9">
        <f>IF(AND($A86&gt;VLOOKUP(YEAR($A86),'Festive dates'!$A$2:$J$5,2,FALSE),$A86&lt;VLOOKUP(YEAR($A86),'Festive dates'!$A$2:$J$5,3,FALSE)),1,0)</f>
        <v>0</v>
      </c>
      <c r="S86" s="9">
        <f>IF($A86=VLOOKUP(YEAR($A86),'Festive dates'!$A$2:$J$5,2,FALSE),1,0)</f>
        <v>0</v>
      </c>
      <c r="T86" s="9">
        <f>IF($A86=VLOOKUP(YEAR($A86),'Festive dates'!$A$2:$J$5,3,FALSE),1,0)</f>
        <v>0</v>
      </c>
      <c r="U86" s="9">
        <f>IF($A86=VLOOKUP(YEAR($A86),'Festive dates'!$A$2:$J$5,4,FALSE),1,0)</f>
        <v>0</v>
      </c>
      <c r="V86" s="9">
        <f>IF(AND($A86&gt;=VLOOKUP(YEAR($A86),'Festive dates'!$A$2:$J$5,9,FALSE),$A86&lt;=VLOOKUP(YEAR($A86),'Festive dates'!$A$2:$J$5,10,FALSE)),1,0)</f>
        <v>0</v>
      </c>
      <c r="W86" s="9">
        <f>IF($A86=VLOOKUP(YEAR($A86),'Festive dates'!$A$2:$J$5,7,FALSE),1,0)</f>
        <v>0</v>
      </c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>
      <c r="A87" s="8">
        <v>45102</v>
      </c>
      <c r="B87" s="9">
        <v>0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9">
        <v>0</v>
      </c>
      <c r="N87" s="9">
        <v>0</v>
      </c>
      <c r="O87" s="9">
        <v>0</v>
      </c>
      <c r="P87" s="9">
        <v>0</v>
      </c>
      <c r="Q87" s="9">
        <f>MAX(-20,MIN(10,$A87-VLOOKUP(YEAR($A87),'Festive dates'!$A$2:$J$5,8,FALSE)))</f>
        <v>-20</v>
      </c>
      <c r="R87" s="9">
        <f>IF(AND($A87&gt;VLOOKUP(YEAR($A87),'Festive dates'!$A$2:$J$5,2,FALSE),$A87&lt;VLOOKUP(YEAR($A87),'Festive dates'!$A$2:$J$5,3,FALSE)),1,0)</f>
        <v>0</v>
      </c>
      <c r="S87" s="9">
        <f>IF($A87=VLOOKUP(YEAR($A87),'Festive dates'!$A$2:$J$5,2,FALSE),1,0)</f>
        <v>0</v>
      </c>
      <c r="T87" s="9">
        <f>IF($A87=VLOOKUP(YEAR($A87),'Festive dates'!$A$2:$J$5,3,FALSE),1,0)</f>
        <v>0</v>
      </c>
      <c r="U87" s="9">
        <f>IF($A87=VLOOKUP(YEAR($A87),'Festive dates'!$A$2:$J$5,4,FALSE),1,0)</f>
        <v>0</v>
      </c>
      <c r="V87" s="9">
        <f>IF(AND($A87&gt;=VLOOKUP(YEAR($A87),'Festive dates'!$A$2:$J$5,9,FALSE),$A87&lt;=VLOOKUP(YEAR($A87),'Festive dates'!$A$2:$J$5,10,FALSE)),1,0)</f>
        <v>0</v>
      </c>
      <c r="W87" s="9">
        <f>IF($A87=VLOOKUP(YEAR($A87),'Festive dates'!$A$2:$J$5,7,FALSE),1,0)</f>
        <v>0</v>
      </c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>
      <c r="A88" s="8">
        <v>45103</v>
      </c>
      <c r="B88" s="9">
        <v>0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f>MAX(-20,MIN(10,$A88-VLOOKUP(YEAR($A88),'Festive dates'!$A$2:$J$5,8,FALSE)))</f>
        <v>-20</v>
      </c>
      <c r="R88" s="9">
        <f>IF(AND($A88&gt;VLOOKUP(YEAR($A88),'Festive dates'!$A$2:$J$5,2,FALSE),$A88&lt;VLOOKUP(YEAR($A88),'Festive dates'!$A$2:$J$5,3,FALSE)),1,0)</f>
        <v>0</v>
      </c>
      <c r="S88" s="9">
        <f>IF($A88=VLOOKUP(YEAR($A88),'Festive dates'!$A$2:$J$5,2,FALSE),1,0)</f>
        <v>0</v>
      </c>
      <c r="T88" s="9">
        <f>IF($A88=VLOOKUP(YEAR($A88),'Festive dates'!$A$2:$J$5,3,FALSE),1,0)</f>
        <v>0</v>
      </c>
      <c r="U88" s="9">
        <f>IF($A88=VLOOKUP(YEAR($A88),'Festive dates'!$A$2:$J$5,4,FALSE),1,0)</f>
        <v>0</v>
      </c>
      <c r="V88" s="9">
        <f>IF(AND($A88&gt;=VLOOKUP(YEAR($A88),'Festive dates'!$A$2:$J$5,9,FALSE),$A88&lt;=VLOOKUP(YEAR($A88),'Festive dates'!$A$2:$J$5,10,FALSE)),1,0)</f>
        <v>0</v>
      </c>
      <c r="W88" s="9">
        <f>IF($A88=VLOOKUP(YEAR($A88),'Festive dates'!$A$2:$J$5,7,FALSE),1,0)</f>
        <v>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>
      <c r="A89" s="8">
        <v>45104</v>
      </c>
      <c r="B89" s="9">
        <v>0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f>MAX(-20,MIN(10,$A89-VLOOKUP(YEAR($A89),'Festive dates'!$A$2:$J$5,8,FALSE)))</f>
        <v>-20</v>
      </c>
      <c r="R89" s="9">
        <f>IF(AND($A89&gt;VLOOKUP(YEAR($A89),'Festive dates'!$A$2:$J$5,2,FALSE),$A89&lt;VLOOKUP(YEAR($A89),'Festive dates'!$A$2:$J$5,3,FALSE)),1,0)</f>
        <v>0</v>
      </c>
      <c r="S89" s="9">
        <f>IF($A89=VLOOKUP(YEAR($A89),'Festive dates'!$A$2:$J$5,2,FALSE),1,0)</f>
        <v>0</v>
      </c>
      <c r="T89" s="9">
        <f>IF($A89=VLOOKUP(YEAR($A89),'Festive dates'!$A$2:$J$5,3,FALSE),1,0)</f>
        <v>0</v>
      </c>
      <c r="U89" s="9">
        <f>IF($A89=VLOOKUP(YEAR($A89),'Festive dates'!$A$2:$J$5,4,FALSE),1,0)</f>
        <v>0</v>
      </c>
      <c r="V89" s="9">
        <f>IF(AND($A89&gt;=VLOOKUP(YEAR($A89),'Festive dates'!$A$2:$J$5,9,FALSE),$A89&lt;=VLOOKUP(YEAR($A89),'Festive dates'!$A$2:$J$5,10,FALSE)),1,0)</f>
        <v>0</v>
      </c>
      <c r="W89" s="9">
        <f>IF($A89=VLOOKUP(YEAR($A89),'Festive dates'!$A$2:$J$5,7,FALSE),1,0)</f>
        <v>0</v>
      </c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>
      <c r="A90" s="8">
        <v>45105</v>
      </c>
      <c r="B90" s="9">
        <v>0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f>MAX(-20,MIN(10,$A90-VLOOKUP(YEAR($A90),'Festive dates'!$A$2:$J$5,8,FALSE)))</f>
        <v>-20</v>
      </c>
      <c r="R90" s="9">
        <f>IF(AND($A90&gt;VLOOKUP(YEAR($A90),'Festive dates'!$A$2:$J$5,2,FALSE),$A90&lt;VLOOKUP(YEAR($A90),'Festive dates'!$A$2:$J$5,3,FALSE)),1,0)</f>
        <v>0</v>
      </c>
      <c r="S90" s="9">
        <f>IF($A90=VLOOKUP(YEAR($A90),'Festive dates'!$A$2:$J$5,2,FALSE),1,0)</f>
        <v>0</v>
      </c>
      <c r="T90" s="9">
        <f>IF($A90=VLOOKUP(YEAR($A90),'Festive dates'!$A$2:$J$5,3,FALSE),1,0)</f>
        <v>0</v>
      </c>
      <c r="U90" s="9">
        <f>IF($A90=VLOOKUP(YEAR($A90),'Festive dates'!$A$2:$J$5,4,FALSE),1,0)</f>
        <v>0</v>
      </c>
      <c r="V90" s="9">
        <f>IF(AND($A90&gt;=VLOOKUP(YEAR($A90),'Festive dates'!$A$2:$J$5,9,FALSE),$A90&lt;=VLOOKUP(YEAR($A90),'Festive dates'!$A$2:$J$5,10,FALSE)),1,0)</f>
        <v>0</v>
      </c>
      <c r="W90" s="9">
        <f>IF($A90=VLOOKUP(YEAR($A90),'Festive dates'!$A$2:$J$5,7,FALSE),1,0)</f>
        <v>0</v>
      </c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>
      <c r="A91" s="8">
        <v>45106</v>
      </c>
      <c r="B91" s="9">
        <v>0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f>MAX(-20,MIN(10,$A91-VLOOKUP(YEAR($A91),'Festive dates'!$A$2:$J$5,8,FALSE)))</f>
        <v>-20</v>
      </c>
      <c r="R91" s="9">
        <f>IF(AND($A91&gt;VLOOKUP(YEAR($A91),'Festive dates'!$A$2:$J$5,2,FALSE),$A91&lt;VLOOKUP(YEAR($A91),'Festive dates'!$A$2:$J$5,3,FALSE)),1,0)</f>
        <v>0</v>
      </c>
      <c r="S91" s="9">
        <f>IF($A91=VLOOKUP(YEAR($A91),'Festive dates'!$A$2:$J$5,2,FALSE),1,0)</f>
        <v>0</v>
      </c>
      <c r="T91" s="9">
        <f>IF($A91=VLOOKUP(YEAR($A91),'Festive dates'!$A$2:$J$5,3,FALSE),1,0)</f>
        <v>0</v>
      </c>
      <c r="U91" s="9">
        <f>IF($A91=VLOOKUP(YEAR($A91),'Festive dates'!$A$2:$J$5,4,FALSE),1,0)</f>
        <v>0</v>
      </c>
      <c r="V91" s="9">
        <f>IF(AND($A91&gt;=VLOOKUP(YEAR($A91),'Festive dates'!$A$2:$J$5,9,FALSE),$A91&lt;=VLOOKUP(YEAR($A91),'Festive dates'!$A$2:$J$5,10,FALSE)),1,0)</f>
        <v>0</v>
      </c>
      <c r="W91" s="9">
        <f>IF($A91=VLOOKUP(YEAR($A91),'Festive dates'!$A$2:$J$5,7,FALSE),1,0)</f>
        <v>0</v>
      </c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>
      <c r="A92" s="8">
        <v>45107</v>
      </c>
      <c r="B92" s="9">
        <v>0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f>MAX(-20,MIN(10,$A92-VLOOKUP(YEAR($A92),'Festive dates'!$A$2:$J$5,8,FALSE)))</f>
        <v>-20</v>
      </c>
      <c r="R92" s="9">
        <f>IF(AND($A92&gt;VLOOKUP(YEAR($A92),'Festive dates'!$A$2:$J$5,2,FALSE),$A92&lt;VLOOKUP(YEAR($A92),'Festive dates'!$A$2:$J$5,3,FALSE)),1,0)</f>
        <v>0</v>
      </c>
      <c r="S92" s="9">
        <f>IF($A92=VLOOKUP(YEAR($A92),'Festive dates'!$A$2:$J$5,2,FALSE),1,0)</f>
        <v>0</v>
      </c>
      <c r="T92" s="9">
        <f>IF($A92=VLOOKUP(YEAR($A92),'Festive dates'!$A$2:$J$5,3,FALSE),1,0)</f>
        <v>0</v>
      </c>
      <c r="U92" s="9">
        <f>IF($A92=VLOOKUP(YEAR($A92),'Festive dates'!$A$2:$J$5,4,FALSE),1,0)</f>
        <v>0</v>
      </c>
      <c r="V92" s="9">
        <f>IF(AND($A92&gt;=VLOOKUP(YEAR($A92),'Festive dates'!$A$2:$J$5,9,FALSE),$A92&lt;=VLOOKUP(YEAR($A92),'Festive dates'!$A$2:$J$5,10,FALSE)),1,0)</f>
        <v>0</v>
      </c>
      <c r="W92" s="9">
        <f>IF($A92=VLOOKUP(YEAR($A92),'Festive dates'!$A$2:$J$5,7,FALSE),1,0)</f>
        <v>0</v>
      </c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>
      <c r="A93" s="8">
        <v>45108</v>
      </c>
      <c r="B93" s="9">
        <v>0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f>MAX(-20,MIN(10,$A93-VLOOKUP(YEAR($A93),'Festive dates'!$A$2:$J$5,8,FALSE)))</f>
        <v>-20</v>
      </c>
      <c r="R93" s="9">
        <f>IF(AND($A93&gt;VLOOKUP(YEAR($A93),'Festive dates'!$A$2:$J$5,2,FALSE),$A93&lt;VLOOKUP(YEAR($A93),'Festive dates'!$A$2:$J$5,3,FALSE)),1,0)</f>
        <v>0</v>
      </c>
      <c r="S93" s="9">
        <f>IF($A93=VLOOKUP(YEAR($A93),'Festive dates'!$A$2:$J$5,2,FALSE),1,0)</f>
        <v>0</v>
      </c>
      <c r="T93" s="9">
        <f>IF($A93=VLOOKUP(YEAR($A93),'Festive dates'!$A$2:$J$5,3,FALSE),1,0)</f>
        <v>0</v>
      </c>
      <c r="U93" s="9">
        <f>IF($A93=VLOOKUP(YEAR($A93),'Festive dates'!$A$2:$J$5,4,FALSE),1,0)</f>
        <v>0</v>
      </c>
      <c r="V93" s="9">
        <f>IF(AND($A93&gt;=VLOOKUP(YEAR($A93),'Festive dates'!$A$2:$J$5,9,FALSE),$A93&lt;=VLOOKUP(YEAR($A93),'Festive dates'!$A$2:$J$5,10,FALSE)),1,0)</f>
        <v>0</v>
      </c>
      <c r="W93" s="9">
        <f>IF($A93=VLOOKUP(YEAR($A93),'Festive dates'!$A$2:$J$5,7,FALSE),1,0)</f>
        <v>0</v>
      </c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>
      <c r="A94" s="8">
        <v>45109</v>
      </c>
      <c r="B94" s="9">
        <v>0</v>
      </c>
      <c r="C94" s="9">
        <v>0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f>MAX(-20,MIN(10,$A94-VLOOKUP(YEAR($A94),'Festive dates'!$A$2:$J$5,8,FALSE)))</f>
        <v>-20</v>
      </c>
      <c r="R94" s="9">
        <f>IF(AND($A94&gt;VLOOKUP(YEAR($A94),'Festive dates'!$A$2:$J$5,2,FALSE),$A94&lt;VLOOKUP(YEAR($A94),'Festive dates'!$A$2:$J$5,3,FALSE)),1,0)</f>
        <v>0</v>
      </c>
      <c r="S94" s="9">
        <f>IF($A94=VLOOKUP(YEAR($A94),'Festive dates'!$A$2:$J$5,2,FALSE),1,0)</f>
        <v>0</v>
      </c>
      <c r="T94" s="9">
        <f>IF($A94=VLOOKUP(YEAR($A94),'Festive dates'!$A$2:$J$5,3,FALSE),1,0)</f>
        <v>0</v>
      </c>
      <c r="U94" s="9">
        <f>IF($A94=VLOOKUP(YEAR($A94),'Festive dates'!$A$2:$J$5,4,FALSE),1,0)</f>
        <v>0</v>
      </c>
      <c r="V94" s="9">
        <f>IF(AND($A94&gt;=VLOOKUP(YEAR($A94),'Festive dates'!$A$2:$J$5,9,FALSE),$A94&lt;=VLOOKUP(YEAR($A94),'Festive dates'!$A$2:$J$5,10,FALSE)),1,0)</f>
        <v>0</v>
      </c>
      <c r="W94" s="9">
        <f>IF($A94=VLOOKUP(YEAR($A94),'Festive dates'!$A$2:$J$5,7,FALSE),1,0)</f>
        <v>0</v>
      </c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>
      <c r="A95" s="8">
        <v>45110</v>
      </c>
      <c r="B95" s="9">
        <v>0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9">
        <v>1</v>
      </c>
      <c r="N95" s="9">
        <v>0</v>
      </c>
      <c r="O95" s="9">
        <v>0</v>
      </c>
      <c r="P95" s="9">
        <v>0</v>
      </c>
      <c r="Q95" s="9">
        <f>MAX(-20,MIN(10,$A95-VLOOKUP(YEAR($A95),'Festive dates'!$A$2:$J$5,8,FALSE)))</f>
        <v>-20</v>
      </c>
      <c r="R95" s="9">
        <f>IF(AND($A95&gt;VLOOKUP(YEAR($A95),'Festive dates'!$A$2:$J$5,2,FALSE),$A95&lt;VLOOKUP(YEAR($A95),'Festive dates'!$A$2:$J$5,3,FALSE)),1,0)</f>
        <v>0</v>
      </c>
      <c r="S95" s="9">
        <f>IF($A95=VLOOKUP(YEAR($A95),'Festive dates'!$A$2:$J$5,2,FALSE),1,0)</f>
        <v>0</v>
      </c>
      <c r="T95" s="9">
        <f>IF($A95=VLOOKUP(YEAR($A95),'Festive dates'!$A$2:$J$5,3,FALSE),1,0)</f>
        <v>0</v>
      </c>
      <c r="U95" s="9">
        <f>IF($A95=VLOOKUP(YEAR($A95),'Festive dates'!$A$2:$J$5,4,FALSE),1,0)</f>
        <v>0</v>
      </c>
      <c r="V95" s="9">
        <f>IF(AND($A95&gt;=VLOOKUP(YEAR($A95),'Festive dates'!$A$2:$J$5,9,FALSE),$A95&lt;=VLOOKUP(YEAR($A95),'Festive dates'!$A$2:$J$5,10,FALSE)),1,0)</f>
        <v>0</v>
      </c>
      <c r="W95" s="9">
        <f>IF($A95=VLOOKUP(YEAR($A95),'Festive dates'!$A$2:$J$5,7,FALSE),1,0)</f>
        <v>0</v>
      </c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>
      <c r="A96" s="8">
        <v>45111</v>
      </c>
      <c r="B96" s="9">
        <v>0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9">
        <v>0</v>
      </c>
      <c r="N96" s="9">
        <v>0</v>
      </c>
      <c r="O96" s="9">
        <v>0</v>
      </c>
      <c r="P96" s="9">
        <v>0</v>
      </c>
      <c r="Q96" s="9">
        <f>MAX(-20,MIN(10,$A96-VLOOKUP(YEAR($A96),'Festive dates'!$A$2:$J$5,8,FALSE)))</f>
        <v>-20</v>
      </c>
      <c r="R96" s="9">
        <f>IF(AND($A96&gt;VLOOKUP(YEAR($A96),'Festive dates'!$A$2:$J$5,2,FALSE),$A96&lt;VLOOKUP(YEAR($A96),'Festive dates'!$A$2:$J$5,3,FALSE)),1,0)</f>
        <v>0</v>
      </c>
      <c r="S96" s="9">
        <f>IF($A96=VLOOKUP(YEAR($A96),'Festive dates'!$A$2:$J$5,2,FALSE),1,0)</f>
        <v>0</v>
      </c>
      <c r="T96" s="9">
        <f>IF($A96=VLOOKUP(YEAR($A96),'Festive dates'!$A$2:$J$5,3,FALSE),1,0)</f>
        <v>0</v>
      </c>
      <c r="U96" s="9">
        <f>IF($A96=VLOOKUP(YEAR($A96),'Festive dates'!$A$2:$J$5,4,FALSE),1,0)</f>
        <v>0</v>
      </c>
      <c r="V96" s="9">
        <f>IF(AND($A96&gt;=VLOOKUP(YEAR($A96),'Festive dates'!$A$2:$J$5,9,FALSE),$A96&lt;=VLOOKUP(YEAR($A96),'Festive dates'!$A$2:$J$5,10,FALSE)),1,0)</f>
        <v>0</v>
      </c>
      <c r="W96" s="9">
        <f>IF($A96=VLOOKUP(YEAR($A96),'Festive dates'!$A$2:$J$5,7,FALSE),1,0)</f>
        <v>0</v>
      </c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>
      <c r="A97" s="8">
        <v>45112</v>
      </c>
      <c r="B97" s="9">
        <v>0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f>MAX(-20,MIN(10,$A97-VLOOKUP(YEAR($A97),'Festive dates'!$A$2:$J$5,8,FALSE)))</f>
        <v>-20</v>
      </c>
      <c r="R97" s="9">
        <f>IF(AND($A97&gt;VLOOKUP(YEAR($A97),'Festive dates'!$A$2:$J$5,2,FALSE),$A97&lt;VLOOKUP(YEAR($A97),'Festive dates'!$A$2:$J$5,3,FALSE)),1,0)</f>
        <v>0</v>
      </c>
      <c r="S97" s="9">
        <f>IF($A97=VLOOKUP(YEAR($A97),'Festive dates'!$A$2:$J$5,2,FALSE),1,0)</f>
        <v>0</v>
      </c>
      <c r="T97" s="9">
        <f>IF($A97=VLOOKUP(YEAR($A97),'Festive dates'!$A$2:$J$5,3,FALSE),1,0)</f>
        <v>0</v>
      </c>
      <c r="U97" s="9">
        <f>IF($A97=VLOOKUP(YEAR($A97),'Festive dates'!$A$2:$J$5,4,FALSE),1,0)</f>
        <v>0</v>
      </c>
      <c r="V97" s="9">
        <f>IF(AND($A97&gt;=VLOOKUP(YEAR($A97),'Festive dates'!$A$2:$J$5,9,FALSE),$A97&lt;=VLOOKUP(YEAR($A97),'Festive dates'!$A$2:$J$5,10,FALSE)),1,0)</f>
        <v>0</v>
      </c>
      <c r="W97" s="9">
        <f>IF($A97=VLOOKUP(YEAR($A97),'Festive dates'!$A$2:$J$5,7,FALSE),1,0)</f>
        <v>0</v>
      </c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>
      <c r="A98" s="8">
        <v>45113</v>
      </c>
      <c r="B98" s="9">
        <v>0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f>MAX(-20,MIN(10,$A98-VLOOKUP(YEAR($A98),'Festive dates'!$A$2:$J$5,8,FALSE)))</f>
        <v>-20</v>
      </c>
      <c r="R98" s="9">
        <f>IF(AND($A98&gt;VLOOKUP(YEAR($A98),'Festive dates'!$A$2:$J$5,2,FALSE),$A98&lt;VLOOKUP(YEAR($A98),'Festive dates'!$A$2:$J$5,3,FALSE)),1,0)</f>
        <v>0</v>
      </c>
      <c r="S98" s="9">
        <f>IF($A98=VLOOKUP(YEAR($A98),'Festive dates'!$A$2:$J$5,2,FALSE),1,0)</f>
        <v>0</v>
      </c>
      <c r="T98" s="9">
        <f>IF($A98=VLOOKUP(YEAR($A98),'Festive dates'!$A$2:$J$5,3,FALSE),1,0)</f>
        <v>0</v>
      </c>
      <c r="U98" s="9">
        <f>IF($A98=VLOOKUP(YEAR($A98),'Festive dates'!$A$2:$J$5,4,FALSE),1,0)</f>
        <v>0</v>
      </c>
      <c r="V98" s="9">
        <f>IF(AND($A98&gt;=VLOOKUP(YEAR($A98),'Festive dates'!$A$2:$J$5,9,FALSE),$A98&lt;=VLOOKUP(YEAR($A98),'Festive dates'!$A$2:$J$5,10,FALSE)),1,0)</f>
        <v>0</v>
      </c>
      <c r="W98" s="9">
        <f>IF($A98=VLOOKUP(YEAR($A98),'Festive dates'!$A$2:$J$5,7,FALSE),1,0)</f>
        <v>0</v>
      </c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>
      <c r="A99" s="8">
        <v>45114</v>
      </c>
      <c r="B99" s="9">
        <v>0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f>MAX(-20,MIN(10,$A99-VLOOKUP(YEAR($A99),'Festive dates'!$A$2:$J$5,8,FALSE)))</f>
        <v>-20</v>
      </c>
      <c r="R99" s="9">
        <f>IF(AND($A99&gt;VLOOKUP(YEAR($A99),'Festive dates'!$A$2:$J$5,2,FALSE),$A99&lt;VLOOKUP(YEAR($A99),'Festive dates'!$A$2:$J$5,3,FALSE)),1,0)</f>
        <v>0</v>
      </c>
      <c r="S99" s="9">
        <f>IF($A99=VLOOKUP(YEAR($A99),'Festive dates'!$A$2:$J$5,2,FALSE),1,0)</f>
        <v>0</v>
      </c>
      <c r="T99" s="9">
        <f>IF($A99=VLOOKUP(YEAR($A99),'Festive dates'!$A$2:$J$5,3,FALSE),1,0)</f>
        <v>0</v>
      </c>
      <c r="U99" s="9">
        <f>IF($A99=VLOOKUP(YEAR($A99),'Festive dates'!$A$2:$J$5,4,FALSE),1,0)</f>
        <v>0</v>
      </c>
      <c r="V99" s="9">
        <f>IF(AND($A99&gt;=VLOOKUP(YEAR($A99),'Festive dates'!$A$2:$J$5,9,FALSE),$A99&lt;=VLOOKUP(YEAR($A99),'Festive dates'!$A$2:$J$5,10,FALSE)),1,0)</f>
        <v>0</v>
      </c>
      <c r="W99" s="9">
        <f>IF($A99=VLOOKUP(YEAR($A99),'Festive dates'!$A$2:$J$5,7,FALSE),1,0)</f>
        <v>0</v>
      </c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>
      <c r="A100" s="8">
        <v>45115</v>
      </c>
      <c r="B100" s="9">
        <v>0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f>MAX(-20,MIN(10,$A100-VLOOKUP(YEAR($A100),'Festive dates'!$A$2:$J$5,8,FALSE)))</f>
        <v>-20</v>
      </c>
      <c r="R100" s="9">
        <f>IF(AND($A100&gt;VLOOKUP(YEAR($A100),'Festive dates'!$A$2:$J$5,2,FALSE),$A100&lt;VLOOKUP(YEAR($A100),'Festive dates'!$A$2:$J$5,3,FALSE)),1,0)</f>
        <v>0</v>
      </c>
      <c r="S100" s="9">
        <f>IF($A100=VLOOKUP(YEAR($A100),'Festive dates'!$A$2:$J$5,2,FALSE),1,0)</f>
        <v>0</v>
      </c>
      <c r="T100" s="9">
        <f>IF($A100=VLOOKUP(YEAR($A100),'Festive dates'!$A$2:$J$5,3,FALSE),1,0)</f>
        <v>0</v>
      </c>
      <c r="U100" s="9">
        <f>IF($A100=VLOOKUP(YEAR($A100),'Festive dates'!$A$2:$J$5,4,FALSE),1,0)</f>
        <v>0</v>
      </c>
      <c r="V100" s="9">
        <f>IF(AND($A100&gt;=VLOOKUP(YEAR($A100),'Festive dates'!$A$2:$J$5,9,FALSE),$A100&lt;=VLOOKUP(YEAR($A100),'Festive dates'!$A$2:$J$5,10,FALSE)),1,0)</f>
        <v>0</v>
      </c>
      <c r="W100" s="9">
        <f>IF($A100=VLOOKUP(YEAR($A100),'Festive dates'!$A$2:$J$5,7,FALSE),1,0)</f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>
      <c r="A101" s="8">
        <v>45116</v>
      </c>
      <c r="B101" s="9">
        <v>0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f>MAX(-20,MIN(10,$A101-VLOOKUP(YEAR($A101),'Festive dates'!$A$2:$J$5,8,FALSE)))</f>
        <v>-20</v>
      </c>
      <c r="R101" s="9">
        <f>IF(AND($A101&gt;VLOOKUP(YEAR($A101),'Festive dates'!$A$2:$J$5,2,FALSE),$A101&lt;VLOOKUP(YEAR($A101),'Festive dates'!$A$2:$J$5,3,FALSE)),1,0)</f>
        <v>0</v>
      </c>
      <c r="S101" s="9">
        <f>IF($A101=VLOOKUP(YEAR($A101),'Festive dates'!$A$2:$J$5,2,FALSE),1,0)</f>
        <v>0</v>
      </c>
      <c r="T101" s="9">
        <f>IF($A101=VLOOKUP(YEAR($A101),'Festive dates'!$A$2:$J$5,3,FALSE),1,0)</f>
        <v>0</v>
      </c>
      <c r="U101" s="9">
        <f>IF($A101=VLOOKUP(YEAR($A101),'Festive dates'!$A$2:$J$5,4,FALSE),1,0)</f>
        <v>0</v>
      </c>
      <c r="V101" s="9">
        <f>IF(AND($A101&gt;=VLOOKUP(YEAR($A101),'Festive dates'!$A$2:$J$5,9,FALSE),$A101&lt;=VLOOKUP(YEAR($A101),'Festive dates'!$A$2:$J$5,10,FALSE)),1,0)</f>
        <v>0</v>
      </c>
      <c r="W101" s="9">
        <f>IF($A101=VLOOKUP(YEAR($A101),'Festive dates'!$A$2:$J$5,7,FALSE),1,0)</f>
        <v>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>
      <c r="A102" s="8">
        <v>45117</v>
      </c>
      <c r="B102" s="9">
        <v>0</v>
      </c>
      <c r="C102" s="9">
        <v>0</v>
      </c>
      <c r="D102" s="9">
        <v>0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f>MAX(-20,MIN(10,$A102-VLOOKUP(YEAR($A102),'Festive dates'!$A$2:$J$5,8,FALSE)))</f>
        <v>-20</v>
      </c>
      <c r="R102" s="9">
        <f>IF(AND($A102&gt;VLOOKUP(YEAR($A102),'Festive dates'!$A$2:$J$5,2,FALSE),$A102&lt;VLOOKUP(YEAR($A102),'Festive dates'!$A$2:$J$5,3,FALSE)),1,0)</f>
        <v>0</v>
      </c>
      <c r="S102" s="9">
        <f>IF($A102=VLOOKUP(YEAR($A102),'Festive dates'!$A$2:$J$5,2,FALSE),1,0)</f>
        <v>0</v>
      </c>
      <c r="T102" s="9">
        <f>IF($A102=VLOOKUP(YEAR($A102),'Festive dates'!$A$2:$J$5,3,FALSE),1,0)</f>
        <v>0</v>
      </c>
      <c r="U102" s="9">
        <f>IF($A102=VLOOKUP(YEAR($A102),'Festive dates'!$A$2:$J$5,4,FALSE),1,0)</f>
        <v>0</v>
      </c>
      <c r="V102" s="9">
        <f>IF(AND($A102&gt;=VLOOKUP(YEAR($A102),'Festive dates'!$A$2:$J$5,9,FALSE),$A102&lt;=VLOOKUP(YEAR($A102),'Festive dates'!$A$2:$J$5,10,FALSE)),1,0)</f>
        <v>0</v>
      </c>
      <c r="W102" s="9">
        <f>IF($A102=VLOOKUP(YEAR($A102),'Festive dates'!$A$2:$J$5,7,FALSE),1,0)</f>
        <v>0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>
      <c r="A103" s="8">
        <v>45118</v>
      </c>
      <c r="B103" s="9">
        <v>0</v>
      </c>
      <c r="C103" s="9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f>MAX(-20,MIN(10,$A103-VLOOKUP(YEAR($A103),'Festive dates'!$A$2:$J$5,8,FALSE)))</f>
        <v>-20</v>
      </c>
      <c r="R103" s="9">
        <f>IF(AND($A103&gt;VLOOKUP(YEAR($A103),'Festive dates'!$A$2:$J$5,2,FALSE),$A103&lt;VLOOKUP(YEAR($A103),'Festive dates'!$A$2:$J$5,3,FALSE)),1,0)</f>
        <v>0</v>
      </c>
      <c r="S103" s="9">
        <f>IF($A103=VLOOKUP(YEAR($A103),'Festive dates'!$A$2:$J$5,2,FALSE),1,0)</f>
        <v>0</v>
      </c>
      <c r="T103" s="9">
        <f>IF($A103=VLOOKUP(YEAR($A103),'Festive dates'!$A$2:$J$5,3,FALSE),1,0)</f>
        <v>0</v>
      </c>
      <c r="U103" s="9">
        <f>IF($A103=VLOOKUP(YEAR($A103),'Festive dates'!$A$2:$J$5,4,FALSE),1,0)</f>
        <v>0</v>
      </c>
      <c r="V103" s="9">
        <f>IF(AND($A103&gt;=VLOOKUP(YEAR($A103),'Festive dates'!$A$2:$J$5,9,FALSE),$A103&lt;=VLOOKUP(YEAR($A103),'Festive dates'!$A$2:$J$5,10,FALSE)),1,0)</f>
        <v>0</v>
      </c>
      <c r="W103" s="9">
        <f>IF($A103=VLOOKUP(YEAR($A103),'Festive dates'!$A$2:$J$5,7,FALSE),1,0)</f>
        <v>0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>
      <c r="A104" s="8">
        <v>45119</v>
      </c>
      <c r="B104" s="9">
        <v>0</v>
      </c>
      <c r="C104" s="9">
        <v>0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v>0</v>
      </c>
      <c r="K104" s="9">
        <v>0</v>
      </c>
      <c r="L104" s="9">
        <v>0</v>
      </c>
      <c r="M104" s="9">
        <v>0</v>
      </c>
      <c r="N104" s="9">
        <v>0</v>
      </c>
      <c r="O104" s="9">
        <v>0</v>
      </c>
      <c r="P104" s="9">
        <v>0</v>
      </c>
      <c r="Q104" s="9">
        <f>MAX(-20,MIN(10,$A104-VLOOKUP(YEAR($A104),'Festive dates'!$A$2:$J$5,8,FALSE)))</f>
        <v>-20</v>
      </c>
      <c r="R104" s="9">
        <f>IF(AND($A104&gt;VLOOKUP(YEAR($A104),'Festive dates'!$A$2:$J$5,2,FALSE),$A104&lt;VLOOKUP(YEAR($A104),'Festive dates'!$A$2:$J$5,3,FALSE)),1,0)</f>
        <v>0</v>
      </c>
      <c r="S104" s="9">
        <f>IF($A104=VLOOKUP(YEAR($A104),'Festive dates'!$A$2:$J$5,2,FALSE),1,0)</f>
        <v>0</v>
      </c>
      <c r="T104" s="9">
        <f>IF($A104=VLOOKUP(YEAR($A104),'Festive dates'!$A$2:$J$5,3,FALSE),1,0)</f>
        <v>0</v>
      </c>
      <c r="U104" s="9">
        <f>IF($A104=VLOOKUP(YEAR($A104),'Festive dates'!$A$2:$J$5,4,FALSE),1,0)</f>
        <v>0</v>
      </c>
      <c r="V104" s="9">
        <f>IF(AND($A104&gt;=VLOOKUP(YEAR($A104),'Festive dates'!$A$2:$J$5,9,FALSE),$A104&lt;=VLOOKUP(YEAR($A104),'Festive dates'!$A$2:$J$5,10,FALSE)),1,0)</f>
        <v>0</v>
      </c>
      <c r="W104" s="9">
        <f>IF($A104=VLOOKUP(YEAR($A104),'Festive dates'!$A$2:$J$5,7,FALSE),1,0)</f>
        <v>0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>
      <c r="A105" s="8">
        <v>45120</v>
      </c>
      <c r="B105" s="9">
        <v>0</v>
      </c>
      <c r="C105" s="9">
        <v>0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v>0</v>
      </c>
      <c r="K105" s="9">
        <v>0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f>MAX(-20,MIN(10,$A105-VLOOKUP(YEAR($A105),'Festive dates'!$A$2:$J$5,8,FALSE)))</f>
        <v>-20</v>
      </c>
      <c r="R105" s="9">
        <f>IF(AND($A105&gt;VLOOKUP(YEAR($A105),'Festive dates'!$A$2:$J$5,2,FALSE),$A105&lt;VLOOKUP(YEAR($A105),'Festive dates'!$A$2:$J$5,3,FALSE)),1,0)</f>
        <v>0</v>
      </c>
      <c r="S105" s="9">
        <f>IF($A105=VLOOKUP(YEAR($A105),'Festive dates'!$A$2:$J$5,2,FALSE),1,0)</f>
        <v>0</v>
      </c>
      <c r="T105" s="9">
        <f>IF($A105=VLOOKUP(YEAR($A105),'Festive dates'!$A$2:$J$5,3,FALSE),1,0)</f>
        <v>0</v>
      </c>
      <c r="U105" s="9">
        <f>IF($A105=VLOOKUP(YEAR($A105),'Festive dates'!$A$2:$J$5,4,FALSE),1,0)</f>
        <v>0</v>
      </c>
      <c r="V105" s="9">
        <f>IF(AND($A105&gt;=VLOOKUP(YEAR($A105),'Festive dates'!$A$2:$J$5,9,FALSE),$A105&lt;=VLOOKUP(YEAR($A105),'Festive dates'!$A$2:$J$5,10,FALSE)),1,0)</f>
        <v>0</v>
      </c>
      <c r="W105" s="9">
        <f>IF($A105=VLOOKUP(YEAR($A105),'Festive dates'!$A$2:$J$5,7,FALSE),1,0)</f>
        <v>0</v>
      </c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>
      <c r="A106" s="8">
        <v>45121</v>
      </c>
      <c r="B106" s="9">
        <v>0</v>
      </c>
      <c r="C106" s="9">
        <v>0</v>
      </c>
      <c r="D106" s="9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f>MAX(-20,MIN(10,$A106-VLOOKUP(YEAR($A106),'Festive dates'!$A$2:$J$5,8,FALSE)))</f>
        <v>-20</v>
      </c>
      <c r="R106" s="9">
        <f>IF(AND($A106&gt;VLOOKUP(YEAR($A106),'Festive dates'!$A$2:$J$5,2,FALSE),$A106&lt;VLOOKUP(YEAR($A106),'Festive dates'!$A$2:$J$5,3,FALSE)),1,0)</f>
        <v>0</v>
      </c>
      <c r="S106" s="9">
        <f>IF($A106=VLOOKUP(YEAR($A106),'Festive dates'!$A$2:$J$5,2,FALSE),1,0)</f>
        <v>0</v>
      </c>
      <c r="T106" s="9">
        <f>IF($A106=VLOOKUP(YEAR($A106),'Festive dates'!$A$2:$J$5,3,FALSE),1,0)</f>
        <v>0</v>
      </c>
      <c r="U106" s="9">
        <f>IF($A106=VLOOKUP(YEAR($A106),'Festive dates'!$A$2:$J$5,4,FALSE),1,0)</f>
        <v>0</v>
      </c>
      <c r="V106" s="9">
        <f>IF(AND($A106&gt;=VLOOKUP(YEAR($A106),'Festive dates'!$A$2:$J$5,9,FALSE),$A106&lt;=VLOOKUP(YEAR($A106),'Festive dates'!$A$2:$J$5,10,FALSE)),1,0)</f>
        <v>0</v>
      </c>
      <c r="W106" s="9">
        <f>IF($A106=VLOOKUP(YEAR($A106),'Festive dates'!$A$2:$J$5,7,FALSE),1,0)</f>
        <v>0</v>
      </c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>
      <c r="A107" s="8">
        <v>45122</v>
      </c>
      <c r="B107" s="9">
        <v>0</v>
      </c>
      <c r="C107" s="9">
        <v>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v>0</v>
      </c>
      <c r="K107" s="9">
        <v>0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f>MAX(-20,MIN(10,$A107-VLOOKUP(YEAR($A107),'Festive dates'!$A$2:$J$5,8,FALSE)))</f>
        <v>-20</v>
      </c>
      <c r="R107" s="9">
        <f>IF(AND($A107&gt;VLOOKUP(YEAR($A107),'Festive dates'!$A$2:$J$5,2,FALSE),$A107&lt;VLOOKUP(YEAR($A107),'Festive dates'!$A$2:$J$5,3,FALSE)),1,0)</f>
        <v>0</v>
      </c>
      <c r="S107" s="9">
        <f>IF($A107=VLOOKUP(YEAR($A107),'Festive dates'!$A$2:$J$5,2,FALSE),1,0)</f>
        <v>0</v>
      </c>
      <c r="T107" s="9">
        <f>IF($A107=VLOOKUP(YEAR($A107),'Festive dates'!$A$2:$J$5,3,FALSE),1,0)</f>
        <v>0</v>
      </c>
      <c r="U107" s="9">
        <f>IF($A107=VLOOKUP(YEAR($A107),'Festive dates'!$A$2:$J$5,4,FALSE),1,0)</f>
        <v>0</v>
      </c>
      <c r="V107" s="9">
        <f>IF(AND($A107&gt;=VLOOKUP(YEAR($A107),'Festive dates'!$A$2:$J$5,9,FALSE),$A107&lt;=VLOOKUP(YEAR($A107),'Festive dates'!$A$2:$J$5,10,FALSE)),1,0)</f>
        <v>0</v>
      </c>
      <c r="W107" s="9">
        <f>IF($A107=VLOOKUP(YEAR($A107),'Festive dates'!$A$2:$J$5,7,FALSE),1,0)</f>
        <v>0</v>
      </c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>
      <c r="A108" s="8">
        <v>45123</v>
      </c>
      <c r="B108" s="9">
        <v>0</v>
      </c>
      <c r="C108" s="9">
        <v>0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f>MAX(-20,MIN(10,$A108-VLOOKUP(YEAR($A108),'Festive dates'!$A$2:$J$5,8,FALSE)))</f>
        <v>-20</v>
      </c>
      <c r="R108" s="9">
        <f>IF(AND($A108&gt;VLOOKUP(YEAR($A108),'Festive dates'!$A$2:$J$5,2,FALSE),$A108&lt;VLOOKUP(YEAR($A108),'Festive dates'!$A$2:$J$5,3,FALSE)),1,0)</f>
        <v>0</v>
      </c>
      <c r="S108" s="9">
        <f>IF($A108=VLOOKUP(YEAR($A108),'Festive dates'!$A$2:$J$5,2,FALSE),1,0)</f>
        <v>0</v>
      </c>
      <c r="T108" s="9">
        <f>IF($A108=VLOOKUP(YEAR($A108),'Festive dates'!$A$2:$J$5,3,FALSE),1,0)</f>
        <v>0</v>
      </c>
      <c r="U108" s="9">
        <f>IF($A108=VLOOKUP(YEAR($A108),'Festive dates'!$A$2:$J$5,4,FALSE),1,0)</f>
        <v>0</v>
      </c>
      <c r="V108" s="9">
        <f>IF(AND($A108&gt;=VLOOKUP(YEAR($A108),'Festive dates'!$A$2:$J$5,9,FALSE),$A108&lt;=VLOOKUP(YEAR($A108),'Festive dates'!$A$2:$J$5,10,FALSE)),1,0)</f>
        <v>0</v>
      </c>
      <c r="W108" s="9">
        <f>IF($A108=VLOOKUP(YEAR($A108),'Festive dates'!$A$2:$J$5,7,FALSE),1,0)</f>
        <v>0</v>
      </c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>
      <c r="A109" s="8">
        <v>45124</v>
      </c>
      <c r="B109" s="9">
        <v>0</v>
      </c>
      <c r="C109" s="9">
        <v>0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0</v>
      </c>
      <c r="J109" s="9">
        <v>0</v>
      </c>
      <c r="K109" s="9">
        <v>0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f>MAX(-20,MIN(10,$A109-VLOOKUP(YEAR($A109),'Festive dates'!$A$2:$J$5,8,FALSE)))</f>
        <v>-20</v>
      </c>
      <c r="R109" s="9">
        <f>IF(AND($A109&gt;VLOOKUP(YEAR($A109),'Festive dates'!$A$2:$J$5,2,FALSE),$A109&lt;VLOOKUP(YEAR($A109),'Festive dates'!$A$2:$J$5,3,FALSE)),1,0)</f>
        <v>0</v>
      </c>
      <c r="S109" s="9">
        <f>IF($A109=VLOOKUP(YEAR($A109),'Festive dates'!$A$2:$J$5,2,FALSE),1,0)</f>
        <v>0</v>
      </c>
      <c r="T109" s="9">
        <f>IF($A109=VLOOKUP(YEAR($A109),'Festive dates'!$A$2:$J$5,3,FALSE),1,0)</f>
        <v>0</v>
      </c>
      <c r="U109" s="9">
        <f>IF($A109=VLOOKUP(YEAR($A109),'Festive dates'!$A$2:$J$5,4,FALSE),1,0)</f>
        <v>0</v>
      </c>
      <c r="V109" s="9">
        <f>IF(AND($A109&gt;=VLOOKUP(YEAR($A109),'Festive dates'!$A$2:$J$5,9,FALSE),$A109&lt;=VLOOKUP(YEAR($A109),'Festive dates'!$A$2:$J$5,10,FALSE)),1,0)</f>
        <v>0</v>
      </c>
      <c r="W109" s="9">
        <f>IF($A109=VLOOKUP(YEAR($A109),'Festive dates'!$A$2:$J$5,7,FALSE),1,0)</f>
        <v>0</v>
      </c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>
      <c r="A110" s="8">
        <v>45125</v>
      </c>
      <c r="B110" s="9">
        <v>0</v>
      </c>
      <c r="C110" s="9">
        <v>0</v>
      </c>
      <c r="D110" s="9">
        <v>0</v>
      </c>
      <c r="E110" s="9">
        <v>0</v>
      </c>
      <c r="F110" s="9">
        <v>0</v>
      </c>
      <c r="G110" s="9">
        <v>0</v>
      </c>
      <c r="H110" s="9">
        <v>0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f>MAX(-20,MIN(10,$A110-VLOOKUP(YEAR($A110),'Festive dates'!$A$2:$J$5,8,FALSE)))</f>
        <v>-20</v>
      </c>
      <c r="R110" s="9">
        <f>IF(AND($A110&gt;VLOOKUP(YEAR($A110),'Festive dates'!$A$2:$J$5,2,FALSE),$A110&lt;VLOOKUP(YEAR($A110),'Festive dates'!$A$2:$J$5,3,FALSE)),1,0)</f>
        <v>0</v>
      </c>
      <c r="S110" s="9">
        <f>IF($A110=VLOOKUP(YEAR($A110),'Festive dates'!$A$2:$J$5,2,FALSE),1,0)</f>
        <v>0</v>
      </c>
      <c r="T110" s="9">
        <f>IF($A110=VLOOKUP(YEAR($A110),'Festive dates'!$A$2:$J$5,3,FALSE),1,0)</f>
        <v>0</v>
      </c>
      <c r="U110" s="9">
        <f>IF($A110=VLOOKUP(YEAR($A110),'Festive dates'!$A$2:$J$5,4,FALSE),1,0)</f>
        <v>0</v>
      </c>
      <c r="V110" s="9">
        <f>IF(AND($A110&gt;=VLOOKUP(YEAR($A110),'Festive dates'!$A$2:$J$5,9,FALSE),$A110&lt;=VLOOKUP(YEAR($A110),'Festive dates'!$A$2:$J$5,10,FALSE)),1,0)</f>
        <v>0</v>
      </c>
      <c r="W110" s="9">
        <f>IF($A110=VLOOKUP(YEAR($A110),'Festive dates'!$A$2:$J$5,7,FALSE),1,0)</f>
        <v>0</v>
      </c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>
      <c r="A111" s="8">
        <v>45126</v>
      </c>
      <c r="B111" s="9">
        <v>0</v>
      </c>
      <c r="C111" s="9">
        <v>0</v>
      </c>
      <c r="D111" s="9">
        <v>0</v>
      </c>
      <c r="E111" s="9">
        <v>0</v>
      </c>
      <c r="F111" s="9">
        <v>0</v>
      </c>
      <c r="G111" s="9">
        <v>0</v>
      </c>
      <c r="H111" s="9">
        <v>0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f>MAX(-20,MIN(10,$A111-VLOOKUP(YEAR($A111),'Festive dates'!$A$2:$J$5,8,FALSE)))</f>
        <v>-20</v>
      </c>
      <c r="R111" s="9">
        <f>IF(AND($A111&gt;VLOOKUP(YEAR($A111),'Festive dates'!$A$2:$J$5,2,FALSE),$A111&lt;VLOOKUP(YEAR($A111),'Festive dates'!$A$2:$J$5,3,FALSE)),1,0)</f>
        <v>0</v>
      </c>
      <c r="S111" s="9">
        <f>IF($A111=VLOOKUP(YEAR($A111),'Festive dates'!$A$2:$J$5,2,FALSE),1,0)</f>
        <v>0</v>
      </c>
      <c r="T111" s="9">
        <f>IF($A111=VLOOKUP(YEAR($A111),'Festive dates'!$A$2:$J$5,3,FALSE),1,0)</f>
        <v>0</v>
      </c>
      <c r="U111" s="9">
        <f>IF($A111=VLOOKUP(YEAR($A111),'Festive dates'!$A$2:$J$5,4,FALSE),1,0)</f>
        <v>0</v>
      </c>
      <c r="V111" s="9">
        <f>IF(AND($A111&gt;=VLOOKUP(YEAR($A111),'Festive dates'!$A$2:$J$5,9,FALSE),$A111&lt;=VLOOKUP(YEAR($A111),'Festive dates'!$A$2:$J$5,10,FALSE)),1,0)</f>
        <v>0</v>
      </c>
      <c r="W111" s="9">
        <f>IF($A111=VLOOKUP(YEAR($A111),'Festive dates'!$A$2:$J$5,7,FALSE),1,0)</f>
        <v>0</v>
      </c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>
      <c r="A112" s="8">
        <v>45127</v>
      </c>
      <c r="B112" s="9">
        <v>0</v>
      </c>
      <c r="C112" s="9">
        <v>0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f>MAX(-20,MIN(10,$A112-VLOOKUP(YEAR($A112),'Festive dates'!$A$2:$J$5,8,FALSE)))</f>
        <v>-20</v>
      </c>
      <c r="R112" s="9">
        <f>IF(AND($A112&gt;VLOOKUP(YEAR($A112),'Festive dates'!$A$2:$J$5,2,FALSE),$A112&lt;VLOOKUP(YEAR($A112),'Festive dates'!$A$2:$J$5,3,FALSE)),1,0)</f>
        <v>0</v>
      </c>
      <c r="S112" s="9">
        <f>IF($A112=VLOOKUP(YEAR($A112),'Festive dates'!$A$2:$J$5,2,FALSE),1,0)</f>
        <v>0</v>
      </c>
      <c r="T112" s="9">
        <f>IF($A112=VLOOKUP(YEAR($A112),'Festive dates'!$A$2:$J$5,3,FALSE),1,0)</f>
        <v>0</v>
      </c>
      <c r="U112" s="9">
        <f>IF($A112=VLOOKUP(YEAR($A112),'Festive dates'!$A$2:$J$5,4,FALSE),1,0)</f>
        <v>0</v>
      </c>
      <c r="V112" s="9">
        <f>IF(AND($A112&gt;=VLOOKUP(YEAR($A112),'Festive dates'!$A$2:$J$5,9,FALSE),$A112&lt;=VLOOKUP(YEAR($A112),'Festive dates'!$A$2:$J$5,10,FALSE)),1,0)</f>
        <v>0</v>
      </c>
      <c r="W112" s="9">
        <f>IF($A112=VLOOKUP(YEAR($A112),'Festive dates'!$A$2:$J$5,7,FALSE),1,0)</f>
        <v>0</v>
      </c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>
      <c r="A113" s="8">
        <v>45128</v>
      </c>
      <c r="B113" s="9">
        <v>0</v>
      </c>
      <c r="C113" s="9">
        <v>0</v>
      </c>
      <c r="D113" s="9">
        <v>0</v>
      </c>
      <c r="E113" s="9">
        <v>0</v>
      </c>
      <c r="F113" s="9">
        <v>0</v>
      </c>
      <c r="G113" s="9">
        <v>0</v>
      </c>
      <c r="H113" s="9">
        <v>0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f>MAX(-20,MIN(10,$A113-VLOOKUP(YEAR($A113),'Festive dates'!$A$2:$J$5,8,FALSE)))</f>
        <v>-20</v>
      </c>
      <c r="R113" s="9">
        <f>IF(AND($A113&gt;VLOOKUP(YEAR($A113),'Festive dates'!$A$2:$J$5,2,FALSE),$A113&lt;VLOOKUP(YEAR($A113),'Festive dates'!$A$2:$J$5,3,FALSE)),1,0)</f>
        <v>0</v>
      </c>
      <c r="S113" s="9">
        <f>IF($A113=VLOOKUP(YEAR($A113),'Festive dates'!$A$2:$J$5,2,FALSE),1,0)</f>
        <v>0</v>
      </c>
      <c r="T113" s="9">
        <f>IF($A113=VLOOKUP(YEAR($A113),'Festive dates'!$A$2:$J$5,3,FALSE),1,0)</f>
        <v>0</v>
      </c>
      <c r="U113" s="9">
        <f>IF($A113=VLOOKUP(YEAR($A113),'Festive dates'!$A$2:$J$5,4,FALSE),1,0)</f>
        <v>0</v>
      </c>
      <c r="V113" s="9">
        <f>IF(AND($A113&gt;=VLOOKUP(YEAR($A113),'Festive dates'!$A$2:$J$5,9,FALSE),$A113&lt;=VLOOKUP(YEAR($A113),'Festive dates'!$A$2:$J$5,10,FALSE)),1,0)</f>
        <v>0</v>
      </c>
      <c r="W113" s="9">
        <f>IF($A113=VLOOKUP(YEAR($A113),'Festive dates'!$A$2:$J$5,7,FALSE),1,0)</f>
        <v>0</v>
      </c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>
      <c r="A114" s="8">
        <v>45129</v>
      </c>
      <c r="B114" s="9">
        <v>0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v>0</v>
      </c>
      <c r="I114" s="9">
        <v>0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f>MAX(-20,MIN(10,$A114-VLOOKUP(YEAR($A114),'Festive dates'!$A$2:$J$5,8,FALSE)))</f>
        <v>-20</v>
      </c>
      <c r="R114" s="9">
        <f>IF(AND($A114&gt;VLOOKUP(YEAR($A114),'Festive dates'!$A$2:$J$5,2,FALSE),$A114&lt;VLOOKUP(YEAR($A114),'Festive dates'!$A$2:$J$5,3,FALSE)),1,0)</f>
        <v>0</v>
      </c>
      <c r="S114" s="9">
        <f>IF($A114=VLOOKUP(YEAR($A114),'Festive dates'!$A$2:$J$5,2,FALSE),1,0)</f>
        <v>0</v>
      </c>
      <c r="T114" s="9">
        <f>IF($A114=VLOOKUP(YEAR($A114),'Festive dates'!$A$2:$J$5,3,FALSE),1,0)</f>
        <v>0</v>
      </c>
      <c r="U114" s="9">
        <f>IF($A114=VLOOKUP(YEAR($A114),'Festive dates'!$A$2:$J$5,4,FALSE),1,0)</f>
        <v>0</v>
      </c>
      <c r="V114" s="9">
        <f>IF(AND($A114&gt;=VLOOKUP(YEAR($A114),'Festive dates'!$A$2:$J$5,9,FALSE),$A114&lt;=VLOOKUP(YEAR($A114),'Festive dates'!$A$2:$J$5,10,FALSE)),1,0)</f>
        <v>0</v>
      </c>
      <c r="W114" s="9">
        <f>IF($A114=VLOOKUP(YEAR($A114),'Festive dates'!$A$2:$J$5,7,FALSE),1,0)</f>
        <v>0</v>
      </c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>
      <c r="A115" s="8">
        <v>45130</v>
      </c>
      <c r="B115" s="9">
        <v>0</v>
      </c>
      <c r="C115" s="9">
        <v>0</v>
      </c>
      <c r="D115" s="9">
        <v>0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f>MAX(-20,MIN(10,$A115-VLOOKUP(YEAR($A115),'Festive dates'!$A$2:$J$5,8,FALSE)))</f>
        <v>-20</v>
      </c>
      <c r="R115" s="9">
        <f>IF(AND($A115&gt;VLOOKUP(YEAR($A115),'Festive dates'!$A$2:$J$5,2,FALSE),$A115&lt;VLOOKUP(YEAR($A115),'Festive dates'!$A$2:$J$5,3,FALSE)),1,0)</f>
        <v>0</v>
      </c>
      <c r="S115" s="9">
        <f>IF($A115=VLOOKUP(YEAR($A115),'Festive dates'!$A$2:$J$5,2,FALSE),1,0)</f>
        <v>0</v>
      </c>
      <c r="T115" s="9">
        <f>IF($A115=VLOOKUP(YEAR($A115),'Festive dates'!$A$2:$J$5,3,FALSE),1,0)</f>
        <v>0</v>
      </c>
      <c r="U115" s="9">
        <f>IF($A115=VLOOKUP(YEAR($A115),'Festive dates'!$A$2:$J$5,4,FALSE),1,0)</f>
        <v>0</v>
      </c>
      <c r="V115" s="9">
        <f>IF(AND($A115&gt;=VLOOKUP(YEAR($A115),'Festive dates'!$A$2:$J$5,9,FALSE),$A115&lt;=VLOOKUP(YEAR($A115),'Festive dates'!$A$2:$J$5,10,FALSE)),1,0)</f>
        <v>0</v>
      </c>
      <c r="W115" s="9">
        <f>IF($A115=VLOOKUP(YEAR($A115),'Festive dates'!$A$2:$J$5,7,FALSE),1,0)</f>
        <v>0</v>
      </c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>
      <c r="A116" s="8">
        <v>45131</v>
      </c>
      <c r="B116" s="9">
        <v>0</v>
      </c>
      <c r="C116" s="9">
        <v>0</v>
      </c>
      <c r="D116" s="9">
        <v>0</v>
      </c>
      <c r="E116" s="9">
        <v>0</v>
      </c>
      <c r="F116" s="9">
        <v>0</v>
      </c>
      <c r="G116" s="9">
        <v>0</v>
      </c>
      <c r="H116" s="9">
        <v>0</v>
      </c>
      <c r="I116" s="9">
        <v>0</v>
      </c>
      <c r="J116" s="9">
        <v>0</v>
      </c>
      <c r="K116" s="9">
        <v>0</v>
      </c>
      <c r="L116" s="9">
        <v>0</v>
      </c>
      <c r="M116" s="9">
        <v>0</v>
      </c>
      <c r="N116" s="9">
        <v>0</v>
      </c>
      <c r="O116" s="9">
        <v>0</v>
      </c>
      <c r="P116" s="9">
        <v>0</v>
      </c>
      <c r="Q116" s="9">
        <f>MAX(-20,MIN(10,$A116-VLOOKUP(YEAR($A116),'Festive dates'!$A$2:$J$5,8,FALSE)))</f>
        <v>-20</v>
      </c>
      <c r="R116" s="9">
        <f>IF(AND($A116&gt;VLOOKUP(YEAR($A116),'Festive dates'!$A$2:$J$5,2,FALSE),$A116&lt;VLOOKUP(YEAR($A116),'Festive dates'!$A$2:$J$5,3,FALSE)),1,0)</f>
        <v>0</v>
      </c>
      <c r="S116" s="9">
        <f>IF($A116=VLOOKUP(YEAR($A116),'Festive dates'!$A$2:$J$5,2,FALSE),1,0)</f>
        <v>0</v>
      </c>
      <c r="T116" s="9">
        <f>IF($A116=VLOOKUP(YEAR($A116),'Festive dates'!$A$2:$J$5,3,FALSE),1,0)</f>
        <v>0</v>
      </c>
      <c r="U116" s="9">
        <f>IF($A116=VLOOKUP(YEAR($A116),'Festive dates'!$A$2:$J$5,4,FALSE),1,0)</f>
        <v>0</v>
      </c>
      <c r="V116" s="9">
        <f>IF(AND($A116&gt;=VLOOKUP(YEAR($A116),'Festive dates'!$A$2:$J$5,9,FALSE),$A116&lt;=VLOOKUP(YEAR($A116),'Festive dates'!$A$2:$J$5,10,FALSE)),1,0)</f>
        <v>0</v>
      </c>
      <c r="W116" s="9">
        <f>IF($A116=VLOOKUP(YEAR($A116),'Festive dates'!$A$2:$J$5,7,FALSE),1,0)</f>
        <v>0</v>
      </c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>
      <c r="A117" s="8">
        <v>45132</v>
      </c>
      <c r="B117" s="9">
        <v>0</v>
      </c>
      <c r="C117" s="9">
        <v>0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f>MAX(-20,MIN(10,$A117-VLOOKUP(YEAR($A117),'Festive dates'!$A$2:$J$5,8,FALSE)))</f>
        <v>-20</v>
      </c>
      <c r="R117" s="9">
        <f>IF(AND($A117&gt;VLOOKUP(YEAR($A117),'Festive dates'!$A$2:$J$5,2,FALSE),$A117&lt;VLOOKUP(YEAR($A117),'Festive dates'!$A$2:$J$5,3,FALSE)),1,0)</f>
        <v>0</v>
      </c>
      <c r="S117" s="9">
        <f>IF($A117=VLOOKUP(YEAR($A117),'Festive dates'!$A$2:$J$5,2,FALSE),1,0)</f>
        <v>0</v>
      </c>
      <c r="T117" s="9">
        <f>IF($A117=VLOOKUP(YEAR($A117),'Festive dates'!$A$2:$J$5,3,FALSE),1,0)</f>
        <v>0</v>
      </c>
      <c r="U117" s="9">
        <f>IF($A117=VLOOKUP(YEAR($A117),'Festive dates'!$A$2:$J$5,4,FALSE),1,0)</f>
        <v>0</v>
      </c>
      <c r="V117" s="9">
        <f>IF(AND($A117&gt;=VLOOKUP(YEAR($A117),'Festive dates'!$A$2:$J$5,9,FALSE),$A117&lt;=VLOOKUP(YEAR($A117),'Festive dates'!$A$2:$J$5,10,FALSE)),1,0)</f>
        <v>0</v>
      </c>
      <c r="W117" s="9">
        <f>IF($A117=VLOOKUP(YEAR($A117),'Festive dates'!$A$2:$J$5,7,FALSE),1,0)</f>
        <v>0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>
      <c r="A118" s="8">
        <v>45133</v>
      </c>
      <c r="B118" s="9">
        <v>0</v>
      </c>
      <c r="C118" s="9">
        <v>0</v>
      </c>
      <c r="D118" s="9">
        <v>0</v>
      </c>
      <c r="E118" s="9">
        <v>0</v>
      </c>
      <c r="F118" s="9">
        <v>0</v>
      </c>
      <c r="G118" s="9">
        <v>0</v>
      </c>
      <c r="H118" s="9">
        <v>0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f>MAX(-20,MIN(10,$A118-VLOOKUP(YEAR($A118),'Festive dates'!$A$2:$J$5,8,FALSE)))</f>
        <v>-20</v>
      </c>
      <c r="R118" s="9">
        <f>IF(AND($A118&gt;VLOOKUP(YEAR($A118),'Festive dates'!$A$2:$J$5,2,FALSE),$A118&lt;VLOOKUP(YEAR($A118),'Festive dates'!$A$2:$J$5,3,FALSE)),1,0)</f>
        <v>0</v>
      </c>
      <c r="S118" s="9">
        <f>IF($A118=VLOOKUP(YEAR($A118),'Festive dates'!$A$2:$J$5,2,FALSE),1,0)</f>
        <v>0</v>
      </c>
      <c r="T118" s="9">
        <f>IF($A118=VLOOKUP(YEAR($A118),'Festive dates'!$A$2:$J$5,3,FALSE),1,0)</f>
        <v>0</v>
      </c>
      <c r="U118" s="9">
        <f>IF($A118=VLOOKUP(YEAR($A118),'Festive dates'!$A$2:$J$5,4,FALSE),1,0)</f>
        <v>0</v>
      </c>
      <c r="V118" s="9">
        <f>IF(AND($A118&gt;=VLOOKUP(YEAR($A118),'Festive dates'!$A$2:$J$5,9,FALSE),$A118&lt;=VLOOKUP(YEAR($A118),'Festive dates'!$A$2:$J$5,10,FALSE)),1,0)</f>
        <v>0</v>
      </c>
      <c r="W118" s="9">
        <f>IF($A118=VLOOKUP(YEAR($A118),'Festive dates'!$A$2:$J$5,7,FALSE),1,0)</f>
        <v>0</v>
      </c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>
      <c r="A119" s="8">
        <v>45134</v>
      </c>
      <c r="B119" s="9">
        <v>0</v>
      </c>
      <c r="C119" s="9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f>MAX(-20,MIN(10,$A119-VLOOKUP(YEAR($A119),'Festive dates'!$A$2:$J$5,8,FALSE)))</f>
        <v>-20</v>
      </c>
      <c r="R119" s="9">
        <f>IF(AND($A119&gt;VLOOKUP(YEAR($A119),'Festive dates'!$A$2:$J$5,2,FALSE),$A119&lt;VLOOKUP(YEAR($A119),'Festive dates'!$A$2:$J$5,3,FALSE)),1,0)</f>
        <v>0</v>
      </c>
      <c r="S119" s="9">
        <f>IF($A119=VLOOKUP(YEAR($A119),'Festive dates'!$A$2:$J$5,2,FALSE),1,0)</f>
        <v>0</v>
      </c>
      <c r="T119" s="9">
        <f>IF($A119=VLOOKUP(YEAR($A119),'Festive dates'!$A$2:$J$5,3,FALSE),1,0)</f>
        <v>0</v>
      </c>
      <c r="U119" s="9">
        <f>IF($A119=VLOOKUP(YEAR($A119),'Festive dates'!$A$2:$J$5,4,FALSE),1,0)</f>
        <v>0</v>
      </c>
      <c r="V119" s="9">
        <f>IF(AND($A119&gt;=VLOOKUP(YEAR($A119),'Festive dates'!$A$2:$J$5,9,FALSE),$A119&lt;=VLOOKUP(YEAR($A119),'Festive dates'!$A$2:$J$5,10,FALSE)),1,0)</f>
        <v>0</v>
      </c>
      <c r="W119" s="9">
        <f>IF($A119=VLOOKUP(YEAR($A119),'Festive dates'!$A$2:$J$5,7,FALSE),1,0)</f>
        <v>0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>
      <c r="A120" s="8">
        <v>45135</v>
      </c>
      <c r="B120" s="9">
        <v>0</v>
      </c>
      <c r="C120" s="9">
        <v>0</v>
      </c>
      <c r="D120" s="9">
        <v>0</v>
      </c>
      <c r="E120" s="9">
        <v>0</v>
      </c>
      <c r="F120" s="9">
        <v>0</v>
      </c>
      <c r="G120" s="9">
        <v>0</v>
      </c>
      <c r="H120" s="9">
        <v>0</v>
      </c>
      <c r="I120" s="9">
        <v>0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0</v>
      </c>
      <c r="P120" s="9">
        <v>0</v>
      </c>
      <c r="Q120" s="9">
        <f>MAX(-20,MIN(10,$A120-VLOOKUP(YEAR($A120),'Festive dates'!$A$2:$J$5,8,FALSE)))</f>
        <v>-20</v>
      </c>
      <c r="R120" s="9">
        <f>IF(AND($A120&gt;VLOOKUP(YEAR($A120),'Festive dates'!$A$2:$J$5,2,FALSE),$A120&lt;VLOOKUP(YEAR($A120),'Festive dates'!$A$2:$J$5,3,FALSE)),1,0)</f>
        <v>0</v>
      </c>
      <c r="S120" s="9">
        <f>IF($A120=VLOOKUP(YEAR($A120),'Festive dates'!$A$2:$J$5,2,FALSE),1,0)</f>
        <v>0</v>
      </c>
      <c r="T120" s="9">
        <f>IF($A120=VLOOKUP(YEAR($A120),'Festive dates'!$A$2:$J$5,3,FALSE),1,0)</f>
        <v>0</v>
      </c>
      <c r="U120" s="9">
        <f>IF($A120=VLOOKUP(YEAR($A120),'Festive dates'!$A$2:$J$5,4,FALSE),1,0)</f>
        <v>0</v>
      </c>
      <c r="V120" s="9">
        <f>IF(AND($A120&gt;=VLOOKUP(YEAR($A120),'Festive dates'!$A$2:$J$5,9,FALSE),$A120&lt;=VLOOKUP(YEAR($A120),'Festive dates'!$A$2:$J$5,10,FALSE)),1,0)</f>
        <v>0</v>
      </c>
      <c r="W120" s="9">
        <f>IF($A120=VLOOKUP(YEAR($A120),'Festive dates'!$A$2:$J$5,7,FALSE),1,0)</f>
        <v>0</v>
      </c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>
      <c r="A121" s="8">
        <v>45136</v>
      </c>
      <c r="B121" s="9">
        <v>0</v>
      </c>
      <c r="C121" s="9">
        <v>0</v>
      </c>
      <c r="D121" s="9">
        <v>0</v>
      </c>
      <c r="E121" s="9">
        <v>0</v>
      </c>
      <c r="F121" s="9">
        <v>0</v>
      </c>
      <c r="G121" s="9">
        <v>0</v>
      </c>
      <c r="H121" s="9">
        <v>0</v>
      </c>
      <c r="I121" s="9">
        <v>0</v>
      </c>
      <c r="J121" s="9">
        <v>0</v>
      </c>
      <c r="K121" s="9">
        <v>0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f>MAX(-20,MIN(10,$A121-VLOOKUP(YEAR($A121),'Festive dates'!$A$2:$J$5,8,FALSE)))</f>
        <v>-20</v>
      </c>
      <c r="R121" s="9">
        <f>IF(AND($A121&gt;VLOOKUP(YEAR($A121),'Festive dates'!$A$2:$J$5,2,FALSE),$A121&lt;VLOOKUP(YEAR($A121),'Festive dates'!$A$2:$J$5,3,FALSE)),1,0)</f>
        <v>0</v>
      </c>
      <c r="S121" s="9">
        <f>IF($A121=VLOOKUP(YEAR($A121),'Festive dates'!$A$2:$J$5,2,FALSE),1,0)</f>
        <v>0</v>
      </c>
      <c r="T121" s="9">
        <f>IF($A121=VLOOKUP(YEAR($A121),'Festive dates'!$A$2:$J$5,3,FALSE),1,0)</f>
        <v>0</v>
      </c>
      <c r="U121" s="9">
        <f>IF($A121=VLOOKUP(YEAR($A121),'Festive dates'!$A$2:$J$5,4,FALSE),1,0)</f>
        <v>0</v>
      </c>
      <c r="V121" s="9">
        <f>IF(AND($A121&gt;=VLOOKUP(YEAR($A121),'Festive dates'!$A$2:$J$5,9,FALSE),$A121&lt;=VLOOKUP(YEAR($A121),'Festive dates'!$A$2:$J$5,10,FALSE)),1,0)</f>
        <v>0</v>
      </c>
      <c r="W121" s="9">
        <f>IF($A121=VLOOKUP(YEAR($A121),'Festive dates'!$A$2:$J$5,7,FALSE),1,0)</f>
        <v>0</v>
      </c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>
      <c r="A122" s="8">
        <v>45137</v>
      </c>
      <c r="B122" s="9">
        <v>0</v>
      </c>
      <c r="C122" s="9">
        <v>0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v>0</v>
      </c>
      <c r="K122" s="9">
        <v>0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f>MAX(-20,MIN(10,$A122-VLOOKUP(YEAR($A122),'Festive dates'!$A$2:$J$5,8,FALSE)))</f>
        <v>-20</v>
      </c>
      <c r="R122" s="9">
        <f>IF(AND($A122&gt;VLOOKUP(YEAR($A122),'Festive dates'!$A$2:$J$5,2,FALSE),$A122&lt;VLOOKUP(YEAR($A122),'Festive dates'!$A$2:$J$5,3,FALSE)),1,0)</f>
        <v>0</v>
      </c>
      <c r="S122" s="9">
        <f>IF($A122=VLOOKUP(YEAR($A122),'Festive dates'!$A$2:$J$5,2,FALSE),1,0)</f>
        <v>0</v>
      </c>
      <c r="T122" s="9">
        <f>IF($A122=VLOOKUP(YEAR($A122),'Festive dates'!$A$2:$J$5,3,FALSE),1,0)</f>
        <v>0</v>
      </c>
      <c r="U122" s="9">
        <f>IF($A122=VLOOKUP(YEAR($A122),'Festive dates'!$A$2:$J$5,4,FALSE),1,0)</f>
        <v>0</v>
      </c>
      <c r="V122" s="9">
        <f>IF(AND($A122&gt;=VLOOKUP(YEAR($A122),'Festive dates'!$A$2:$J$5,9,FALSE),$A122&lt;=VLOOKUP(YEAR($A122),'Festive dates'!$A$2:$J$5,10,FALSE)),1,0)</f>
        <v>0</v>
      </c>
      <c r="W122" s="9">
        <f>IF($A122=VLOOKUP(YEAR($A122),'Festive dates'!$A$2:$J$5,7,FALSE),1,0)</f>
        <v>0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>
      <c r="A123" s="8">
        <v>45138</v>
      </c>
      <c r="B123" s="9">
        <v>0</v>
      </c>
      <c r="C123" s="9">
        <v>0</v>
      </c>
      <c r="D123" s="9">
        <v>0</v>
      </c>
      <c r="E123" s="9">
        <v>0</v>
      </c>
      <c r="F123" s="9">
        <v>0</v>
      </c>
      <c r="G123" s="9">
        <v>0</v>
      </c>
      <c r="H123" s="9">
        <v>0</v>
      </c>
      <c r="I123" s="9">
        <v>0</v>
      </c>
      <c r="J123" s="9">
        <v>0</v>
      </c>
      <c r="K123" s="9">
        <v>0</v>
      </c>
      <c r="L123" s="9">
        <v>0</v>
      </c>
      <c r="M123" s="9">
        <v>0</v>
      </c>
      <c r="N123" s="9">
        <v>0</v>
      </c>
      <c r="O123" s="9">
        <v>0</v>
      </c>
      <c r="P123" s="9">
        <v>0</v>
      </c>
      <c r="Q123" s="9">
        <f>MAX(-20,MIN(10,$A123-VLOOKUP(YEAR($A123),'Festive dates'!$A$2:$J$5,8,FALSE)))</f>
        <v>-20</v>
      </c>
      <c r="R123" s="9">
        <f>IF(AND($A123&gt;VLOOKUP(YEAR($A123),'Festive dates'!$A$2:$J$5,2,FALSE),$A123&lt;VLOOKUP(YEAR($A123),'Festive dates'!$A$2:$J$5,3,FALSE)),1,0)</f>
        <v>0</v>
      </c>
      <c r="S123" s="9">
        <f>IF($A123=VLOOKUP(YEAR($A123),'Festive dates'!$A$2:$J$5,2,FALSE),1,0)</f>
        <v>0</v>
      </c>
      <c r="T123" s="9">
        <f>IF($A123=VLOOKUP(YEAR($A123),'Festive dates'!$A$2:$J$5,3,FALSE),1,0)</f>
        <v>0</v>
      </c>
      <c r="U123" s="9">
        <f>IF($A123=VLOOKUP(YEAR($A123),'Festive dates'!$A$2:$J$5,4,FALSE),1,0)</f>
        <v>0</v>
      </c>
      <c r="V123" s="9">
        <f>IF(AND($A123&gt;=VLOOKUP(YEAR($A123),'Festive dates'!$A$2:$J$5,9,FALSE),$A123&lt;=VLOOKUP(YEAR($A123),'Festive dates'!$A$2:$J$5,10,FALSE)),1,0)</f>
        <v>0</v>
      </c>
      <c r="W123" s="9">
        <f>IF($A123=VLOOKUP(YEAR($A123),'Festive dates'!$A$2:$J$5,7,FALSE),1,0)</f>
        <v>0</v>
      </c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>
      <c r="A124" s="8">
        <v>45139</v>
      </c>
      <c r="B124" s="9">
        <v>0</v>
      </c>
      <c r="C124" s="9">
        <v>0</v>
      </c>
      <c r="D124" s="9">
        <v>0</v>
      </c>
      <c r="E124" s="9">
        <v>0</v>
      </c>
      <c r="F124" s="9">
        <v>0</v>
      </c>
      <c r="G124" s="9">
        <v>0</v>
      </c>
      <c r="H124" s="9">
        <v>0</v>
      </c>
      <c r="I124" s="9">
        <v>0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f>MAX(-20,MIN(10,$A124-VLOOKUP(YEAR($A124),'Festive dates'!$A$2:$J$5,8,FALSE)))</f>
        <v>-20</v>
      </c>
      <c r="R124" s="9">
        <f>IF(AND($A124&gt;VLOOKUP(YEAR($A124),'Festive dates'!$A$2:$J$5,2,FALSE),$A124&lt;VLOOKUP(YEAR($A124),'Festive dates'!$A$2:$J$5,3,FALSE)),1,0)</f>
        <v>0</v>
      </c>
      <c r="S124" s="9">
        <f>IF($A124=VLOOKUP(YEAR($A124),'Festive dates'!$A$2:$J$5,2,FALSE),1,0)</f>
        <v>0</v>
      </c>
      <c r="T124" s="9">
        <f>IF($A124=VLOOKUP(YEAR($A124),'Festive dates'!$A$2:$J$5,3,FALSE),1,0)</f>
        <v>0</v>
      </c>
      <c r="U124" s="9">
        <f>IF($A124=VLOOKUP(YEAR($A124),'Festive dates'!$A$2:$J$5,4,FALSE),1,0)</f>
        <v>0</v>
      </c>
      <c r="V124" s="9">
        <f>IF(AND($A124&gt;=VLOOKUP(YEAR($A124),'Festive dates'!$A$2:$J$5,9,FALSE),$A124&lt;=VLOOKUP(YEAR($A124),'Festive dates'!$A$2:$J$5,10,FALSE)),1,0)</f>
        <v>0</v>
      </c>
      <c r="W124" s="9">
        <f>IF($A124=VLOOKUP(YEAR($A124),'Festive dates'!$A$2:$J$5,7,FALSE),1,0)</f>
        <v>0</v>
      </c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>
      <c r="A125" s="8">
        <v>45140</v>
      </c>
      <c r="B125" s="9">
        <v>0</v>
      </c>
      <c r="C125" s="9">
        <v>0</v>
      </c>
      <c r="D125" s="9">
        <v>0</v>
      </c>
      <c r="E125" s="9">
        <v>0</v>
      </c>
      <c r="F125" s="9">
        <v>0</v>
      </c>
      <c r="G125" s="9">
        <v>0</v>
      </c>
      <c r="H125" s="9">
        <v>0</v>
      </c>
      <c r="I125" s="9">
        <v>0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f>MAX(-20,MIN(10,$A125-VLOOKUP(YEAR($A125),'Festive dates'!$A$2:$J$5,8,FALSE)))</f>
        <v>-20</v>
      </c>
      <c r="R125" s="9">
        <f>IF(AND($A125&gt;VLOOKUP(YEAR($A125),'Festive dates'!$A$2:$J$5,2,FALSE),$A125&lt;VLOOKUP(YEAR($A125),'Festive dates'!$A$2:$J$5,3,FALSE)),1,0)</f>
        <v>0</v>
      </c>
      <c r="S125" s="9">
        <f>IF($A125=VLOOKUP(YEAR($A125),'Festive dates'!$A$2:$J$5,2,FALSE),1,0)</f>
        <v>0</v>
      </c>
      <c r="T125" s="9">
        <f>IF($A125=VLOOKUP(YEAR($A125),'Festive dates'!$A$2:$J$5,3,FALSE),1,0)</f>
        <v>0</v>
      </c>
      <c r="U125" s="9">
        <f>IF($A125=VLOOKUP(YEAR($A125),'Festive dates'!$A$2:$J$5,4,FALSE),1,0)</f>
        <v>0</v>
      </c>
      <c r="V125" s="9">
        <f>IF(AND($A125&gt;=VLOOKUP(YEAR($A125),'Festive dates'!$A$2:$J$5,9,FALSE),$A125&lt;=VLOOKUP(YEAR($A125),'Festive dates'!$A$2:$J$5,10,FALSE)),1,0)</f>
        <v>0</v>
      </c>
      <c r="W125" s="9">
        <f>IF($A125=VLOOKUP(YEAR($A125),'Festive dates'!$A$2:$J$5,7,FALSE),1,0)</f>
        <v>0</v>
      </c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>
      <c r="A126" s="8">
        <v>45141</v>
      </c>
      <c r="B126" s="9">
        <v>0</v>
      </c>
      <c r="C126" s="9">
        <v>0</v>
      </c>
      <c r="D126" s="9">
        <v>0</v>
      </c>
      <c r="E126" s="9">
        <v>0</v>
      </c>
      <c r="F126" s="9">
        <v>0</v>
      </c>
      <c r="G126" s="9">
        <v>0</v>
      </c>
      <c r="H126" s="9">
        <v>0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f>MAX(-20,MIN(10,$A126-VLOOKUP(YEAR($A126),'Festive dates'!$A$2:$J$5,8,FALSE)))</f>
        <v>-20</v>
      </c>
      <c r="R126" s="9">
        <f>IF(AND($A126&gt;VLOOKUP(YEAR($A126),'Festive dates'!$A$2:$J$5,2,FALSE),$A126&lt;VLOOKUP(YEAR($A126),'Festive dates'!$A$2:$J$5,3,FALSE)),1,0)</f>
        <v>0</v>
      </c>
      <c r="S126" s="9">
        <f>IF($A126=VLOOKUP(YEAR($A126),'Festive dates'!$A$2:$J$5,2,FALSE),1,0)</f>
        <v>0</v>
      </c>
      <c r="T126" s="9">
        <f>IF($A126=VLOOKUP(YEAR($A126),'Festive dates'!$A$2:$J$5,3,FALSE),1,0)</f>
        <v>0</v>
      </c>
      <c r="U126" s="9">
        <f>IF($A126=VLOOKUP(YEAR($A126),'Festive dates'!$A$2:$J$5,4,FALSE),1,0)</f>
        <v>0</v>
      </c>
      <c r="V126" s="9">
        <f>IF(AND($A126&gt;=VLOOKUP(YEAR($A126),'Festive dates'!$A$2:$J$5,9,FALSE),$A126&lt;=VLOOKUP(YEAR($A126),'Festive dates'!$A$2:$J$5,10,FALSE)),1,0)</f>
        <v>0</v>
      </c>
      <c r="W126" s="9">
        <f>IF($A126=VLOOKUP(YEAR($A126),'Festive dates'!$A$2:$J$5,7,FALSE),1,0)</f>
        <v>0</v>
      </c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>
      <c r="A127" s="8">
        <v>45142</v>
      </c>
      <c r="B127" s="9">
        <v>0</v>
      </c>
      <c r="C127" s="9">
        <v>0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v>0</v>
      </c>
      <c r="K127" s="9">
        <v>0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f>MAX(-20,MIN(10,$A127-VLOOKUP(YEAR($A127),'Festive dates'!$A$2:$J$5,8,FALSE)))</f>
        <v>-20</v>
      </c>
      <c r="R127" s="9">
        <f>IF(AND($A127&gt;VLOOKUP(YEAR($A127),'Festive dates'!$A$2:$J$5,2,FALSE),$A127&lt;VLOOKUP(YEAR($A127),'Festive dates'!$A$2:$J$5,3,FALSE)),1,0)</f>
        <v>0</v>
      </c>
      <c r="S127" s="9">
        <f>IF($A127=VLOOKUP(YEAR($A127),'Festive dates'!$A$2:$J$5,2,FALSE),1,0)</f>
        <v>0</v>
      </c>
      <c r="T127" s="9">
        <f>IF($A127=VLOOKUP(YEAR($A127),'Festive dates'!$A$2:$J$5,3,FALSE),1,0)</f>
        <v>0</v>
      </c>
      <c r="U127" s="9">
        <f>IF($A127=VLOOKUP(YEAR($A127),'Festive dates'!$A$2:$J$5,4,FALSE),1,0)</f>
        <v>0</v>
      </c>
      <c r="V127" s="9">
        <f>IF(AND($A127&gt;=VLOOKUP(YEAR($A127),'Festive dates'!$A$2:$J$5,9,FALSE),$A127&lt;=VLOOKUP(YEAR($A127),'Festive dates'!$A$2:$J$5,10,FALSE)),1,0)</f>
        <v>0</v>
      </c>
      <c r="W127" s="9">
        <f>IF($A127=VLOOKUP(YEAR($A127),'Festive dates'!$A$2:$J$5,7,FALSE),1,0)</f>
        <v>0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>
      <c r="A128" s="8">
        <v>45143</v>
      </c>
      <c r="B128" s="9">
        <v>0</v>
      </c>
      <c r="C128" s="9">
        <v>0</v>
      </c>
      <c r="D128" s="9">
        <v>0</v>
      </c>
      <c r="E128" s="9">
        <v>0</v>
      </c>
      <c r="F128" s="9">
        <v>0</v>
      </c>
      <c r="G128" s="9">
        <v>0</v>
      </c>
      <c r="H128" s="9">
        <v>0</v>
      </c>
      <c r="I128" s="9">
        <v>0</v>
      </c>
      <c r="J128" s="9">
        <v>0</v>
      </c>
      <c r="K128" s="9">
        <v>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f>MAX(-20,MIN(10,$A128-VLOOKUP(YEAR($A128),'Festive dates'!$A$2:$J$5,8,FALSE)))</f>
        <v>-20</v>
      </c>
      <c r="R128" s="9">
        <f>IF(AND($A128&gt;VLOOKUP(YEAR($A128),'Festive dates'!$A$2:$J$5,2,FALSE),$A128&lt;VLOOKUP(YEAR($A128),'Festive dates'!$A$2:$J$5,3,FALSE)),1,0)</f>
        <v>0</v>
      </c>
      <c r="S128" s="9">
        <f>IF($A128=VLOOKUP(YEAR($A128),'Festive dates'!$A$2:$J$5,2,FALSE),1,0)</f>
        <v>0</v>
      </c>
      <c r="T128" s="9">
        <f>IF($A128=VLOOKUP(YEAR($A128),'Festive dates'!$A$2:$J$5,3,FALSE),1,0)</f>
        <v>0</v>
      </c>
      <c r="U128" s="9">
        <f>IF($A128=VLOOKUP(YEAR($A128),'Festive dates'!$A$2:$J$5,4,FALSE),1,0)</f>
        <v>0</v>
      </c>
      <c r="V128" s="9">
        <f>IF(AND($A128&gt;=VLOOKUP(YEAR($A128),'Festive dates'!$A$2:$J$5,9,FALSE),$A128&lt;=VLOOKUP(YEAR($A128),'Festive dates'!$A$2:$J$5,10,FALSE)),1,0)</f>
        <v>0</v>
      </c>
      <c r="W128" s="9">
        <f>IF($A128=VLOOKUP(YEAR($A128),'Festive dates'!$A$2:$J$5,7,FALSE),1,0)</f>
        <v>0</v>
      </c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>
      <c r="A129" s="8">
        <v>45144</v>
      </c>
      <c r="B129" s="9">
        <v>0</v>
      </c>
      <c r="C129" s="9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v>0</v>
      </c>
      <c r="K129" s="9">
        <v>0</v>
      </c>
      <c r="L129" s="9">
        <v>0</v>
      </c>
      <c r="M129" s="9">
        <v>0</v>
      </c>
      <c r="N129" s="9">
        <v>0</v>
      </c>
      <c r="O129" s="9">
        <v>0</v>
      </c>
      <c r="P129" s="9">
        <v>0</v>
      </c>
      <c r="Q129" s="9">
        <f>MAX(-20,MIN(10,$A129-VLOOKUP(YEAR($A129),'Festive dates'!$A$2:$J$5,8,FALSE)))</f>
        <v>-20</v>
      </c>
      <c r="R129" s="9">
        <f>IF(AND($A129&gt;VLOOKUP(YEAR($A129),'Festive dates'!$A$2:$J$5,2,FALSE),$A129&lt;VLOOKUP(YEAR($A129),'Festive dates'!$A$2:$J$5,3,FALSE)),1,0)</f>
        <v>0</v>
      </c>
      <c r="S129" s="9">
        <f>IF($A129=VLOOKUP(YEAR($A129),'Festive dates'!$A$2:$J$5,2,FALSE),1,0)</f>
        <v>0</v>
      </c>
      <c r="T129" s="9">
        <f>IF($A129=VLOOKUP(YEAR($A129),'Festive dates'!$A$2:$J$5,3,FALSE),1,0)</f>
        <v>0</v>
      </c>
      <c r="U129" s="9">
        <f>IF($A129=VLOOKUP(YEAR($A129),'Festive dates'!$A$2:$J$5,4,FALSE),1,0)</f>
        <v>0</v>
      </c>
      <c r="V129" s="9">
        <f>IF(AND($A129&gt;=VLOOKUP(YEAR($A129),'Festive dates'!$A$2:$J$5,9,FALSE),$A129&lt;=VLOOKUP(YEAR($A129),'Festive dates'!$A$2:$J$5,10,FALSE)),1,0)</f>
        <v>0</v>
      </c>
      <c r="W129" s="9">
        <f>IF($A129=VLOOKUP(YEAR($A129),'Festive dates'!$A$2:$J$5,7,FALSE),1,0)</f>
        <v>0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>
      <c r="A130" s="8">
        <v>45145</v>
      </c>
      <c r="B130" s="9">
        <v>0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0</v>
      </c>
      <c r="M130" s="9">
        <v>0</v>
      </c>
      <c r="N130" s="9">
        <v>0</v>
      </c>
      <c r="O130" s="9">
        <v>0</v>
      </c>
      <c r="P130" s="9">
        <v>0</v>
      </c>
      <c r="Q130" s="9">
        <f>MAX(-20,MIN(10,$A130-VLOOKUP(YEAR($A130),'Festive dates'!$A$2:$J$5,8,FALSE)))</f>
        <v>-20</v>
      </c>
      <c r="R130" s="9">
        <f>IF(AND($A130&gt;VLOOKUP(YEAR($A130),'Festive dates'!$A$2:$J$5,2,FALSE),$A130&lt;VLOOKUP(YEAR($A130),'Festive dates'!$A$2:$J$5,3,FALSE)),1,0)</f>
        <v>0</v>
      </c>
      <c r="S130" s="9">
        <f>IF($A130=VLOOKUP(YEAR($A130),'Festive dates'!$A$2:$J$5,2,FALSE),1,0)</f>
        <v>0</v>
      </c>
      <c r="T130" s="9">
        <f>IF($A130=VLOOKUP(YEAR($A130),'Festive dates'!$A$2:$J$5,3,FALSE),1,0)</f>
        <v>0</v>
      </c>
      <c r="U130" s="9">
        <f>IF($A130=VLOOKUP(YEAR($A130),'Festive dates'!$A$2:$J$5,4,FALSE),1,0)</f>
        <v>0</v>
      </c>
      <c r="V130" s="9">
        <f>IF(AND($A130&gt;=VLOOKUP(YEAR($A130),'Festive dates'!$A$2:$J$5,9,FALSE),$A130&lt;=VLOOKUP(YEAR($A130),'Festive dates'!$A$2:$J$5,10,FALSE)),1,0)</f>
        <v>0</v>
      </c>
      <c r="W130" s="9">
        <f>IF($A130=VLOOKUP(YEAR($A130),'Festive dates'!$A$2:$J$5,7,FALSE),1,0)</f>
        <v>0</v>
      </c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>
      <c r="A131" s="8">
        <v>45146</v>
      </c>
      <c r="B131" s="9">
        <v>0</v>
      </c>
      <c r="C131" s="9">
        <v>0</v>
      </c>
      <c r="D131" s="9">
        <v>0</v>
      </c>
      <c r="E131" s="9">
        <v>0</v>
      </c>
      <c r="F131" s="9">
        <v>0</v>
      </c>
      <c r="G131" s="9">
        <v>0</v>
      </c>
      <c r="H131" s="9">
        <v>0</v>
      </c>
      <c r="I131" s="9">
        <v>0</v>
      </c>
      <c r="J131" s="9">
        <v>0</v>
      </c>
      <c r="K131" s="9">
        <v>0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f>MAX(-20,MIN(10,$A131-VLOOKUP(YEAR($A131),'Festive dates'!$A$2:$J$5,8,FALSE)))</f>
        <v>-20</v>
      </c>
      <c r="R131" s="9">
        <f>IF(AND($A131&gt;VLOOKUP(YEAR($A131),'Festive dates'!$A$2:$J$5,2,FALSE),$A131&lt;VLOOKUP(YEAR($A131),'Festive dates'!$A$2:$J$5,3,FALSE)),1,0)</f>
        <v>0</v>
      </c>
      <c r="S131" s="9">
        <f>IF($A131=VLOOKUP(YEAR($A131),'Festive dates'!$A$2:$J$5,2,FALSE),1,0)</f>
        <v>0</v>
      </c>
      <c r="T131" s="9">
        <f>IF($A131=VLOOKUP(YEAR($A131),'Festive dates'!$A$2:$J$5,3,FALSE),1,0)</f>
        <v>0</v>
      </c>
      <c r="U131" s="9">
        <f>IF($A131=VLOOKUP(YEAR($A131),'Festive dates'!$A$2:$J$5,4,FALSE),1,0)</f>
        <v>0</v>
      </c>
      <c r="V131" s="9">
        <f>IF(AND($A131&gt;=VLOOKUP(YEAR($A131),'Festive dates'!$A$2:$J$5,9,FALSE),$A131&lt;=VLOOKUP(YEAR($A131),'Festive dates'!$A$2:$J$5,10,FALSE)),1,0)</f>
        <v>0</v>
      </c>
      <c r="W131" s="9">
        <f>IF($A131=VLOOKUP(YEAR($A131),'Festive dates'!$A$2:$J$5,7,FALSE),1,0)</f>
        <v>0</v>
      </c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>
      <c r="A132" s="8">
        <v>45147</v>
      </c>
      <c r="B132" s="9">
        <v>0</v>
      </c>
      <c r="C132" s="9">
        <v>0</v>
      </c>
      <c r="D132" s="9">
        <v>0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v>0</v>
      </c>
      <c r="K132" s="9">
        <v>0</v>
      </c>
      <c r="L132" s="9">
        <v>0</v>
      </c>
      <c r="M132" s="9">
        <v>0</v>
      </c>
      <c r="N132" s="9">
        <v>0</v>
      </c>
      <c r="O132" s="9">
        <v>0</v>
      </c>
      <c r="P132" s="9">
        <v>0</v>
      </c>
      <c r="Q132" s="9">
        <f>MAX(-20,MIN(10,$A132-VLOOKUP(YEAR($A132),'Festive dates'!$A$2:$J$5,8,FALSE)))</f>
        <v>-20</v>
      </c>
      <c r="R132" s="9">
        <f>IF(AND($A132&gt;VLOOKUP(YEAR($A132),'Festive dates'!$A$2:$J$5,2,FALSE),$A132&lt;VLOOKUP(YEAR($A132),'Festive dates'!$A$2:$J$5,3,FALSE)),1,0)</f>
        <v>0</v>
      </c>
      <c r="S132" s="9">
        <f>IF($A132=VLOOKUP(YEAR($A132),'Festive dates'!$A$2:$J$5,2,FALSE),1,0)</f>
        <v>0</v>
      </c>
      <c r="T132" s="9">
        <f>IF($A132=VLOOKUP(YEAR($A132),'Festive dates'!$A$2:$J$5,3,FALSE),1,0)</f>
        <v>0</v>
      </c>
      <c r="U132" s="9">
        <f>IF($A132=VLOOKUP(YEAR($A132),'Festive dates'!$A$2:$J$5,4,FALSE),1,0)</f>
        <v>0</v>
      </c>
      <c r="V132" s="9">
        <f>IF(AND($A132&gt;=VLOOKUP(YEAR($A132),'Festive dates'!$A$2:$J$5,9,FALSE),$A132&lt;=VLOOKUP(YEAR($A132),'Festive dates'!$A$2:$J$5,10,FALSE)),1,0)</f>
        <v>0</v>
      </c>
      <c r="W132" s="9">
        <f>IF($A132=VLOOKUP(YEAR($A132),'Festive dates'!$A$2:$J$5,7,FALSE),1,0)</f>
        <v>0</v>
      </c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>
      <c r="A133" s="8">
        <v>45148</v>
      </c>
      <c r="B133" s="9">
        <v>0</v>
      </c>
      <c r="C133" s="9">
        <v>0</v>
      </c>
      <c r="D133" s="9">
        <v>0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v>0</v>
      </c>
      <c r="K133" s="9">
        <v>0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f>MAX(-20,MIN(10,$A133-VLOOKUP(YEAR($A133),'Festive dates'!$A$2:$J$5,8,FALSE)))</f>
        <v>-20</v>
      </c>
      <c r="R133" s="9">
        <f>IF(AND($A133&gt;VLOOKUP(YEAR($A133),'Festive dates'!$A$2:$J$5,2,FALSE),$A133&lt;VLOOKUP(YEAR($A133),'Festive dates'!$A$2:$J$5,3,FALSE)),1,0)</f>
        <v>0</v>
      </c>
      <c r="S133" s="9">
        <f>IF($A133=VLOOKUP(YEAR($A133),'Festive dates'!$A$2:$J$5,2,FALSE),1,0)</f>
        <v>0</v>
      </c>
      <c r="T133" s="9">
        <f>IF($A133=VLOOKUP(YEAR($A133),'Festive dates'!$A$2:$J$5,3,FALSE),1,0)</f>
        <v>0</v>
      </c>
      <c r="U133" s="9">
        <f>IF($A133=VLOOKUP(YEAR($A133),'Festive dates'!$A$2:$J$5,4,FALSE),1,0)</f>
        <v>0</v>
      </c>
      <c r="V133" s="9">
        <f>IF(AND($A133&gt;=VLOOKUP(YEAR($A133),'Festive dates'!$A$2:$J$5,9,FALSE),$A133&lt;=VLOOKUP(YEAR($A133),'Festive dates'!$A$2:$J$5,10,FALSE)),1,0)</f>
        <v>0</v>
      </c>
      <c r="W133" s="9">
        <f>IF($A133=VLOOKUP(YEAR($A133),'Festive dates'!$A$2:$J$5,7,FALSE),1,0)</f>
        <v>0</v>
      </c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>
      <c r="A134" s="8">
        <v>45149</v>
      </c>
      <c r="B134" s="9">
        <v>0</v>
      </c>
      <c r="C134" s="9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v>0</v>
      </c>
      <c r="K134" s="9">
        <v>0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f>MAX(-20,MIN(10,$A134-VLOOKUP(YEAR($A134),'Festive dates'!$A$2:$J$5,8,FALSE)))</f>
        <v>-20</v>
      </c>
      <c r="R134" s="9">
        <f>IF(AND($A134&gt;VLOOKUP(YEAR($A134),'Festive dates'!$A$2:$J$5,2,FALSE),$A134&lt;VLOOKUP(YEAR($A134),'Festive dates'!$A$2:$J$5,3,FALSE)),1,0)</f>
        <v>0</v>
      </c>
      <c r="S134" s="9">
        <f>IF($A134=VLOOKUP(YEAR($A134),'Festive dates'!$A$2:$J$5,2,FALSE),1,0)</f>
        <v>0</v>
      </c>
      <c r="T134" s="9">
        <f>IF($A134=VLOOKUP(YEAR($A134),'Festive dates'!$A$2:$J$5,3,FALSE),1,0)</f>
        <v>0</v>
      </c>
      <c r="U134" s="9">
        <f>IF($A134=VLOOKUP(YEAR($A134),'Festive dates'!$A$2:$J$5,4,FALSE),1,0)</f>
        <v>0</v>
      </c>
      <c r="V134" s="9">
        <f>IF(AND($A134&gt;=VLOOKUP(YEAR($A134),'Festive dates'!$A$2:$J$5,9,FALSE),$A134&lt;=VLOOKUP(YEAR($A134),'Festive dates'!$A$2:$J$5,10,FALSE)),1,0)</f>
        <v>0</v>
      </c>
      <c r="W134" s="9">
        <f>IF($A134=VLOOKUP(YEAR($A134),'Festive dates'!$A$2:$J$5,7,FALSE),1,0)</f>
        <v>0</v>
      </c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>
      <c r="A135" s="8">
        <v>45150</v>
      </c>
      <c r="B135" s="9">
        <v>0</v>
      </c>
      <c r="C135" s="9">
        <v>0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f>MAX(-20,MIN(10,$A135-VLOOKUP(YEAR($A135),'Festive dates'!$A$2:$J$5,8,FALSE)))</f>
        <v>-20</v>
      </c>
      <c r="R135" s="9">
        <f>IF(AND($A135&gt;VLOOKUP(YEAR($A135),'Festive dates'!$A$2:$J$5,2,FALSE),$A135&lt;VLOOKUP(YEAR($A135),'Festive dates'!$A$2:$J$5,3,FALSE)),1,0)</f>
        <v>0</v>
      </c>
      <c r="S135" s="9">
        <f>IF($A135=VLOOKUP(YEAR($A135),'Festive dates'!$A$2:$J$5,2,FALSE),1,0)</f>
        <v>0</v>
      </c>
      <c r="T135" s="9">
        <f>IF($A135=VLOOKUP(YEAR($A135),'Festive dates'!$A$2:$J$5,3,FALSE),1,0)</f>
        <v>0</v>
      </c>
      <c r="U135" s="9">
        <f>IF($A135=VLOOKUP(YEAR($A135),'Festive dates'!$A$2:$J$5,4,FALSE),1,0)</f>
        <v>0</v>
      </c>
      <c r="V135" s="9">
        <f>IF(AND($A135&gt;=VLOOKUP(YEAR($A135),'Festive dates'!$A$2:$J$5,9,FALSE),$A135&lt;=VLOOKUP(YEAR($A135),'Festive dates'!$A$2:$J$5,10,FALSE)),1,0)</f>
        <v>0</v>
      </c>
      <c r="W135" s="9">
        <f>IF($A135=VLOOKUP(YEAR($A135),'Festive dates'!$A$2:$J$5,7,FALSE),1,0)</f>
        <v>0</v>
      </c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>
      <c r="A136" s="8">
        <v>45151</v>
      </c>
      <c r="B136" s="9">
        <v>0</v>
      </c>
      <c r="C136" s="9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f>MAX(-20,MIN(10,$A136-VLOOKUP(YEAR($A136),'Festive dates'!$A$2:$J$5,8,FALSE)))</f>
        <v>-20</v>
      </c>
      <c r="R136" s="9">
        <f>IF(AND($A136&gt;VLOOKUP(YEAR($A136),'Festive dates'!$A$2:$J$5,2,FALSE),$A136&lt;VLOOKUP(YEAR($A136),'Festive dates'!$A$2:$J$5,3,FALSE)),1,0)</f>
        <v>0</v>
      </c>
      <c r="S136" s="9">
        <f>IF($A136=VLOOKUP(YEAR($A136),'Festive dates'!$A$2:$J$5,2,FALSE),1,0)</f>
        <v>0</v>
      </c>
      <c r="T136" s="9">
        <f>IF($A136=VLOOKUP(YEAR($A136),'Festive dates'!$A$2:$J$5,3,FALSE),1,0)</f>
        <v>0</v>
      </c>
      <c r="U136" s="9">
        <f>IF($A136=VLOOKUP(YEAR($A136),'Festive dates'!$A$2:$J$5,4,FALSE),1,0)</f>
        <v>0</v>
      </c>
      <c r="V136" s="9">
        <f>IF(AND($A136&gt;=VLOOKUP(YEAR($A136),'Festive dates'!$A$2:$J$5,9,FALSE),$A136&lt;=VLOOKUP(YEAR($A136),'Festive dates'!$A$2:$J$5,10,FALSE)),1,0)</f>
        <v>0</v>
      </c>
      <c r="W136" s="9">
        <f>IF($A136=VLOOKUP(YEAR($A136),'Festive dates'!$A$2:$J$5,7,FALSE),1,0)</f>
        <v>0</v>
      </c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>
      <c r="A137" s="8">
        <v>45152</v>
      </c>
      <c r="B137" s="9">
        <v>0</v>
      </c>
      <c r="C137" s="9">
        <v>0</v>
      </c>
      <c r="D137" s="9">
        <v>0</v>
      </c>
      <c r="E137" s="9">
        <v>0</v>
      </c>
      <c r="F137" s="9">
        <v>0</v>
      </c>
      <c r="G137" s="9">
        <v>0</v>
      </c>
      <c r="H137" s="9">
        <v>0</v>
      </c>
      <c r="I137" s="9">
        <v>0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f>MAX(-20,MIN(10,$A137-VLOOKUP(YEAR($A137),'Festive dates'!$A$2:$J$5,8,FALSE)))</f>
        <v>-20</v>
      </c>
      <c r="R137" s="9">
        <f>IF(AND($A137&gt;VLOOKUP(YEAR($A137),'Festive dates'!$A$2:$J$5,2,FALSE),$A137&lt;VLOOKUP(YEAR($A137),'Festive dates'!$A$2:$J$5,3,FALSE)),1,0)</f>
        <v>0</v>
      </c>
      <c r="S137" s="9">
        <f>IF($A137=VLOOKUP(YEAR($A137),'Festive dates'!$A$2:$J$5,2,FALSE),1,0)</f>
        <v>0</v>
      </c>
      <c r="T137" s="9">
        <f>IF($A137=VLOOKUP(YEAR($A137),'Festive dates'!$A$2:$J$5,3,FALSE),1,0)</f>
        <v>0</v>
      </c>
      <c r="U137" s="9">
        <f>IF($A137=VLOOKUP(YEAR($A137),'Festive dates'!$A$2:$J$5,4,FALSE),1,0)</f>
        <v>0</v>
      </c>
      <c r="V137" s="9">
        <f>IF(AND($A137&gt;=VLOOKUP(YEAR($A137),'Festive dates'!$A$2:$J$5,9,FALSE),$A137&lt;=VLOOKUP(YEAR($A137),'Festive dates'!$A$2:$J$5,10,FALSE)),1,0)</f>
        <v>0</v>
      </c>
      <c r="W137" s="9">
        <f>IF($A137=VLOOKUP(YEAR($A137),'Festive dates'!$A$2:$J$5,7,FALSE),1,0)</f>
        <v>0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>
      <c r="A138" s="8">
        <v>45153</v>
      </c>
      <c r="B138" s="9">
        <v>0</v>
      </c>
      <c r="C138" s="9">
        <v>0</v>
      </c>
      <c r="D138" s="9">
        <v>0</v>
      </c>
      <c r="E138" s="9">
        <v>0</v>
      </c>
      <c r="F138" s="9">
        <v>0</v>
      </c>
      <c r="G138" s="9">
        <v>0</v>
      </c>
      <c r="H138" s="9">
        <v>0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f>MAX(-20,MIN(10,$A138-VLOOKUP(YEAR($A138),'Festive dates'!$A$2:$J$5,8,FALSE)))</f>
        <v>-20</v>
      </c>
      <c r="R138" s="9">
        <f>IF(AND($A138&gt;VLOOKUP(YEAR($A138),'Festive dates'!$A$2:$J$5,2,FALSE),$A138&lt;VLOOKUP(YEAR($A138),'Festive dates'!$A$2:$J$5,3,FALSE)),1,0)</f>
        <v>0</v>
      </c>
      <c r="S138" s="9">
        <f>IF($A138=VLOOKUP(YEAR($A138),'Festive dates'!$A$2:$J$5,2,FALSE),1,0)</f>
        <v>0</v>
      </c>
      <c r="T138" s="9">
        <f>IF($A138=VLOOKUP(YEAR($A138),'Festive dates'!$A$2:$J$5,3,FALSE),1,0)</f>
        <v>0</v>
      </c>
      <c r="U138" s="9">
        <f>IF($A138=VLOOKUP(YEAR($A138),'Festive dates'!$A$2:$J$5,4,FALSE),1,0)</f>
        <v>0</v>
      </c>
      <c r="V138" s="9">
        <f>IF(AND($A138&gt;=VLOOKUP(YEAR($A138),'Festive dates'!$A$2:$J$5,9,FALSE),$A138&lt;=VLOOKUP(YEAR($A138),'Festive dates'!$A$2:$J$5,10,FALSE)),1,0)</f>
        <v>0</v>
      </c>
      <c r="W138" s="9">
        <f>IF($A138=VLOOKUP(YEAR($A138),'Festive dates'!$A$2:$J$5,7,FALSE),1,0)</f>
        <v>0</v>
      </c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>
      <c r="A139" s="8">
        <v>45154</v>
      </c>
      <c r="B139" s="9">
        <v>0</v>
      </c>
      <c r="C139" s="9">
        <v>0</v>
      </c>
      <c r="D139" s="9">
        <v>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f>MAX(-20,MIN(10,$A139-VLOOKUP(YEAR($A139),'Festive dates'!$A$2:$J$5,8,FALSE)))</f>
        <v>-20</v>
      </c>
      <c r="R139" s="9">
        <f>IF(AND($A139&gt;VLOOKUP(YEAR($A139),'Festive dates'!$A$2:$J$5,2,FALSE),$A139&lt;VLOOKUP(YEAR($A139),'Festive dates'!$A$2:$J$5,3,FALSE)),1,0)</f>
        <v>0</v>
      </c>
      <c r="S139" s="9">
        <f>IF($A139=VLOOKUP(YEAR($A139),'Festive dates'!$A$2:$J$5,2,FALSE),1,0)</f>
        <v>0</v>
      </c>
      <c r="T139" s="9">
        <f>IF($A139=VLOOKUP(YEAR($A139),'Festive dates'!$A$2:$J$5,3,FALSE),1,0)</f>
        <v>0</v>
      </c>
      <c r="U139" s="9">
        <f>IF($A139=VLOOKUP(YEAR($A139),'Festive dates'!$A$2:$J$5,4,FALSE),1,0)</f>
        <v>0</v>
      </c>
      <c r="V139" s="9">
        <f>IF(AND($A139&gt;=VLOOKUP(YEAR($A139),'Festive dates'!$A$2:$J$5,9,FALSE),$A139&lt;=VLOOKUP(YEAR($A139),'Festive dates'!$A$2:$J$5,10,FALSE)),1,0)</f>
        <v>0</v>
      </c>
      <c r="W139" s="9">
        <f>IF($A139=VLOOKUP(YEAR($A139),'Festive dates'!$A$2:$J$5,7,FALSE),1,0)</f>
        <v>0</v>
      </c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>
      <c r="A140" s="8">
        <v>45155</v>
      </c>
      <c r="B140" s="9">
        <v>0</v>
      </c>
      <c r="C140" s="9">
        <v>0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v>0</v>
      </c>
      <c r="K140" s="9">
        <v>0</v>
      </c>
      <c r="L140" s="9">
        <v>0</v>
      </c>
      <c r="M140" s="9">
        <v>0</v>
      </c>
      <c r="N140" s="9">
        <v>0</v>
      </c>
      <c r="O140" s="9">
        <v>0</v>
      </c>
      <c r="P140" s="9">
        <v>0</v>
      </c>
      <c r="Q140" s="9">
        <f>MAX(-20,MIN(10,$A140-VLOOKUP(YEAR($A140),'Festive dates'!$A$2:$J$5,8,FALSE)))</f>
        <v>-20</v>
      </c>
      <c r="R140" s="9">
        <f>IF(AND($A140&gt;VLOOKUP(YEAR($A140),'Festive dates'!$A$2:$J$5,2,FALSE),$A140&lt;VLOOKUP(YEAR($A140),'Festive dates'!$A$2:$J$5,3,FALSE)),1,0)</f>
        <v>0</v>
      </c>
      <c r="S140" s="9">
        <f>IF($A140=VLOOKUP(YEAR($A140),'Festive dates'!$A$2:$J$5,2,FALSE),1,0)</f>
        <v>0</v>
      </c>
      <c r="T140" s="9">
        <f>IF($A140=VLOOKUP(YEAR($A140),'Festive dates'!$A$2:$J$5,3,FALSE),1,0)</f>
        <v>0</v>
      </c>
      <c r="U140" s="9">
        <f>IF($A140=VLOOKUP(YEAR($A140),'Festive dates'!$A$2:$J$5,4,FALSE),1,0)</f>
        <v>0</v>
      </c>
      <c r="V140" s="9">
        <f>IF(AND($A140&gt;=VLOOKUP(YEAR($A140),'Festive dates'!$A$2:$J$5,9,FALSE),$A140&lt;=VLOOKUP(YEAR($A140),'Festive dates'!$A$2:$J$5,10,FALSE)),1,0)</f>
        <v>0</v>
      </c>
      <c r="W140" s="9">
        <f>IF($A140=VLOOKUP(YEAR($A140),'Festive dates'!$A$2:$J$5,7,FALSE),1,0)</f>
        <v>0</v>
      </c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>
      <c r="A141" s="8">
        <v>45156</v>
      </c>
      <c r="B141" s="9">
        <v>0</v>
      </c>
      <c r="C141" s="9">
        <v>0</v>
      </c>
      <c r="D141" s="9">
        <v>0</v>
      </c>
      <c r="E141" s="9">
        <v>0</v>
      </c>
      <c r="F141" s="9">
        <v>0</v>
      </c>
      <c r="G141" s="9">
        <v>0</v>
      </c>
      <c r="H141" s="9">
        <v>0</v>
      </c>
      <c r="I141" s="9">
        <v>0</v>
      </c>
      <c r="J141" s="9">
        <v>0</v>
      </c>
      <c r="K141" s="9">
        <v>0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f>MAX(-20,MIN(10,$A141-VLOOKUP(YEAR($A141),'Festive dates'!$A$2:$J$5,8,FALSE)))</f>
        <v>-20</v>
      </c>
      <c r="R141" s="9">
        <f>IF(AND($A141&gt;VLOOKUP(YEAR($A141),'Festive dates'!$A$2:$J$5,2,FALSE),$A141&lt;VLOOKUP(YEAR($A141),'Festive dates'!$A$2:$J$5,3,FALSE)),1,0)</f>
        <v>0</v>
      </c>
      <c r="S141" s="9">
        <f>IF($A141=VLOOKUP(YEAR($A141),'Festive dates'!$A$2:$J$5,2,FALSE),1,0)</f>
        <v>0</v>
      </c>
      <c r="T141" s="9">
        <f>IF($A141=VLOOKUP(YEAR($A141),'Festive dates'!$A$2:$J$5,3,FALSE),1,0)</f>
        <v>0</v>
      </c>
      <c r="U141" s="9">
        <f>IF($A141=VLOOKUP(YEAR($A141),'Festive dates'!$A$2:$J$5,4,FALSE),1,0)</f>
        <v>0</v>
      </c>
      <c r="V141" s="9">
        <f>IF(AND($A141&gt;=VLOOKUP(YEAR($A141),'Festive dates'!$A$2:$J$5,9,FALSE),$A141&lt;=VLOOKUP(YEAR($A141),'Festive dates'!$A$2:$J$5,10,FALSE)),1,0)</f>
        <v>0</v>
      </c>
      <c r="W141" s="9">
        <f>IF($A141=VLOOKUP(YEAR($A141),'Festive dates'!$A$2:$J$5,7,FALSE),1,0)</f>
        <v>0</v>
      </c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>
      <c r="A142" s="8">
        <v>45157</v>
      </c>
      <c r="B142" s="9">
        <v>1</v>
      </c>
      <c r="C142" s="9">
        <v>0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f>MAX(-20,MIN(10,$A142-VLOOKUP(YEAR($A142),'Festive dates'!$A$2:$J$5,8,FALSE)))</f>
        <v>-20</v>
      </c>
      <c r="R142" s="9">
        <f>IF(AND($A142&gt;VLOOKUP(YEAR($A142),'Festive dates'!$A$2:$J$5,2,FALSE),$A142&lt;VLOOKUP(YEAR($A142),'Festive dates'!$A$2:$J$5,3,FALSE)),1,0)</f>
        <v>0</v>
      </c>
      <c r="S142" s="9">
        <f>IF($A142=VLOOKUP(YEAR($A142),'Festive dates'!$A$2:$J$5,2,FALSE),1,0)</f>
        <v>0</v>
      </c>
      <c r="T142" s="9">
        <f>IF($A142=VLOOKUP(YEAR($A142),'Festive dates'!$A$2:$J$5,3,FALSE),1,0)</f>
        <v>0</v>
      </c>
      <c r="U142" s="9">
        <f>IF($A142=VLOOKUP(YEAR($A142),'Festive dates'!$A$2:$J$5,4,FALSE),1,0)</f>
        <v>0</v>
      </c>
      <c r="V142" s="9">
        <f>IF(AND($A142&gt;=VLOOKUP(YEAR($A142),'Festive dates'!$A$2:$J$5,9,FALSE),$A142&lt;=VLOOKUP(YEAR($A142),'Festive dates'!$A$2:$J$5,10,FALSE)),1,0)</f>
        <v>0</v>
      </c>
      <c r="W142" s="9">
        <f>IF($A142=VLOOKUP(YEAR($A142),'Festive dates'!$A$2:$J$5,7,FALSE),1,0)</f>
        <v>0</v>
      </c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>
      <c r="A143" s="8">
        <v>45158</v>
      </c>
      <c r="B143" s="9">
        <v>0</v>
      </c>
      <c r="C143" s="9">
        <v>0</v>
      </c>
      <c r="D143" s="9">
        <v>0</v>
      </c>
      <c r="E143" s="9">
        <v>0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f>MAX(-20,MIN(10,$A143-VLOOKUP(YEAR($A143),'Festive dates'!$A$2:$J$5,8,FALSE)))</f>
        <v>-20</v>
      </c>
      <c r="R143" s="9">
        <f>IF(AND($A143&gt;VLOOKUP(YEAR($A143),'Festive dates'!$A$2:$J$5,2,FALSE),$A143&lt;VLOOKUP(YEAR($A143),'Festive dates'!$A$2:$J$5,3,FALSE)),1,0)</f>
        <v>0</v>
      </c>
      <c r="S143" s="9">
        <f>IF($A143=VLOOKUP(YEAR($A143),'Festive dates'!$A$2:$J$5,2,FALSE),1,0)</f>
        <v>0</v>
      </c>
      <c r="T143" s="9">
        <f>IF($A143=VLOOKUP(YEAR($A143),'Festive dates'!$A$2:$J$5,3,FALSE),1,0)</f>
        <v>0</v>
      </c>
      <c r="U143" s="9">
        <f>IF($A143=VLOOKUP(YEAR($A143),'Festive dates'!$A$2:$J$5,4,FALSE),1,0)</f>
        <v>0</v>
      </c>
      <c r="V143" s="9">
        <f>IF(AND($A143&gt;=VLOOKUP(YEAR($A143),'Festive dates'!$A$2:$J$5,9,FALSE),$A143&lt;=VLOOKUP(YEAR($A143),'Festive dates'!$A$2:$J$5,10,FALSE)),1,0)</f>
        <v>0</v>
      </c>
      <c r="W143" s="9">
        <f>IF($A143=VLOOKUP(YEAR($A143),'Festive dates'!$A$2:$J$5,7,FALSE),1,0)</f>
        <v>0</v>
      </c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>
      <c r="A144" s="8">
        <v>45159</v>
      </c>
      <c r="B144" s="9">
        <v>0</v>
      </c>
      <c r="C144" s="9">
        <v>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0</v>
      </c>
      <c r="J144" s="9">
        <v>0</v>
      </c>
      <c r="K144" s="9">
        <v>0</v>
      </c>
      <c r="L144" s="9">
        <v>0</v>
      </c>
      <c r="M144" s="9">
        <v>0</v>
      </c>
      <c r="N144" s="9">
        <v>1</v>
      </c>
      <c r="O144" s="9">
        <v>0</v>
      </c>
      <c r="P144" s="9">
        <v>0</v>
      </c>
      <c r="Q144" s="9">
        <f>MAX(-20,MIN(10,$A144-VLOOKUP(YEAR($A144),'Festive dates'!$A$2:$J$5,8,FALSE)))</f>
        <v>-20</v>
      </c>
      <c r="R144" s="9">
        <f>IF(AND($A144&gt;VLOOKUP(YEAR($A144),'Festive dates'!$A$2:$J$5,2,FALSE),$A144&lt;VLOOKUP(YEAR($A144),'Festive dates'!$A$2:$J$5,3,FALSE)),1,0)</f>
        <v>0</v>
      </c>
      <c r="S144" s="9">
        <f>IF($A144=VLOOKUP(YEAR($A144),'Festive dates'!$A$2:$J$5,2,FALSE),1,0)</f>
        <v>0</v>
      </c>
      <c r="T144" s="9">
        <f>IF($A144=VLOOKUP(YEAR($A144),'Festive dates'!$A$2:$J$5,3,FALSE),1,0)</f>
        <v>0</v>
      </c>
      <c r="U144" s="9">
        <f>IF($A144=VLOOKUP(YEAR($A144),'Festive dates'!$A$2:$J$5,4,FALSE),1,0)</f>
        <v>0</v>
      </c>
      <c r="V144" s="9">
        <f>IF(AND($A144&gt;=VLOOKUP(YEAR($A144),'Festive dates'!$A$2:$J$5,9,FALSE),$A144&lt;=VLOOKUP(YEAR($A144),'Festive dates'!$A$2:$J$5,10,FALSE)),1,0)</f>
        <v>0</v>
      </c>
      <c r="W144" s="9">
        <f>IF($A144=VLOOKUP(YEAR($A144),'Festive dates'!$A$2:$J$5,7,FALSE),1,0)</f>
        <v>0</v>
      </c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>
      <c r="A145" s="8">
        <v>45160</v>
      </c>
      <c r="B145" s="9">
        <v>0</v>
      </c>
      <c r="C145" s="9">
        <v>0</v>
      </c>
      <c r="D145" s="9">
        <v>0</v>
      </c>
      <c r="E145" s="9">
        <v>0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f>MAX(-20,MIN(10,$A145-VLOOKUP(YEAR($A145),'Festive dates'!$A$2:$J$5,8,FALSE)))</f>
        <v>-20</v>
      </c>
      <c r="R145" s="9">
        <f>IF(AND($A145&gt;VLOOKUP(YEAR($A145),'Festive dates'!$A$2:$J$5,2,FALSE),$A145&lt;VLOOKUP(YEAR($A145),'Festive dates'!$A$2:$J$5,3,FALSE)),1,0)</f>
        <v>0</v>
      </c>
      <c r="S145" s="9">
        <f>IF($A145=VLOOKUP(YEAR($A145),'Festive dates'!$A$2:$J$5,2,FALSE),1,0)</f>
        <v>0</v>
      </c>
      <c r="T145" s="9">
        <f>IF($A145=VLOOKUP(YEAR($A145),'Festive dates'!$A$2:$J$5,3,FALSE),1,0)</f>
        <v>0</v>
      </c>
      <c r="U145" s="9">
        <f>IF($A145=VLOOKUP(YEAR($A145),'Festive dates'!$A$2:$J$5,4,FALSE),1,0)</f>
        <v>0</v>
      </c>
      <c r="V145" s="9">
        <f>IF(AND($A145&gt;=VLOOKUP(YEAR($A145),'Festive dates'!$A$2:$J$5,9,FALSE),$A145&lt;=VLOOKUP(YEAR($A145),'Festive dates'!$A$2:$J$5,10,FALSE)),1,0)</f>
        <v>0</v>
      </c>
      <c r="W145" s="9">
        <f>IF($A145=VLOOKUP(YEAR($A145),'Festive dates'!$A$2:$J$5,7,FALSE),1,0)</f>
        <v>0</v>
      </c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>
      <c r="A146" s="8">
        <v>45161</v>
      </c>
      <c r="B146" s="9">
        <v>0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f>MAX(-20,MIN(10,$A146-VLOOKUP(YEAR($A146),'Festive dates'!$A$2:$J$5,8,FALSE)))</f>
        <v>-20</v>
      </c>
      <c r="R146" s="9">
        <f>IF(AND($A146&gt;VLOOKUP(YEAR($A146),'Festive dates'!$A$2:$J$5,2,FALSE),$A146&lt;VLOOKUP(YEAR($A146),'Festive dates'!$A$2:$J$5,3,FALSE)),1,0)</f>
        <v>0</v>
      </c>
      <c r="S146" s="9">
        <f>IF($A146=VLOOKUP(YEAR($A146),'Festive dates'!$A$2:$J$5,2,FALSE),1,0)</f>
        <v>0</v>
      </c>
      <c r="T146" s="9">
        <f>IF($A146=VLOOKUP(YEAR($A146),'Festive dates'!$A$2:$J$5,3,FALSE),1,0)</f>
        <v>0</v>
      </c>
      <c r="U146" s="9">
        <f>IF($A146=VLOOKUP(YEAR($A146),'Festive dates'!$A$2:$J$5,4,FALSE),1,0)</f>
        <v>0</v>
      </c>
      <c r="V146" s="9">
        <f>IF(AND($A146&gt;=VLOOKUP(YEAR($A146),'Festive dates'!$A$2:$J$5,9,FALSE),$A146&lt;=VLOOKUP(YEAR($A146),'Festive dates'!$A$2:$J$5,10,FALSE)),1,0)</f>
        <v>0</v>
      </c>
      <c r="W146" s="9">
        <f>IF($A146=VLOOKUP(YEAR($A146),'Festive dates'!$A$2:$J$5,7,FALSE),1,0)</f>
        <v>0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>
      <c r="A147" s="8">
        <v>45162</v>
      </c>
      <c r="B147" s="9">
        <v>0</v>
      </c>
      <c r="C147" s="9">
        <v>0</v>
      </c>
      <c r="D147" s="9">
        <v>0</v>
      </c>
      <c r="E147" s="9">
        <v>0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f>MAX(-20,MIN(10,$A147-VLOOKUP(YEAR($A147),'Festive dates'!$A$2:$J$5,8,FALSE)))</f>
        <v>-20</v>
      </c>
      <c r="R147" s="9">
        <f>IF(AND($A147&gt;VLOOKUP(YEAR($A147),'Festive dates'!$A$2:$J$5,2,FALSE),$A147&lt;VLOOKUP(YEAR($A147),'Festive dates'!$A$2:$J$5,3,FALSE)),1,0)</f>
        <v>0</v>
      </c>
      <c r="S147" s="9">
        <f>IF($A147=VLOOKUP(YEAR($A147),'Festive dates'!$A$2:$J$5,2,FALSE),1,0)</f>
        <v>0</v>
      </c>
      <c r="T147" s="9">
        <f>IF($A147=VLOOKUP(YEAR($A147),'Festive dates'!$A$2:$J$5,3,FALSE),1,0)</f>
        <v>0</v>
      </c>
      <c r="U147" s="9">
        <f>IF($A147=VLOOKUP(YEAR($A147),'Festive dates'!$A$2:$J$5,4,FALSE),1,0)</f>
        <v>0</v>
      </c>
      <c r="V147" s="9">
        <f>IF(AND($A147&gt;=VLOOKUP(YEAR($A147),'Festive dates'!$A$2:$J$5,9,FALSE),$A147&lt;=VLOOKUP(YEAR($A147),'Festive dates'!$A$2:$J$5,10,FALSE)),1,0)</f>
        <v>0</v>
      </c>
      <c r="W147" s="9">
        <f>IF($A147=VLOOKUP(YEAR($A147),'Festive dates'!$A$2:$J$5,7,FALSE),1,0)</f>
        <v>0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>
      <c r="A148" s="8">
        <v>45163</v>
      </c>
      <c r="B148" s="9">
        <v>0</v>
      </c>
      <c r="C148" s="9">
        <v>0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f>MAX(-20,MIN(10,$A148-VLOOKUP(YEAR($A148),'Festive dates'!$A$2:$J$5,8,FALSE)))</f>
        <v>-20</v>
      </c>
      <c r="R148" s="9">
        <f>IF(AND($A148&gt;VLOOKUP(YEAR($A148),'Festive dates'!$A$2:$J$5,2,FALSE),$A148&lt;VLOOKUP(YEAR($A148),'Festive dates'!$A$2:$J$5,3,FALSE)),1,0)</f>
        <v>0</v>
      </c>
      <c r="S148" s="9">
        <f>IF($A148=VLOOKUP(YEAR($A148),'Festive dates'!$A$2:$J$5,2,FALSE),1,0)</f>
        <v>0</v>
      </c>
      <c r="T148" s="9">
        <f>IF($A148=VLOOKUP(YEAR($A148),'Festive dates'!$A$2:$J$5,3,FALSE),1,0)</f>
        <v>0</v>
      </c>
      <c r="U148" s="9">
        <f>IF($A148=VLOOKUP(YEAR($A148),'Festive dates'!$A$2:$J$5,4,FALSE),1,0)</f>
        <v>0</v>
      </c>
      <c r="V148" s="9">
        <f>IF(AND($A148&gt;=VLOOKUP(YEAR($A148),'Festive dates'!$A$2:$J$5,9,FALSE),$A148&lt;=VLOOKUP(YEAR($A148),'Festive dates'!$A$2:$J$5,10,FALSE)),1,0)</f>
        <v>0</v>
      </c>
      <c r="W148" s="9">
        <f>IF($A148=VLOOKUP(YEAR($A148),'Festive dates'!$A$2:$J$5,7,FALSE),1,0)</f>
        <v>0</v>
      </c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>
      <c r="A149" s="8">
        <v>45164</v>
      </c>
      <c r="B149" s="9">
        <v>0</v>
      </c>
      <c r="C149" s="9">
        <v>0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v>0</v>
      </c>
      <c r="K149" s="9">
        <v>0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f>MAX(-20,MIN(10,$A149-VLOOKUP(YEAR($A149),'Festive dates'!$A$2:$J$5,8,FALSE)))</f>
        <v>-20</v>
      </c>
      <c r="R149" s="9">
        <f>IF(AND($A149&gt;VLOOKUP(YEAR($A149),'Festive dates'!$A$2:$J$5,2,FALSE),$A149&lt;VLOOKUP(YEAR($A149),'Festive dates'!$A$2:$J$5,3,FALSE)),1,0)</f>
        <v>0</v>
      </c>
      <c r="S149" s="9">
        <f>IF($A149=VLOOKUP(YEAR($A149),'Festive dates'!$A$2:$J$5,2,FALSE),1,0)</f>
        <v>0</v>
      </c>
      <c r="T149" s="9">
        <f>IF($A149=VLOOKUP(YEAR($A149),'Festive dates'!$A$2:$J$5,3,FALSE),1,0)</f>
        <v>0</v>
      </c>
      <c r="U149" s="9">
        <f>IF($A149=VLOOKUP(YEAR($A149),'Festive dates'!$A$2:$J$5,4,FALSE),1,0)</f>
        <v>0</v>
      </c>
      <c r="V149" s="9">
        <f>IF(AND($A149&gt;=VLOOKUP(YEAR($A149),'Festive dates'!$A$2:$J$5,9,FALSE),$A149&lt;=VLOOKUP(YEAR($A149),'Festive dates'!$A$2:$J$5,10,FALSE)),1,0)</f>
        <v>0</v>
      </c>
      <c r="W149" s="9">
        <f>IF($A149=VLOOKUP(YEAR($A149),'Festive dates'!$A$2:$J$5,7,FALSE),1,0)</f>
        <v>0</v>
      </c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>
      <c r="A150" s="8">
        <v>45165</v>
      </c>
      <c r="B150" s="9">
        <v>0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f>MAX(-20,MIN(10,$A150-VLOOKUP(YEAR($A150),'Festive dates'!$A$2:$J$5,8,FALSE)))</f>
        <v>-20</v>
      </c>
      <c r="R150" s="9">
        <f>IF(AND($A150&gt;VLOOKUP(YEAR($A150),'Festive dates'!$A$2:$J$5,2,FALSE),$A150&lt;VLOOKUP(YEAR($A150),'Festive dates'!$A$2:$J$5,3,FALSE)),1,0)</f>
        <v>0</v>
      </c>
      <c r="S150" s="9">
        <f>IF($A150=VLOOKUP(YEAR($A150),'Festive dates'!$A$2:$J$5,2,FALSE),1,0)</f>
        <v>0</v>
      </c>
      <c r="T150" s="9">
        <f>IF($A150=VLOOKUP(YEAR($A150),'Festive dates'!$A$2:$J$5,3,FALSE),1,0)</f>
        <v>0</v>
      </c>
      <c r="U150" s="9">
        <f>IF($A150=VLOOKUP(YEAR($A150),'Festive dates'!$A$2:$J$5,4,FALSE),1,0)</f>
        <v>0</v>
      </c>
      <c r="V150" s="9">
        <f>IF(AND($A150&gt;=VLOOKUP(YEAR($A150),'Festive dates'!$A$2:$J$5,9,FALSE),$A150&lt;=VLOOKUP(YEAR($A150),'Festive dates'!$A$2:$J$5,10,FALSE)),1,0)</f>
        <v>0</v>
      </c>
      <c r="W150" s="9">
        <f>IF($A150=VLOOKUP(YEAR($A150),'Festive dates'!$A$2:$J$5,7,FALSE),1,0)</f>
        <v>0</v>
      </c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>
      <c r="A151" s="8">
        <v>45166</v>
      </c>
      <c r="B151" s="9">
        <v>0</v>
      </c>
      <c r="C151" s="9">
        <v>0</v>
      </c>
      <c r="D151" s="9">
        <v>0</v>
      </c>
      <c r="E151" s="9">
        <v>0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f>MAX(-20,MIN(10,$A151-VLOOKUP(YEAR($A151),'Festive dates'!$A$2:$J$5,8,FALSE)))</f>
        <v>-20</v>
      </c>
      <c r="R151" s="9">
        <f>IF(AND($A151&gt;VLOOKUP(YEAR($A151),'Festive dates'!$A$2:$J$5,2,FALSE),$A151&lt;VLOOKUP(YEAR($A151),'Festive dates'!$A$2:$J$5,3,FALSE)),1,0)</f>
        <v>0</v>
      </c>
      <c r="S151" s="9">
        <f>IF($A151=VLOOKUP(YEAR($A151),'Festive dates'!$A$2:$J$5,2,FALSE),1,0)</f>
        <v>0</v>
      </c>
      <c r="T151" s="9">
        <f>IF($A151=VLOOKUP(YEAR($A151),'Festive dates'!$A$2:$J$5,3,FALSE),1,0)</f>
        <v>0</v>
      </c>
      <c r="U151" s="9">
        <f>IF($A151=VLOOKUP(YEAR($A151),'Festive dates'!$A$2:$J$5,4,FALSE),1,0)</f>
        <v>0</v>
      </c>
      <c r="V151" s="9">
        <f>IF(AND($A151&gt;=VLOOKUP(YEAR($A151),'Festive dates'!$A$2:$J$5,9,FALSE),$A151&lt;=VLOOKUP(YEAR($A151),'Festive dates'!$A$2:$J$5,10,FALSE)),1,0)</f>
        <v>0</v>
      </c>
      <c r="W151" s="9">
        <f>IF($A151=VLOOKUP(YEAR($A151),'Festive dates'!$A$2:$J$5,7,FALSE),1,0)</f>
        <v>0</v>
      </c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>
      <c r="A152" s="8">
        <v>45167</v>
      </c>
      <c r="B152" s="9">
        <v>0</v>
      </c>
      <c r="C152" s="9">
        <v>0</v>
      </c>
      <c r="D152" s="9">
        <v>0</v>
      </c>
      <c r="E152" s="9">
        <v>0</v>
      </c>
      <c r="F152" s="9">
        <v>0</v>
      </c>
      <c r="G152" s="9">
        <v>1</v>
      </c>
      <c r="H152" s="9">
        <v>0</v>
      </c>
      <c r="I152" s="9">
        <v>0</v>
      </c>
      <c r="J152" s="9">
        <v>0</v>
      </c>
      <c r="K152" s="9">
        <v>0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f>MAX(-20,MIN(10,$A152-VLOOKUP(YEAR($A152),'Festive dates'!$A$2:$J$5,8,FALSE)))</f>
        <v>-20</v>
      </c>
      <c r="R152" s="9">
        <f>IF(AND($A152&gt;VLOOKUP(YEAR($A152),'Festive dates'!$A$2:$J$5,2,FALSE),$A152&lt;VLOOKUP(YEAR($A152),'Festive dates'!$A$2:$J$5,3,FALSE)),1,0)</f>
        <v>0</v>
      </c>
      <c r="S152" s="9">
        <f>IF($A152=VLOOKUP(YEAR($A152),'Festive dates'!$A$2:$J$5,2,FALSE),1,0)</f>
        <v>0</v>
      </c>
      <c r="T152" s="9">
        <f>IF($A152=VLOOKUP(YEAR($A152),'Festive dates'!$A$2:$J$5,3,FALSE),1,0)</f>
        <v>0</v>
      </c>
      <c r="U152" s="9">
        <f>IF($A152=VLOOKUP(YEAR($A152),'Festive dates'!$A$2:$J$5,4,FALSE),1,0)</f>
        <v>0</v>
      </c>
      <c r="V152" s="9">
        <f>IF(AND($A152&gt;=VLOOKUP(YEAR($A152),'Festive dates'!$A$2:$J$5,9,FALSE),$A152&lt;=VLOOKUP(YEAR($A152),'Festive dates'!$A$2:$J$5,10,FALSE)),1,0)</f>
        <v>0</v>
      </c>
      <c r="W152" s="9">
        <f>IF($A152=VLOOKUP(YEAR($A152),'Festive dates'!$A$2:$J$5,7,FALSE),1,0)</f>
        <v>0</v>
      </c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>
      <c r="A153" s="8">
        <v>45168</v>
      </c>
      <c r="B153" s="9">
        <v>0</v>
      </c>
      <c r="C153" s="9">
        <v>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1</v>
      </c>
      <c r="P153" s="9">
        <v>0</v>
      </c>
      <c r="Q153" s="9">
        <f>MAX(-20,MIN(10,$A153-VLOOKUP(YEAR($A153),'Festive dates'!$A$2:$J$5,8,FALSE)))</f>
        <v>-20</v>
      </c>
      <c r="R153" s="9">
        <f>IF(AND($A153&gt;VLOOKUP(YEAR($A153),'Festive dates'!$A$2:$J$5,2,FALSE),$A153&lt;VLOOKUP(YEAR($A153),'Festive dates'!$A$2:$J$5,3,FALSE)),1,0)</f>
        <v>0</v>
      </c>
      <c r="S153" s="9">
        <f>IF($A153=VLOOKUP(YEAR($A153),'Festive dates'!$A$2:$J$5,2,FALSE),1,0)</f>
        <v>0</v>
      </c>
      <c r="T153" s="9">
        <f>IF($A153=VLOOKUP(YEAR($A153),'Festive dates'!$A$2:$J$5,3,FALSE),1,0)</f>
        <v>0</v>
      </c>
      <c r="U153" s="9">
        <f>IF($A153=VLOOKUP(YEAR($A153),'Festive dates'!$A$2:$J$5,4,FALSE),1,0)</f>
        <v>0</v>
      </c>
      <c r="V153" s="9">
        <f>IF(AND($A153&gt;=VLOOKUP(YEAR($A153),'Festive dates'!$A$2:$J$5,9,FALSE),$A153&lt;=VLOOKUP(YEAR($A153),'Festive dates'!$A$2:$J$5,10,FALSE)),1,0)</f>
        <v>0</v>
      </c>
      <c r="W153" s="9">
        <f>IF($A153=VLOOKUP(YEAR($A153),'Festive dates'!$A$2:$J$5,7,FALSE),1,0)</f>
        <v>0</v>
      </c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>
      <c r="A154" s="8">
        <v>45169</v>
      </c>
      <c r="B154" s="9">
        <v>0</v>
      </c>
      <c r="C154" s="9">
        <v>0</v>
      </c>
      <c r="D154" s="9">
        <v>0</v>
      </c>
      <c r="E154" s="9">
        <v>0</v>
      </c>
      <c r="F154" s="9">
        <v>0</v>
      </c>
      <c r="G154" s="9">
        <v>0</v>
      </c>
      <c r="H154" s="9">
        <v>0</v>
      </c>
      <c r="I154" s="9">
        <v>0</v>
      </c>
      <c r="J154" s="9">
        <v>0</v>
      </c>
      <c r="K154" s="9">
        <v>0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f>MAX(-20,MIN(10,$A154-VLOOKUP(YEAR($A154),'Festive dates'!$A$2:$J$5,8,FALSE)))</f>
        <v>-20</v>
      </c>
      <c r="R154" s="9">
        <f>IF(AND($A154&gt;VLOOKUP(YEAR($A154),'Festive dates'!$A$2:$J$5,2,FALSE),$A154&lt;VLOOKUP(YEAR($A154),'Festive dates'!$A$2:$J$5,3,FALSE)),1,0)</f>
        <v>0</v>
      </c>
      <c r="S154" s="9">
        <f>IF($A154=VLOOKUP(YEAR($A154),'Festive dates'!$A$2:$J$5,2,FALSE),1,0)</f>
        <v>0</v>
      </c>
      <c r="T154" s="9">
        <f>IF($A154=VLOOKUP(YEAR($A154),'Festive dates'!$A$2:$J$5,3,FALSE),1,0)</f>
        <v>0</v>
      </c>
      <c r="U154" s="9">
        <f>IF($A154=VLOOKUP(YEAR($A154),'Festive dates'!$A$2:$J$5,4,FALSE),1,0)</f>
        <v>0</v>
      </c>
      <c r="V154" s="9">
        <f>IF(AND($A154&gt;=VLOOKUP(YEAR($A154),'Festive dates'!$A$2:$J$5,9,FALSE),$A154&lt;=VLOOKUP(YEAR($A154),'Festive dates'!$A$2:$J$5,10,FALSE)),1,0)</f>
        <v>0</v>
      </c>
      <c r="W154" s="9">
        <f>IF($A154=VLOOKUP(YEAR($A154),'Festive dates'!$A$2:$J$5,7,FALSE),1,0)</f>
        <v>0</v>
      </c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>
      <c r="A155" s="8">
        <v>45170</v>
      </c>
      <c r="B155" s="9">
        <v>0</v>
      </c>
      <c r="C155" s="9">
        <v>0</v>
      </c>
      <c r="D155" s="9">
        <v>0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9">
        <v>0</v>
      </c>
      <c r="K155" s="9">
        <v>0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f>MAX(-20,MIN(10,$A155-VLOOKUP(YEAR($A155),'Festive dates'!$A$2:$J$5,8,FALSE)))</f>
        <v>-20</v>
      </c>
      <c r="R155" s="9">
        <f>IF(AND($A155&gt;VLOOKUP(YEAR($A155),'Festive dates'!$A$2:$J$5,2,FALSE),$A155&lt;VLOOKUP(YEAR($A155),'Festive dates'!$A$2:$J$5,3,FALSE)),1,0)</f>
        <v>0</v>
      </c>
      <c r="S155" s="9">
        <f>IF($A155=VLOOKUP(YEAR($A155),'Festive dates'!$A$2:$J$5,2,FALSE),1,0)</f>
        <v>0</v>
      </c>
      <c r="T155" s="9">
        <f>IF($A155=VLOOKUP(YEAR($A155),'Festive dates'!$A$2:$J$5,3,FALSE),1,0)</f>
        <v>0</v>
      </c>
      <c r="U155" s="9">
        <f>IF($A155=VLOOKUP(YEAR($A155),'Festive dates'!$A$2:$J$5,4,FALSE),1,0)</f>
        <v>0</v>
      </c>
      <c r="V155" s="9">
        <f>IF(AND($A155&gt;=VLOOKUP(YEAR($A155),'Festive dates'!$A$2:$J$5,9,FALSE),$A155&lt;=VLOOKUP(YEAR($A155),'Festive dates'!$A$2:$J$5,10,FALSE)),1,0)</f>
        <v>0</v>
      </c>
      <c r="W155" s="9">
        <f>IF($A155=VLOOKUP(YEAR($A155),'Festive dates'!$A$2:$J$5,7,FALSE),1,0)</f>
        <v>0</v>
      </c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>
      <c r="A156" s="8">
        <v>45171</v>
      </c>
      <c r="B156" s="9">
        <v>0</v>
      </c>
      <c r="C156" s="9">
        <v>0</v>
      </c>
      <c r="D156" s="9">
        <v>0</v>
      </c>
      <c r="E156" s="9">
        <v>0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f>MAX(-20,MIN(10,$A156-VLOOKUP(YEAR($A156),'Festive dates'!$A$2:$J$5,8,FALSE)))</f>
        <v>-20</v>
      </c>
      <c r="R156" s="9">
        <f>IF(AND($A156&gt;VLOOKUP(YEAR($A156),'Festive dates'!$A$2:$J$5,2,FALSE),$A156&lt;VLOOKUP(YEAR($A156),'Festive dates'!$A$2:$J$5,3,FALSE)),1,0)</f>
        <v>0</v>
      </c>
      <c r="S156" s="9">
        <f>IF($A156=VLOOKUP(YEAR($A156),'Festive dates'!$A$2:$J$5,2,FALSE),1,0)</f>
        <v>0</v>
      </c>
      <c r="T156" s="9">
        <f>IF($A156=VLOOKUP(YEAR($A156),'Festive dates'!$A$2:$J$5,3,FALSE),1,0)</f>
        <v>0</v>
      </c>
      <c r="U156" s="9">
        <f>IF($A156=VLOOKUP(YEAR($A156),'Festive dates'!$A$2:$J$5,4,FALSE),1,0)</f>
        <v>0</v>
      </c>
      <c r="V156" s="9">
        <f>IF(AND($A156&gt;=VLOOKUP(YEAR($A156),'Festive dates'!$A$2:$J$5,9,FALSE),$A156&lt;=VLOOKUP(YEAR($A156),'Festive dates'!$A$2:$J$5,10,FALSE)),1,0)</f>
        <v>0</v>
      </c>
      <c r="W156" s="9">
        <f>IF($A156=VLOOKUP(YEAR($A156),'Festive dates'!$A$2:$J$5,7,FALSE),1,0)</f>
        <v>0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>
      <c r="A157" s="8">
        <v>45172</v>
      </c>
      <c r="B157" s="9">
        <v>0</v>
      </c>
      <c r="C157" s="9">
        <v>0</v>
      </c>
      <c r="D157" s="9">
        <v>0</v>
      </c>
      <c r="E157" s="9">
        <v>0</v>
      </c>
      <c r="F157" s="9">
        <v>0</v>
      </c>
      <c r="G157" s="9">
        <v>0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f>MAX(-20,MIN(10,$A157-VLOOKUP(YEAR($A157),'Festive dates'!$A$2:$J$5,8,FALSE)))</f>
        <v>-20</v>
      </c>
      <c r="R157" s="9">
        <f>IF(AND($A157&gt;VLOOKUP(YEAR($A157),'Festive dates'!$A$2:$J$5,2,FALSE),$A157&lt;VLOOKUP(YEAR($A157),'Festive dates'!$A$2:$J$5,3,FALSE)),1,0)</f>
        <v>0</v>
      </c>
      <c r="S157" s="9">
        <f>IF($A157=VLOOKUP(YEAR($A157),'Festive dates'!$A$2:$J$5,2,FALSE),1,0)</f>
        <v>0</v>
      </c>
      <c r="T157" s="9">
        <f>IF($A157=VLOOKUP(YEAR($A157),'Festive dates'!$A$2:$J$5,3,FALSE),1,0)</f>
        <v>0</v>
      </c>
      <c r="U157" s="9">
        <f>IF($A157=VLOOKUP(YEAR($A157),'Festive dates'!$A$2:$J$5,4,FALSE),1,0)</f>
        <v>0</v>
      </c>
      <c r="V157" s="9">
        <f>IF(AND($A157&gt;=VLOOKUP(YEAR($A157),'Festive dates'!$A$2:$J$5,9,FALSE),$A157&lt;=VLOOKUP(YEAR($A157),'Festive dates'!$A$2:$J$5,10,FALSE)),1,0)</f>
        <v>0</v>
      </c>
      <c r="W157" s="9">
        <f>IF($A157=VLOOKUP(YEAR($A157),'Festive dates'!$A$2:$J$5,7,FALSE),1,0)</f>
        <v>0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>
      <c r="A158" s="8">
        <v>45173</v>
      </c>
      <c r="B158" s="9">
        <v>0</v>
      </c>
      <c r="C158" s="9">
        <v>0</v>
      </c>
      <c r="D158" s="9">
        <v>0</v>
      </c>
      <c r="E158" s="9">
        <v>0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f>MAX(-20,MIN(10,$A158-VLOOKUP(YEAR($A158),'Festive dates'!$A$2:$J$5,8,FALSE)))</f>
        <v>-20</v>
      </c>
      <c r="R158" s="9">
        <f>IF(AND($A158&gt;VLOOKUP(YEAR($A158),'Festive dates'!$A$2:$J$5,2,FALSE),$A158&lt;VLOOKUP(YEAR($A158),'Festive dates'!$A$2:$J$5,3,FALSE)),1,0)</f>
        <v>0</v>
      </c>
      <c r="S158" s="9">
        <f>IF($A158=VLOOKUP(YEAR($A158),'Festive dates'!$A$2:$J$5,2,FALSE),1,0)</f>
        <v>0</v>
      </c>
      <c r="T158" s="9">
        <f>IF($A158=VLOOKUP(YEAR($A158),'Festive dates'!$A$2:$J$5,3,FALSE),1,0)</f>
        <v>0</v>
      </c>
      <c r="U158" s="9">
        <f>IF($A158=VLOOKUP(YEAR($A158),'Festive dates'!$A$2:$J$5,4,FALSE),1,0)</f>
        <v>0</v>
      </c>
      <c r="V158" s="9">
        <f>IF(AND($A158&gt;=VLOOKUP(YEAR($A158),'Festive dates'!$A$2:$J$5,9,FALSE),$A158&lt;=VLOOKUP(YEAR($A158),'Festive dates'!$A$2:$J$5,10,FALSE)),1,0)</f>
        <v>0</v>
      </c>
      <c r="W158" s="9">
        <f>IF($A158=VLOOKUP(YEAR($A158),'Festive dates'!$A$2:$J$5,7,FALSE),1,0)</f>
        <v>0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>
      <c r="A159" s="8">
        <v>45174</v>
      </c>
      <c r="B159" s="9">
        <v>0</v>
      </c>
      <c r="C159" s="9">
        <v>0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v>0</v>
      </c>
      <c r="K159" s="9">
        <v>0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f>MAX(-20,MIN(10,$A159-VLOOKUP(YEAR($A159),'Festive dates'!$A$2:$J$5,8,FALSE)))</f>
        <v>-20</v>
      </c>
      <c r="R159" s="9">
        <f>IF(AND($A159&gt;VLOOKUP(YEAR($A159),'Festive dates'!$A$2:$J$5,2,FALSE),$A159&lt;VLOOKUP(YEAR($A159),'Festive dates'!$A$2:$J$5,3,FALSE)),1,0)</f>
        <v>0</v>
      </c>
      <c r="S159" s="9">
        <f>IF($A159=VLOOKUP(YEAR($A159),'Festive dates'!$A$2:$J$5,2,FALSE),1,0)</f>
        <v>0</v>
      </c>
      <c r="T159" s="9">
        <f>IF($A159=VLOOKUP(YEAR($A159),'Festive dates'!$A$2:$J$5,3,FALSE),1,0)</f>
        <v>0</v>
      </c>
      <c r="U159" s="9">
        <f>IF($A159=VLOOKUP(YEAR($A159),'Festive dates'!$A$2:$J$5,4,FALSE),1,0)</f>
        <v>0</v>
      </c>
      <c r="V159" s="9">
        <f>IF(AND($A159&gt;=VLOOKUP(YEAR($A159),'Festive dates'!$A$2:$J$5,9,FALSE),$A159&lt;=VLOOKUP(YEAR($A159),'Festive dates'!$A$2:$J$5,10,FALSE)),1,0)</f>
        <v>0</v>
      </c>
      <c r="W159" s="9">
        <f>IF($A159=VLOOKUP(YEAR($A159),'Festive dates'!$A$2:$J$5,7,FALSE),1,0)</f>
        <v>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>
      <c r="A160" s="8">
        <v>45175</v>
      </c>
      <c r="B160" s="9">
        <v>0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f>MAX(-20,MIN(10,$A160-VLOOKUP(YEAR($A160),'Festive dates'!$A$2:$J$5,8,FALSE)))</f>
        <v>-20</v>
      </c>
      <c r="R160" s="9">
        <f>IF(AND($A160&gt;VLOOKUP(YEAR($A160),'Festive dates'!$A$2:$J$5,2,FALSE),$A160&lt;VLOOKUP(YEAR($A160),'Festive dates'!$A$2:$J$5,3,FALSE)),1,0)</f>
        <v>0</v>
      </c>
      <c r="S160" s="9">
        <f>IF($A160=VLOOKUP(YEAR($A160),'Festive dates'!$A$2:$J$5,2,FALSE),1,0)</f>
        <v>0</v>
      </c>
      <c r="T160" s="9">
        <f>IF($A160=VLOOKUP(YEAR($A160),'Festive dates'!$A$2:$J$5,3,FALSE),1,0)</f>
        <v>0</v>
      </c>
      <c r="U160" s="9">
        <f>IF($A160=VLOOKUP(YEAR($A160),'Festive dates'!$A$2:$J$5,4,FALSE),1,0)</f>
        <v>0</v>
      </c>
      <c r="V160" s="9">
        <f>IF(AND($A160&gt;=VLOOKUP(YEAR($A160),'Festive dates'!$A$2:$J$5,9,FALSE),$A160&lt;=VLOOKUP(YEAR($A160),'Festive dates'!$A$2:$J$5,10,FALSE)),1,0)</f>
        <v>0</v>
      </c>
      <c r="W160" s="9">
        <f>IF($A160=VLOOKUP(YEAR($A160),'Festive dates'!$A$2:$J$5,7,FALSE),1,0)</f>
        <v>0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>
      <c r="A161" s="8">
        <v>45176</v>
      </c>
      <c r="B161" s="9">
        <v>0</v>
      </c>
      <c r="C161" s="9">
        <v>0</v>
      </c>
      <c r="D161" s="9">
        <v>1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f>MAX(-20,MIN(10,$A161-VLOOKUP(YEAR($A161),'Festive dates'!$A$2:$J$5,8,FALSE)))</f>
        <v>-20</v>
      </c>
      <c r="R161" s="9">
        <f>IF(AND($A161&gt;VLOOKUP(YEAR($A161),'Festive dates'!$A$2:$J$5,2,FALSE),$A161&lt;VLOOKUP(YEAR($A161),'Festive dates'!$A$2:$J$5,3,FALSE)),1,0)</f>
        <v>0</v>
      </c>
      <c r="S161" s="9">
        <f>IF($A161=VLOOKUP(YEAR($A161),'Festive dates'!$A$2:$J$5,2,FALSE),1,0)</f>
        <v>0</v>
      </c>
      <c r="T161" s="9">
        <f>IF($A161=VLOOKUP(YEAR($A161),'Festive dates'!$A$2:$J$5,3,FALSE),1,0)</f>
        <v>0</v>
      </c>
      <c r="U161" s="9">
        <f>IF($A161=VLOOKUP(YEAR($A161),'Festive dates'!$A$2:$J$5,4,FALSE),1,0)</f>
        <v>0</v>
      </c>
      <c r="V161" s="9">
        <f>IF(AND($A161&gt;=VLOOKUP(YEAR($A161),'Festive dates'!$A$2:$J$5,9,FALSE),$A161&lt;=VLOOKUP(YEAR($A161),'Festive dates'!$A$2:$J$5,10,FALSE)),1,0)</f>
        <v>0</v>
      </c>
      <c r="W161" s="9">
        <f>IF($A161=VLOOKUP(YEAR($A161),'Festive dates'!$A$2:$J$5,7,FALSE),1,0)</f>
        <v>0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>
      <c r="A162" s="8">
        <v>45177</v>
      </c>
      <c r="B162" s="9">
        <v>0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f>MAX(-20,MIN(10,$A162-VLOOKUP(YEAR($A162),'Festive dates'!$A$2:$J$5,8,FALSE)))</f>
        <v>-20</v>
      </c>
      <c r="R162" s="9">
        <f>IF(AND($A162&gt;VLOOKUP(YEAR($A162),'Festive dates'!$A$2:$J$5,2,FALSE),$A162&lt;VLOOKUP(YEAR($A162),'Festive dates'!$A$2:$J$5,3,FALSE)),1,0)</f>
        <v>0</v>
      </c>
      <c r="S162" s="9">
        <f>IF($A162=VLOOKUP(YEAR($A162),'Festive dates'!$A$2:$J$5,2,FALSE),1,0)</f>
        <v>0</v>
      </c>
      <c r="T162" s="9">
        <f>IF($A162=VLOOKUP(YEAR($A162),'Festive dates'!$A$2:$J$5,3,FALSE),1,0)</f>
        <v>0</v>
      </c>
      <c r="U162" s="9">
        <f>IF($A162=VLOOKUP(YEAR($A162),'Festive dates'!$A$2:$J$5,4,FALSE),1,0)</f>
        <v>0</v>
      </c>
      <c r="V162" s="9">
        <f>IF(AND($A162&gt;=VLOOKUP(YEAR($A162),'Festive dates'!$A$2:$J$5,9,FALSE),$A162&lt;=VLOOKUP(YEAR($A162),'Festive dates'!$A$2:$J$5,10,FALSE)),1,0)</f>
        <v>0</v>
      </c>
      <c r="W162" s="9">
        <f>IF($A162=VLOOKUP(YEAR($A162),'Festive dates'!$A$2:$J$5,7,FALSE),1,0)</f>
        <v>0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>
      <c r="A163" s="8">
        <v>45178</v>
      </c>
      <c r="B163" s="9">
        <v>0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f>MAX(-20,MIN(10,$A163-VLOOKUP(YEAR($A163),'Festive dates'!$A$2:$J$5,8,FALSE)))</f>
        <v>-20</v>
      </c>
      <c r="R163" s="9">
        <f>IF(AND($A163&gt;VLOOKUP(YEAR($A163),'Festive dates'!$A$2:$J$5,2,FALSE),$A163&lt;VLOOKUP(YEAR($A163),'Festive dates'!$A$2:$J$5,3,FALSE)),1,0)</f>
        <v>0</v>
      </c>
      <c r="S163" s="9">
        <f>IF($A163=VLOOKUP(YEAR($A163),'Festive dates'!$A$2:$J$5,2,FALSE),1,0)</f>
        <v>0</v>
      </c>
      <c r="T163" s="9">
        <f>IF($A163=VLOOKUP(YEAR($A163),'Festive dates'!$A$2:$J$5,3,FALSE),1,0)</f>
        <v>0</v>
      </c>
      <c r="U163" s="9">
        <f>IF($A163=VLOOKUP(YEAR($A163),'Festive dates'!$A$2:$J$5,4,FALSE),1,0)</f>
        <v>0</v>
      </c>
      <c r="V163" s="9">
        <f>IF(AND($A163&gt;=VLOOKUP(YEAR($A163),'Festive dates'!$A$2:$J$5,9,FALSE),$A163&lt;=VLOOKUP(YEAR($A163),'Festive dates'!$A$2:$J$5,10,FALSE)),1,0)</f>
        <v>0</v>
      </c>
      <c r="W163" s="9">
        <f>IF($A163=VLOOKUP(YEAR($A163),'Festive dates'!$A$2:$J$5,7,FALSE),1,0)</f>
        <v>0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>
      <c r="A164" s="8">
        <v>45179</v>
      </c>
      <c r="B164" s="9">
        <v>0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f>MAX(-20,MIN(10,$A164-VLOOKUP(YEAR($A164),'Festive dates'!$A$2:$J$5,8,FALSE)))</f>
        <v>-20</v>
      </c>
      <c r="R164" s="9">
        <f>IF(AND($A164&gt;VLOOKUP(YEAR($A164),'Festive dates'!$A$2:$J$5,2,FALSE),$A164&lt;VLOOKUP(YEAR($A164),'Festive dates'!$A$2:$J$5,3,FALSE)),1,0)</f>
        <v>0</v>
      </c>
      <c r="S164" s="9">
        <f>IF($A164=VLOOKUP(YEAR($A164),'Festive dates'!$A$2:$J$5,2,FALSE),1,0)</f>
        <v>0</v>
      </c>
      <c r="T164" s="9">
        <f>IF($A164=VLOOKUP(YEAR($A164),'Festive dates'!$A$2:$J$5,3,FALSE),1,0)</f>
        <v>0</v>
      </c>
      <c r="U164" s="9">
        <f>IF($A164=VLOOKUP(YEAR($A164),'Festive dates'!$A$2:$J$5,4,FALSE),1,0)</f>
        <v>0</v>
      </c>
      <c r="V164" s="9">
        <f>IF(AND($A164&gt;=VLOOKUP(YEAR($A164),'Festive dates'!$A$2:$J$5,9,FALSE),$A164&lt;=VLOOKUP(YEAR($A164),'Festive dates'!$A$2:$J$5,10,FALSE)),1,0)</f>
        <v>0</v>
      </c>
      <c r="W164" s="9">
        <f>IF($A164=VLOOKUP(YEAR($A164),'Festive dates'!$A$2:$J$5,7,FALSE),1,0)</f>
        <v>0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>
      <c r="A165" s="8">
        <v>45180</v>
      </c>
      <c r="B165" s="9">
        <v>0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f>MAX(-20,MIN(10,$A165-VLOOKUP(YEAR($A165),'Festive dates'!$A$2:$J$5,8,FALSE)))</f>
        <v>-20</v>
      </c>
      <c r="R165" s="9">
        <f>IF(AND($A165&gt;VLOOKUP(YEAR($A165),'Festive dates'!$A$2:$J$5,2,FALSE),$A165&lt;VLOOKUP(YEAR($A165),'Festive dates'!$A$2:$J$5,3,FALSE)),1,0)</f>
        <v>0</v>
      </c>
      <c r="S165" s="9">
        <f>IF($A165=VLOOKUP(YEAR($A165),'Festive dates'!$A$2:$J$5,2,FALSE),1,0)</f>
        <v>0</v>
      </c>
      <c r="T165" s="9">
        <f>IF($A165=VLOOKUP(YEAR($A165),'Festive dates'!$A$2:$J$5,3,FALSE),1,0)</f>
        <v>0</v>
      </c>
      <c r="U165" s="9">
        <f>IF($A165=VLOOKUP(YEAR($A165),'Festive dates'!$A$2:$J$5,4,FALSE),1,0)</f>
        <v>0</v>
      </c>
      <c r="V165" s="9">
        <f>IF(AND($A165&gt;=VLOOKUP(YEAR($A165),'Festive dates'!$A$2:$J$5,9,FALSE),$A165&lt;=VLOOKUP(YEAR($A165),'Festive dates'!$A$2:$J$5,10,FALSE)),1,0)</f>
        <v>0</v>
      </c>
      <c r="W165" s="9">
        <f>IF($A165=VLOOKUP(YEAR($A165),'Festive dates'!$A$2:$J$5,7,FALSE),1,0)</f>
        <v>0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>
      <c r="A166" s="8">
        <v>45181</v>
      </c>
      <c r="B166" s="9">
        <v>0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f>MAX(-20,MIN(10,$A166-VLOOKUP(YEAR($A166),'Festive dates'!$A$2:$J$5,8,FALSE)))</f>
        <v>-20</v>
      </c>
      <c r="R166" s="9">
        <f>IF(AND($A166&gt;VLOOKUP(YEAR($A166),'Festive dates'!$A$2:$J$5,2,FALSE),$A166&lt;VLOOKUP(YEAR($A166),'Festive dates'!$A$2:$J$5,3,FALSE)),1,0)</f>
        <v>0</v>
      </c>
      <c r="S166" s="9">
        <f>IF($A166=VLOOKUP(YEAR($A166),'Festive dates'!$A$2:$J$5,2,FALSE),1,0)</f>
        <v>0</v>
      </c>
      <c r="T166" s="9">
        <f>IF($A166=VLOOKUP(YEAR($A166),'Festive dates'!$A$2:$J$5,3,FALSE),1,0)</f>
        <v>0</v>
      </c>
      <c r="U166" s="9">
        <f>IF($A166=VLOOKUP(YEAR($A166),'Festive dates'!$A$2:$J$5,4,FALSE),1,0)</f>
        <v>0</v>
      </c>
      <c r="V166" s="9">
        <f>IF(AND($A166&gt;=VLOOKUP(YEAR($A166),'Festive dates'!$A$2:$J$5,9,FALSE),$A166&lt;=VLOOKUP(YEAR($A166),'Festive dates'!$A$2:$J$5,10,FALSE)),1,0)</f>
        <v>0</v>
      </c>
      <c r="W166" s="9">
        <f>IF($A166=VLOOKUP(YEAR($A166),'Festive dates'!$A$2:$J$5,7,FALSE),1,0)</f>
        <v>0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>
      <c r="A167" s="8">
        <v>45182</v>
      </c>
      <c r="B167" s="9">
        <v>0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f>MAX(-20,MIN(10,$A167-VLOOKUP(YEAR($A167),'Festive dates'!$A$2:$J$5,8,FALSE)))</f>
        <v>-20</v>
      </c>
      <c r="R167" s="9">
        <f>IF(AND($A167&gt;VLOOKUP(YEAR($A167),'Festive dates'!$A$2:$J$5,2,FALSE),$A167&lt;VLOOKUP(YEAR($A167),'Festive dates'!$A$2:$J$5,3,FALSE)),1,0)</f>
        <v>0</v>
      </c>
      <c r="S167" s="9">
        <f>IF($A167=VLOOKUP(YEAR($A167),'Festive dates'!$A$2:$J$5,2,FALSE),1,0)</f>
        <v>0</v>
      </c>
      <c r="T167" s="9">
        <f>IF($A167=VLOOKUP(YEAR($A167),'Festive dates'!$A$2:$J$5,3,FALSE),1,0)</f>
        <v>0</v>
      </c>
      <c r="U167" s="9">
        <f>IF($A167=VLOOKUP(YEAR($A167),'Festive dates'!$A$2:$J$5,4,FALSE),1,0)</f>
        <v>0</v>
      </c>
      <c r="V167" s="9">
        <f>IF(AND($A167&gt;=VLOOKUP(YEAR($A167),'Festive dates'!$A$2:$J$5,9,FALSE),$A167&lt;=VLOOKUP(YEAR($A167),'Festive dates'!$A$2:$J$5,10,FALSE)),1,0)</f>
        <v>0</v>
      </c>
      <c r="W167" s="9">
        <f>IF($A167=VLOOKUP(YEAR($A167),'Festive dates'!$A$2:$J$5,7,FALSE),1,0)</f>
        <v>0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>
      <c r="A168" s="8">
        <v>45183</v>
      </c>
      <c r="B168" s="9">
        <v>0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f>MAX(-20,MIN(10,$A168-VLOOKUP(YEAR($A168),'Festive dates'!$A$2:$J$5,8,FALSE)))</f>
        <v>-20</v>
      </c>
      <c r="R168" s="9">
        <f>IF(AND($A168&gt;VLOOKUP(YEAR($A168),'Festive dates'!$A$2:$J$5,2,FALSE),$A168&lt;VLOOKUP(YEAR($A168),'Festive dates'!$A$2:$J$5,3,FALSE)),1,0)</f>
        <v>0</v>
      </c>
      <c r="S168" s="9">
        <f>IF($A168=VLOOKUP(YEAR($A168),'Festive dates'!$A$2:$J$5,2,FALSE),1,0)</f>
        <v>0</v>
      </c>
      <c r="T168" s="9">
        <f>IF($A168=VLOOKUP(YEAR($A168),'Festive dates'!$A$2:$J$5,3,FALSE),1,0)</f>
        <v>0</v>
      </c>
      <c r="U168" s="9">
        <f>IF($A168=VLOOKUP(YEAR($A168),'Festive dates'!$A$2:$J$5,4,FALSE),1,0)</f>
        <v>0</v>
      </c>
      <c r="V168" s="9">
        <f>IF(AND($A168&gt;=VLOOKUP(YEAR($A168),'Festive dates'!$A$2:$J$5,9,FALSE),$A168&lt;=VLOOKUP(YEAR($A168),'Festive dates'!$A$2:$J$5,10,FALSE)),1,0)</f>
        <v>0</v>
      </c>
      <c r="W168" s="9">
        <f>IF($A168=VLOOKUP(YEAR($A168),'Festive dates'!$A$2:$J$5,7,FALSE),1,0)</f>
        <v>0</v>
      </c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>
      <c r="A169" s="8">
        <v>45184</v>
      </c>
      <c r="B169" s="9">
        <v>0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f>MAX(-20,MIN(10,$A169-VLOOKUP(YEAR($A169),'Festive dates'!$A$2:$J$5,8,FALSE)))</f>
        <v>-20</v>
      </c>
      <c r="R169" s="9">
        <f>IF(AND($A169&gt;VLOOKUP(YEAR($A169),'Festive dates'!$A$2:$J$5,2,FALSE),$A169&lt;VLOOKUP(YEAR($A169),'Festive dates'!$A$2:$J$5,3,FALSE)),1,0)</f>
        <v>0</v>
      </c>
      <c r="S169" s="9">
        <f>IF($A169=VLOOKUP(YEAR($A169),'Festive dates'!$A$2:$J$5,2,FALSE),1,0)</f>
        <v>0</v>
      </c>
      <c r="T169" s="9">
        <f>IF($A169=VLOOKUP(YEAR($A169),'Festive dates'!$A$2:$J$5,3,FALSE),1,0)</f>
        <v>0</v>
      </c>
      <c r="U169" s="9">
        <f>IF($A169=VLOOKUP(YEAR($A169),'Festive dates'!$A$2:$J$5,4,FALSE),1,0)</f>
        <v>0</v>
      </c>
      <c r="V169" s="9">
        <f>IF(AND($A169&gt;=VLOOKUP(YEAR($A169),'Festive dates'!$A$2:$J$5,9,FALSE),$A169&lt;=VLOOKUP(YEAR($A169),'Festive dates'!$A$2:$J$5,10,FALSE)),1,0)</f>
        <v>0</v>
      </c>
      <c r="W169" s="9">
        <f>IF($A169=VLOOKUP(YEAR($A169),'Festive dates'!$A$2:$J$5,7,FALSE),1,0)</f>
        <v>0</v>
      </c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>
      <c r="A170" s="8">
        <v>45185</v>
      </c>
      <c r="B170" s="9">
        <v>0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f>MAX(-20,MIN(10,$A170-VLOOKUP(YEAR($A170),'Festive dates'!$A$2:$J$5,8,FALSE)))</f>
        <v>-20</v>
      </c>
      <c r="R170" s="9">
        <f>IF(AND($A170&gt;VLOOKUP(YEAR($A170),'Festive dates'!$A$2:$J$5,2,FALSE),$A170&lt;VLOOKUP(YEAR($A170),'Festive dates'!$A$2:$J$5,3,FALSE)),1,0)</f>
        <v>0</v>
      </c>
      <c r="S170" s="9">
        <f>IF($A170=VLOOKUP(YEAR($A170),'Festive dates'!$A$2:$J$5,2,FALSE),1,0)</f>
        <v>0</v>
      </c>
      <c r="T170" s="9">
        <f>IF($A170=VLOOKUP(YEAR($A170),'Festive dates'!$A$2:$J$5,3,FALSE),1,0)</f>
        <v>0</v>
      </c>
      <c r="U170" s="9">
        <f>IF($A170=VLOOKUP(YEAR($A170),'Festive dates'!$A$2:$J$5,4,FALSE),1,0)</f>
        <v>0</v>
      </c>
      <c r="V170" s="9">
        <f>IF(AND($A170&gt;=VLOOKUP(YEAR($A170),'Festive dates'!$A$2:$J$5,9,FALSE),$A170&lt;=VLOOKUP(YEAR($A170),'Festive dates'!$A$2:$J$5,10,FALSE)),1,0)</f>
        <v>0</v>
      </c>
      <c r="W170" s="9">
        <f>IF($A170=VLOOKUP(YEAR($A170),'Festive dates'!$A$2:$J$5,7,FALSE),1,0)</f>
        <v>0</v>
      </c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>
      <c r="A171" s="8">
        <v>45186</v>
      </c>
      <c r="B171" s="9">
        <v>0</v>
      </c>
      <c r="C171" s="9">
        <v>0</v>
      </c>
      <c r="D171" s="9">
        <v>0</v>
      </c>
      <c r="E171" s="9">
        <v>1</v>
      </c>
      <c r="F171" s="9">
        <v>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f>MAX(-20,MIN(10,$A171-VLOOKUP(YEAR($A171),'Festive dates'!$A$2:$J$5,8,FALSE)))</f>
        <v>-20</v>
      </c>
      <c r="R171" s="9">
        <f>IF(AND($A171&gt;VLOOKUP(YEAR($A171),'Festive dates'!$A$2:$J$5,2,FALSE),$A171&lt;VLOOKUP(YEAR($A171),'Festive dates'!$A$2:$J$5,3,FALSE)),1,0)</f>
        <v>0</v>
      </c>
      <c r="S171" s="9">
        <f>IF($A171=VLOOKUP(YEAR($A171),'Festive dates'!$A$2:$J$5,2,FALSE),1,0)</f>
        <v>0</v>
      </c>
      <c r="T171" s="9">
        <f>IF($A171=VLOOKUP(YEAR($A171),'Festive dates'!$A$2:$J$5,3,FALSE),1,0)</f>
        <v>0</v>
      </c>
      <c r="U171" s="9">
        <f>IF($A171=VLOOKUP(YEAR($A171),'Festive dates'!$A$2:$J$5,4,FALSE),1,0)</f>
        <v>0</v>
      </c>
      <c r="V171" s="9">
        <f>IF(AND($A171&gt;=VLOOKUP(YEAR($A171),'Festive dates'!$A$2:$J$5,9,FALSE),$A171&lt;=VLOOKUP(YEAR($A171),'Festive dates'!$A$2:$J$5,10,FALSE)),1,0)</f>
        <v>0</v>
      </c>
      <c r="W171" s="9">
        <f>IF($A171=VLOOKUP(YEAR($A171),'Festive dates'!$A$2:$J$5,7,FALSE),1,0)</f>
        <v>0</v>
      </c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>
      <c r="A172" s="8">
        <v>45187</v>
      </c>
      <c r="B172" s="9">
        <v>0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f>MAX(-20,MIN(10,$A172-VLOOKUP(YEAR($A172),'Festive dates'!$A$2:$J$5,8,FALSE)))</f>
        <v>-20</v>
      </c>
      <c r="R172" s="9">
        <f>IF(AND($A172&gt;VLOOKUP(YEAR($A172),'Festive dates'!$A$2:$J$5,2,FALSE),$A172&lt;VLOOKUP(YEAR($A172),'Festive dates'!$A$2:$J$5,3,FALSE)),1,0)</f>
        <v>0</v>
      </c>
      <c r="S172" s="9">
        <f>IF($A172=VLOOKUP(YEAR($A172),'Festive dates'!$A$2:$J$5,2,FALSE),1,0)</f>
        <v>0</v>
      </c>
      <c r="T172" s="9">
        <f>IF($A172=VLOOKUP(YEAR($A172),'Festive dates'!$A$2:$J$5,3,FALSE),1,0)</f>
        <v>0</v>
      </c>
      <c r="U172" s="9">
        <f>IF($A172=VLOOKUP(YEAR($A172),'Festive dates'!$A$2:$J$5,4,FALSE),1,0)</f>
        <v>0</v>
      </c>
      <c r="V172" s="9">
        <f>IF(AND($A172&gt;=VLOOKUP(YEAR($A172),'Festive dates'!$A$2:$J$5,9,FALSE),$A172&lt;=VLOOKUP(YEAR($A172),'Festive dates'!$A$2:$J$5,10,FALSE)),1,0)</f>
        <v>0</v>
      </c>
      <c r="W172" s="9">
        <f>IF($A172=VLOOKUP(YEAR($A172),'Festive dates'!$A$2:$J$5,7,FALSE),1,0)</f>
        <v>0</v>
      </c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>
      <c r="A173" s="8">
        <v>45188</v>
      </c>
      <c r="B173" s="9">
        <v>0</v>
      </c>
      <c r="C173" s="9">
        <v>1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f>MAX(-20,MIN(10,$A173-VLOOKUP(YEAR($A173),'Festive dates'!$A$2:$J$5,8,FALSE)))</f>
        <v>-20</v>
      </c>
      <c r="R173" s="9">
        <f>IF(AND($A173&gt;VLOOKUP(YEAR($A173),'Festive dates'!$A$2:$J$5,2,FALSE),$A173&lt;VLOOKUP(YEAR($A173),'Festive dates'!$A$2:$J$5,3,FALSE)),1,0)</f>
        <v>0</v>
      </c>
      <c r="S173" s="9">
        <f>IF($A173=VLOOKUP(YEAR($A173),'Festive dates'!$A$2:$J$5,2,FALSE),1,0)</f>
        <v>0</v>
      </c>
      <c r="T173" s="9">
        <f>IF($A173=VLOOKUP(YEAR($A173),'Festive dates'!$A$2:$J$5,3,FALSE),1,0)</f>
        <v>0</v>
      </c>
      <c r="U173" s="9">
        <f>IF($A173=VLOOKUP(YEAR($A173),'Festive dates'!$A$2:$J$5,4,FALSE),1,0)</f>
        <v>0</v>
      </c>
      <c r="V173" s="9">
        <f>IF(AND($A173&gt;=VLOOKUP(YEAR($A173),'Festive dates'!$A$2:$J$5,9,FALSE),$A173&lt;=VLOOKUP(YEAR($A173),'Festive dates'!$A$2:$J$5,10,FALSE)),1,0)</f>
        <v>0</v>
      </c>
      <c r="W173" s="9">
        <f>IF($A173=VLOOKUP(YEAR($A173),'Festive dates'!$A$2:$J$5,7,FALSE),1,0)</f>
        <v>0</v>
      </c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>
      <c r="A174" s="8">
        <v>45189</v>
      </c>
      <c r="B174" s="9">
        <v>0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v>0</v>
      </c>
      <c r="K174" s="9">
        <v>0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f>MAX(-20,MIN(10,$A174-VLOOKUP(YEAR($A174),'Festive dates'!$A$2:$J$5,8,FALSE)))</f>
        <v>-20</v>
      </c>
      <c r="R174" s="9">
        <f>IF(AND($A174&gt;VLOOKUP(YEAR($A174),'Festive dates'!$A$2:$J$5,2,FALSE),$A174&lt;VLOOKUP(YEAR($A174),'Festive dates'!$A$2:$J$5,3,FALSE)),1,0)</f>
        <v>0</v>
      </c>
      <c r="S174" s="9">
        <f>IF($A174=VLOOKUP(YEAR($A174),'Festive dates'!$A$2:$J$5,2,FALSE),1,0)</f>
        <v>0</v>
      </c>
      <c r="T174" s="9">
        <f>IF($A174=VLOOKUP(YEAR($A174),'Festive dates'!$A$2:$J$5,3,FALSE),1,0)</f>
        <v>0</v>
      </c>
      <c r="U174" s="9">
        <f>IF($A174=VLOOKUP(YEAR($A174),'Festive dates'!$A$2:$J$5,4,FALSE),1,0)</f>
        <v>0</v>
      </c>
      <c r="V174" s="9">
        <f>IF(AND($A174&gt;=VLOOKUP(YEAR($A174),'Festive dates'!$A$2:$J$5,9,FALSE),$A174&lt;=VLOOKUP(YEAR($A174),'Festive dates'!$A$2:$J$5,10,FALSE)),1,0)</f>
        <v>0</v>
      </c>
      <c r="W174" s="9">
        <f>IF($A174=VLOOKUP(YEAR($A174),'Festive dates'!$A$2:$J$5,7,FALSE),1,0)</f>
        <v>0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>
      <c r="A175" s="8">
        <v>45190</v>
      </c>
      <c r="B175" s="9">
        <v>0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f>MAX(-20,MIN(10,$A175-VLOOKUP(YEAR($A175),'Festive dates'!$A$2:$J$5,8,FALSE)))</f>
        <v>-20</v>
      </c>
      <c r="R175" s="9">
        <f>IF(AND($A175&gt;VLOOKUP(YEAR($A175),'Festive dates'!$A$2:$J$5,2,FALSE),$A175&lt;VLOOKUP(YEAR($A175),'Festive dates'!$A$2:$J$5,3,FALSE)),1,0)</f>
        <v>0</v>
      </c>
      <c r="S175" s="9">
        <f>IF($A175=VLOOKUP(YEAR($A175),'Festive dates'!$A$2:$J$5,2,FALSE),1,0)</f>
        <v>0</v>
      </c>
      <c r="T175" s="9">
        <f>IF($A175=VLOOKUP(YEAR($A175),'Festive dates'!$A$2:$J$5,3,FALSE),1,0)</f>
        <v>0</v>
      </c>
      <c r="U175" s="9">
        <f>IF($A175=VLOOKUP(YEAR($A175),'Festive dates'!$A$2:$J$5,4,FALSE),1,0)</f>
        <v>0</v>
      </c>
      <c r="V175" s="9">
        <f>IF(AND($A175&gt;=VLOOKUP(YEAR($A175),'Festive dates'!$A$2:$J$5,9,FALSE),$A175&lt;=VLOOKUP(YEAR($A175),'Festive dates'!$A$2:$J$5,10,FALSE)),1,0)</f>
        <v>0</v>
      </c>
      <c r="W175" s="9">
        <f>IF($A175=VLOOKUP(YEAR($A175),'Festive dates'!$A$2:$J$5,7,FALSE),1,0)</f>
        <v>0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>
      <c r="A176" s="8">
        <v>45191</v>
      </c>
      <c r="B176" s="9">
        <v>0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f>MAX(-20,MIN(10,$A176-VLOOKUP(YEAR($A176),'Festive dates'!$A$2:$J$5,8,FALSE)))</f>
        <v>-20</v>
      </c>
      <c r="R176" s="9">
        <f>IF(AND($A176&gt;VLOOKUP(YEAR($A176),'Festive dates'!$A$2:$J$5,2,FALSE),$A176&lt;VLOOKUP(YEAR($A176),'Festive dates'!$A$2:$J$5,3,FALSE)),1,0)</f>
        <v>0</v>
      </c>
      <c r="S176" s="9">
        <f>IF($A176=VLOOKUP(YEAR($A176),'Festive dates'!$A$2:$J$5,2,FALSE),1,0)</f>
        <v>0</v>
      </c>
      <c r="T176" s="9">
        <f>IF($A176=VLOOKUP(YEAR($A176),'Festive dates'!$A$2:$J$5,3,FALSE),1,0)</f>
        <v>0</v>
      </c>
      <c r="U176" s="9">
        <f>IF($A176=VLOOKUP(YEAR($A176),'Festive dates'!$A$2:$J$5,4,FALSE),1,0)</f>
        <v>0</v>
      </c>
      <c r="V176" s="9">
        <f>IF(AND($A176&gt;=VLOOKUP(YEAR($A176),'Festive dates'!$A$2:$J$5,9,FALSE),$A176&lt;=VLOOKUP(YEAR($A176),'Festive dates'!$A$2:$J$5,10,FALSE)),1,0)</f>
        <v>0</v>
      </c>
      <c r="W176" s="9">
        <f>IF($A176=VLOOKUP(YEAR($A176),'Festive dates'!$A$2:$J$5,7,FALSE),1,0)</f>
        <v>0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>
      <c r="A177" s="8">
        <v>45192</v>
      </c>
      <c r="B177" s="9">
        <v>0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f>MAX(-20,MIN(10,$A177-VLOOKUP(YEAR($A177),'Festive dates'!$A$2:$J$5,8,FALSE)))</f>
        <v>-20</v>
      </c>
      <c r="R177" s="9">
        <f>IF(AND($A177&gt;VLOOKUP(YEAR($A177),'Festive dates'!$A$2:$J$5,2,FALSE),$A177&lt;VLOOKUP(YEAR($A177),'Festive dates'!$A$2:$J$5,3,FALSE)),1,0)</f>
        <v>0</v>
      </c>
      <c r="S177" s="9">
        <f>IF($A177=VLOOKUP(YEAR($A177),'Festive dates'!$A$2:$J$5,2,FALSE),1,0)</f>
        <v>0</v>
      </c>
      <c r="T177" s="9">
        <f>IF($A177=VLOOKUP(YEAR($A177),'Festive dates'!$A$2:$J$5,3,FALSE),1,0)</f>
        <v>0</v>
      </c>
      <c r="U177" s="9">
        <f>IF($A177=VLOOKUP(YEAR($A177),'Festive dates'!$A$2:$J$5,4,FALSE),1,0)</f>
        <v>0</v>
      </c>
      <c r="V177" s="9">
        <f>IF(AND($A177&gt;=VLOOKUP(YEAR($A177),'Festive dates'!$A$2:$J$5,9,FALSE),$A177&lt;=VLOOKUP(YEAR($A177),'Festive dates'!$A$2:$J$5,10,FALSE)),1,0)</f>
        <v>0</v>
      </c>
      <c r="W177" s="9">
        <f>IF($A177=VLOOKUP(YEAR($A177),'Festive dates'!$A$2:$J$5,7,FALSE),1,0)</f>
        <v>0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>
      <c r="A178" s="8">
        <v>45193</v>
      </c>
      <c r="B178" s="9">
        <v>0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f>MAX(-20,MIN(10,$A178-VLOOKUP(YEAR($A178),'Festive dates'!$A$2:$J$5,8,FALSE)))</f>
        <v>-20</v>
      </c>
      <c r="R178" s="9">
        <f>IF(AND($A178&gt;VLOOKUP(YEAR($A178),'Festive dates'!$A$2:$J$5,2,FALSE),$A178&lt;VLOOKUP(YEAR($A178),'Festive dates'!$A$2:$J$5,3,FALSE)),1,0)</f>
        <v>0</v>
      </c>
      <c r="S178" s="9">
        <f>IF($A178=VLOOKUP(YEAR($A178),'Festive dates'!$A$2:$J$5,2,FALSE),1,0)</f>
        <v>0</v>
      </c>
      <c r="T178" s="9">
        <f>IF($A178=VLOOKUP(YEAR($A178),'Festive dates'!$A$2:$J$5,3,FALSE),1,0)</f>
        <v>0</v>
      </c>
      <c r="U178" s="9">
        <f>IF($A178=VLOOKUP(YEAR($A178),'Festive dates'!$A$2:$J$5,4,FALSE),1,0)</f>
        <v>0</v>
      </c>
      <c r="V178" s="9">
        <f>IF(AND($A178&gt;=VLOOKUP(YEAR($A178),'Festive dates'!$A$2:$J$5,9,FALSE),$A178&lt;=VLOOKUP(YEAR($A178),'Festive dates'!$A$2:$J$5,10,FALSE)),1,0)</f>
        <v>0</v>
      </c>
      <c r="W178" s="9">
        <f>IF($A178=VLOOKUP(YEAR($A178),'Festive dates'!$A$2:$J$5,7,FALSE),1,0)</f>
        <v>0</v>
      </c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>
      <c r="A179" s="8">
        <v>45194</v>
      </c>
      <c r="B179" s="9">
        <v>0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f>MAX(-20,MIN(10,$A179-VLOOKUP(YEAR($A179),'Festive dates'!$A$2:$J$5,8,FALSE)))</f>
        <v>-20</v>
      </c>
      <c r="R179" s="9">
        <f>IF(AND($A179&gt;VLOOKUP(YEAR($A179),'Festive dates'!$A$2:$J$5,2,FALSE),$A179&lt;VLOOKUP(YEAR($A179),'Festive dates'!$A$2:$J$5,3,FALSE)),1,0)</f>
        <v>0</v>
      </c>
      <c r="S179" s="9">
        <f>IF($A179=VLOOKUP(YEAR($A179),'Festive dates'!$A$2:$J$5,2,FALSE),1,0)</f>
        <v>0</v>
      </c>
      <c r="T179" s="9">
        <f>IF($A179=VLOOKUP(YEAR($A179),'Festive dates'!$A$2:$J$5,3,FALSE),1,0)</f>
        <v>0</v>
      </c>
      <c r="U179" s="9">
        <f>IF($A179=VLOOKUP(YEAR($A179),'Festive dates'!$A$2:$J$5,4,FALSE),1,0)</f>
        <v>0</v>
      </c>
      <c r="V179" s="9">
        <f>IF(AND($A179&gt;=VLOOKUP(YEAR($A179),'Festive dates'!$A$2:$J$5,9,FALSE),$A179&lt;=VLOOKUP(YEAR($A179),'Festive dates'!$A$2:$J$5,10,FALSE)),1,0)</f>
        <v>0</v>
      </c>
      <c r="W179" s="9">
        <f>IF($A179=VLOOKUP(YEAR($A179),'Festive dates'!$A$2:$J$5,7,FALSE),1,0)</f>
        <v>0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>
      <c r="A180" s="8">
        <v>45195</v>
      </c>
      <c r="B180" s="9">
        <v>0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v>0</v>
      </c>
      <c r="I180" s="9">
        <v>0</v>
      </c>
      <c r="J180" s="9">
        <v>0</v>
      </c>
      <c r="K180" s="9">
        <v>0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f>MAX(-20,MIN(10,$A180-VLOOKUP(YEAR($A180),'Festive dates'!$A$2:$J$5,8,FALSE)))</f>
        <v>-20</v>
      </c>
      <c r="R180" s="9">
        <f>IF(AND($A180&gt;VLOOKUP(YEAR($A180),'Festive dates'!$A$2:$J$5,2,FALSE),$A180&lt;VLOOKUP(YEAR($A180),'Festive dates'!$A$2:$J$5,3,FALSE)),1,0)</f>
        <v>0</v>
      </c>
      <c r="S180" s="9">
        <f>IF($A180=VLOOKUP(YEAR($A180),'Festive dates'!$A$2:$J$5,2,FALSE),1,0)</f>
        <v>0</v>
      </c>
      <c r="T180" s="9">
        <f>IF($A180=VLOOKUP(YEAR($A180),'Festive dates'!$A$2:$J$5,3,FALSE),1,0)</f>
        <v>0</v>
      </c>
      <c r="U180" s="9">
        <f>IF($A180=VLOOKUP(YEAR($A180),'Festive dates'!$A$2:$J$5,4,FALSE),1,0)</f>
        <v>0</v>
      </c>
      <c r="V180" s="9">
        <f>IF(AND($A180&gt;=VLOOKUP(YEAR($A180),'Festive dates'!$A$2:$J$5,9,FALSE),$A180&lt;=VLOOKUP(YEAR($A180),'Festive dates'!$A$2:$J$5,10,FALSE)),1,0)</f>
        <v>0</v>
      </c>
      <c r="W180" s="9">
        <f>IF($A180=VLOOKUP(YEAR($A180),'Festive dates'!$A$2:$J$5,7,FALSE),1,0)</f>
        <v>0</v>
      </c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>
      <c r="A181" s="8">
        <v>45196</v>
      </c>
      <c r="B181" s="9">
        <v>0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v>0</v>
      </c>
      <c r="I181" s="9">
        <v>0</v>
      </c>
      <c r="J181" s="9">
        <v>0</v>
      </c>
      <c r="K181" s="9">
        <v>0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f>MAX(-20,MIN(10,$A181-VLOOKUP(YEAR($A181),'Festive dates'!$A$2:$J$5,8,FALSE)))</f>
        <v>-20</v>
      </c>
      <c r="R181" s="9">
        <f>IF(AND($A181&gt;VLOOKUP(YEAR($A181),'Festive dates'!$A$2:$J$5,2,FALSE),$A181&lt;VLOOKUP(YEAR($A181),'Festive dates'!$A$2:$J$5,3,FALSE)),1,0)</f>
        <v>0</v>
      </c>
      <c r="S181" s="9">
        <f>IF($A181=VLOOKUP(YEAR($A181),'Festive dates'!$A$2:$J$5,2,FALSE),1,0)</f>
        <v>0</v>
      </c>
      <c r="T181" s="9">
        <f>IF($A181=VLOOKUP(YEAR($A181),'Festive dates'!$A$2:$J$5,3,FALSE),1,0)</f>
        <v>0</v>
      </c>
      <c r="U181" s="9">
        <f>IF($A181=VLOOKUP(YEAR($A181),'Festive dates'!$A$2:$J$5,4,FALSE),1,0)</f>
        <v>0</v>
      </c>
      <c r="V181" s="9">
        <f>IF(AND($A181&gt;=VLOOKUP(YEAR($A181),'Festive dates'!$A$2:$J$5,9,FALSE),$A181&lt;=VLOOKUP(YEAR($A181),'Festive dates'!$A$2:$J$5,10,FALSE)),1,0)</f>
        <v>0</v>
      </c>
      <c r="W181" s="9">
        <f>IF($A181=VLOOKUP(YEAR($A181),'Festive dates'!$A$2:$J$5,7,FALSE),1,0)</f>
        <v>0</v>
      </c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>
      <c r="A182" s="8">
        <v>45197</v>
      </c>
      <c r="B182" s="9">
        <v>0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v>0</v>
      </c>
      <c r="K182" s="9">
        <v>0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f>MAX(-20,MIN(10,$A182-VLOOKUP(YEAR($A182),'Festive dates'!$A$2:$J$5,8,FALSE)))</f>
        <v>-20</v>
      </c>
      <c r="R182" s="9">
        <f>IF(AND($A182&gt;VLOOKUP(YEAR($A182),'Festive dates'!$A$2:$J$5,2,FALSE),$A182&lt;VLOOKUP(YEAR($A182),'Festive dates'!$A$2:$J$5,3,FALSE)),1,0)</f>
        <v>0</v>
      </c>
      <c r="S182" s="9">
        <f>IF($A182=VLOOKUP(YEAR($A182),'Festive dates'!$A$2:$J$5,2,FALSE),1,0)</f>
        <v>0</v>
      </c>
      <c r="T182" s="9">
        <f>IF($A182=VLOOKUP(YEAR($A182),'Festive dates'!$A$2:$J$5,3,FALSE),1,0)</f>
        <v>0</v>
      </c>
      <c r="U182" s="9">
        <f>IF($A182=VLOOKUP(YEAR($A182),'Festive dates'!$A$2:$J$5,4,FALSE),1,0)</f>
        <v>0</v>
      </c>
      <c r="V182" s="9">
        <f>IF(AND($A182&gt;=VLOOKUP(YEAR($A182),'Festive dates'!$A$2:$J$5,9,FALSE),$A182&lt;=VLOOKUP(YEAR($A182),'Festive dates'!$A$2:$J$5,10,FALSE)),1,0)</f>
        <v>0</v>
      </c>
      <c r="W182" s="9">
        <f>IF($A182=VLOOKUP(YEAR($A182),'Festive dates'!$A$2:$J$5,7,FALSE),1,0)</f>
        <v>0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>
      <c r="A183" s="8">
        <v>45198</v>
      </c>
      <c r="B183" s="9">
        <v>0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f>MAX(-20,MIN(10,$A183-VLOOKUP(YEAR($A183),'Festive dates'!$A$2:$J$5,8,FALSE)))</f>
        <v>-20</v>
      </c>
      <c r="R183" s="9">
        <f>IF(AND($A183&gt;VLOOKUP(YEAR($A183),'Festive dates'!$A$2:$J$5,2,FALSE),$A183&lt;VLOOKUP(YEAR($A183),'Festive dates'!$A$2:$J$5,3,FALSE)),1,0)</f>
        <v>0</v>
      </c>
      <c r="S183" s="9">
        <f>IF($A183=VLOOKUP(YEAR($A183),'Festive dates'!$A$2:$J$5,2,FALSE),1,0)</f>
        <v>0</v>
      </c>
      <c r="T183" s="9">
        <f>IF($A183=VLOOKUP(YEAR($A183),'Festive dates'!$A$2:$J$5,3,FALSE),1,0)</f>
        <v>0</v>
      </c>
      <c r="U183" s="9">
        <f>IF($A183=VLOOKUP(YEAR($A183),'Festive dates'!$A$2:$J$5,4,FALSE),1,0)</f>
        <v>0</v>
      </c>
      <c r="V183" s="9">
        <f>IF(AND($A183&gt;=VLOOKUP(YEAR($A183),'Festive dates'!$A$2:$J$5,9,FALSE),$A183&lt;=VLOOKUP(YEAR($A183),'Festive dates'!$A$2:$J$5,10,FALSE)),1,0)</f>
        <v>1</v>
      </c>
      <c r="W183" s="9">
        <f>IF($A183=VLOOKUP(YEAR($A183),'Festive dates'!$A$2:$J$5,7,FALSE),1,0)</f>
        <v>0</v>
      </c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>
      <c r="A184" s="8">
        <v>45199</v>
      </c>
      <c r="B184" s="9">
        <v>0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f>MAX(-20,MIN(10,$A184-VLOOKUP(YEAR($A184),'Festive dates'!$A$2:$J$5,8,FALSE)))</f>
        <v>-20</v>
      </c>
      <c r="R184" s="9">
        <f>IF(AND($A184&gt;VLOOKUP(YEAR($A184),'Festive dates'!$A$2:$J$5,2,FALSE),$A184&lt;VLOOKUP(YEAR($A184),'Festive dates'!$A$2:$J$5,3,FALSE)),1,0)</f>
        <v>0</v>
      </c>
      <c r="S184" s="9">
        <f>IF($A184=VLOOKUP(YEAR($A184),'Festive dates'!$A$2:$J$5,2,FALSE),1,0)</f>
        <v>0</v>
      </c>
      <c r="T184" s="9">
        <f>IF($A184=VLOOKUP(YEAR($A184),'Festive dates'!$A$2:$J$5,3,FALSE),1,0)</f>
        <v>0</v>
      </c>
      <c r="U184" s="9">
        <f>IF($A184=VLOOKUP(YEAR($A184),'Festive dates'!$A$2:$J$5,4,FALSE),1,0)</f>
        <v>0</v>
      </c>
      <c r="V184" s="9">
        <f>IF(AND($A184&gt;=VLOOKUP(YEAR($A184),'Festive dates'!$A$2:$J$5,9,FALSE),$A184&lt;=VLOOKUP(YEAR($A184),'Festive dates'!$A$2:$J$5,10,FALSE)),1,0)</f>
        <v>1</v>
      </c>
      <c r="W184" s="9">
        <f>IF($A184=VLOOKUP(YEAR($A184),'Festive dates'!$A$2:$J$5,7,FALSE),1,0)</f>
        <v>0</v>
      </c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>
      <c r="A185" s="8">
        <v>45200</v>
      </c>
      <c r="B185" s="9">
        <v>0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f>MAX(-20,MIN(10,$A185-VLOOKUP(YEAR($A185),'Festive dates'!$A$2:$J$5,8,FALSE)))</f>
        <v>-20</v>
      </c>
      <c r="R185" s="9">
        <f>IF(AND($A185&gt;VLOOKUP(YEAR($A185),'Festive dates'!$A$2:$J$5,2,FALSE),$A185&lt;VLOOKUP(YEAR($A185),'Festive dates'!$A$2:$J$5,3,FALSE)),1,0)</f>
        <v>0</v>
      </c>
      <c r="S185" s="9">
        <f>IF($A185=VLOOKUP(YEAR($A185),'Festive dates'!$A$2:$J$5,2,FALSE),1,0)</f>
        <v>0</v>
      </c>
      <c r="T185" s="9">
        <f>IF($A185=VLOOKUP(YEAR($A185),'Festive dates'!$A$2:$J$5,3,FALSE),1,0)</f>
        <v>0</v>
      </c>
      <c r="U185" s="9">
        <f>IF($A185=VLOOKUP(YEAR($A185),'Festive dates'!$A$2:$J$5,4,FALSE),1,0)</f>
        <v>0</v>
      </c>
      <c r="V185" s="9">
        <f>IF(AND($A185&gt;=VLOOKUP(YEAR($A185),'Festive dates'!$A$2:$J$5,9,FALSE),$A185&lt;=VLOOKUP(YEAR($A185),'Festive dates'!$A$2:$J$5,10,FALSE)),1,0)</f>
        <v>1</v>
      </c>
      <c r="W185" s="9">
        <f>IF($A185=VLOOKUP(YEAR($A185),'Festive dates'!$A$2:$J$5,7,FALSE),1,0)</f>
        <v>0</v>
      </c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>
      <c r="A186" s="8">
        <v>45201</v>
      </c>
      <c r="B186" s="9">
        <v>0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v>0</v>
      </c>
      <c r="I186" s="9">
        <v>0</v>
      </c>
      <c r="J186" s="9">
        <v>0</v>
      </c>
      <c r="K186" s="9">
        <v>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f>MAX(-20,MIN(10,$A186-VLOOKUP(YEAR($A186),'Festive dates'!$A$2:$J$5,8,FALSE)))</f>
        <v>-20</v>
      </c>
      <c r="R186" s="9">
        <f>IF(AND($A186&gt;VLOOKUP(YEAR($A186),'Festive dates'!$A$2:$J$5,2,FALSE),$A186&lt;VLOOKUP(YEAR($A186),'Festive dates'!$A$2:$J$5,3,FALSE)),1,0)</f>
        <v>0</v>
      </c>
      <c r="S186" s="9">
        <f>IF($A186=VLOOKUP(YEAR($A186),'Festive dates'!$A$2:$J$5,2,FALSE),1,0)</f>
        <v>0</v>
      </c>
      <c r="T186" s="9">
        <f>IF($A186=VLOOKUP(YEAR($A186),'Festive dates'!$A$2:$J$5,3,FALSE),1,0)</f>
        <v>0</v>
      </c>
      <c r="U186" s="9">
        <f>IF($A186=VLOOKUP(YEAR($A186),'Festive dates'!$A$2:$J$5,4,FALSE),1,0)</f>
        <v>0</v>
      </c>
      <c r="V186" s="9">
        <f>IF(AND($A186&gt;=VLOOKUP(YEAR($A186),'Festive dates'!$A$2:$J$5,9,FALSE),$A186&lt;=VLOOKUP(YEAR($A186),'Festive dates'!$A$2:$J$5,10,FALSE)),1,0)</f>
        <v>1</v>
      </c>
      <c r="W186" s="9">
        <f>IF($A186=VLOOKUP(YEAR($A186),'Festive dates'!$A$2:$J$5,7,FALSE),1,0)</f>
        <v>0</v>
      </c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>
      <c r="A187" s="8">
        <v>45202</v>
      </c>
      <c r="B187" s="9">
        <v>0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f>MAX(-20,MIN(10,$A187-VLOOKUP(YEAR($A187),'Festive dates'!$A$2:$J$5,8,FALSE)))</f>
        <v>-20</v>
      </c>
      <c r="R187" s="9">
        <f>IF(AND($A187&gt;VLOOKUP(YEAR($A187),'Festive dates'!$A$2:$J$5,2,FALSE),$A187&lt;VLOOKUP(YEAR($A187),'Festive dates'!$A$2:$J$5,3,FALSE)),1,0)</f>
        <v>0</v>
      </c>
      <c r="S187" s="9">
        <f>IF($A187=VLOOKUP(YEAR($A187),'Festive dates'!$A$2:$J$5,2,FALSE),1,0)</f>
        <v>0</v>
      </c>
      <c r="T187" s="9">
        <f>IF($A187=VLOOKUP(YEAR($A187),'Festive dates'!$A$2:$J$5,3,FALSE),1,0)</f>
        <v>0</v>
      </c>
      <c r="U187" s="9">
        <f>IF($A187=VLOOKUP(YEAR($A187),'Festive dates'!$A$2:$J$5,4,FALSE),1,0)</f>
        <v>0</v>
      </c>
      <c r="V187" s="9">
        <f>IF(AND($A187&gt;=VLOOKUP(YEAR($A187),'Festive dates'!$A$2:$J$5,9,FALSE),$A187&lt;=VLOOKUP(YEAR($A187),'Festive dates'!$A$2:$J$5,10,FALSE)),1,0)</f>
        <v>1</v>
      </c>
      <c r="W187" s="9">
        <f>IF($A187=VLOOKUP(YEAR($A187),'Festive dates'!$A$2:$J$5,7,FALSE),1,0)</f>
        <v>0</v>
      </c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>
      <c r="A188" s="8">
        <v>45203</v>
      </c>
      <c r="B188" s="9">
        <v>0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v>0</v>
      </c>
      <c r="K188" s="9">
        <v>0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f>MAX(-20,MIN(10,$A188-VLOOKUP(YEAR($A188),'Festive dates'!$A$2:$J$5,8,FALSE)))</f>
        <v>-20</v>
      </c>
      <c r="R188" s="9">
        <f>IF(AND($A188&gt;VLOOKUP(YEAR($A188),'Festive dates'!$A$2:$J$5,2,FALSE),$A188&lt;VLOOKUP(YEAR($A188),'Festive dates'!$A$2:$J$5,3,FALSE)),1,0)</f>
        <v>0</v>
      </c>
      <c r="S188" s="9">
        <f>IF($A188=VLOOKUP(YEAR($A188),'Festive dates'!$A$2:$J$5,2,FALSE),1,0)</f>
        <v>0</v>
      </c>
      <c r="T188" s="9">
        <f>IF($A188=VLOOKUP(YEAR($A188),'Festive dates'!$A$2:$J$5,3,FALSE),1,0)</f>
        <v>0</v>
      </c>
      <c r="U188" s="9">
        <f>IF($A188=VLOOKUP(YEAR($A188),'Festive dates'!$A$2:$J$5,4,FALSE),1,0)</f>
        <v>0</v>
      </c>
      <c r="V188" s="9">
        <f>IF(AND($A188&gt;=VLOOKUP(YEAR($A188),'Festive dates'!$A$2:$J$5,9,FALSE),$A188&lt;=VLOOKUP(YEAR($A188),'Festive dates'!$A$2:$J$5,10,FALSE)),1,0)</f>
        <v>1</v>
      </c>
      <c r="W188" s="9">
        <f>IF($A188=VLOOKUP(YEAR($A188),'Festive dates'!$A$2:$J$5,7,FALSE),1,0)</f>
        <v>0</v>
      </c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>
      <c r="A189" s="8">
        <v>45204</v>
      </c>
      <c r="B189" s="9">
        <v>0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f>MAX(-20,MIN(10,$A189-VLOOKUP(YEAR($A189),'Festive dates'!$A$2:$J$5,8,FALSE)))</f>
        <v>-20</v>
      </c>
      <c r="R189" s="9">
        <f>IF(AND($A189&gt;VLOOKUP(YEAR($A189),'Festive dates'!$A$2:$J$5,2,FALSE),$A189&lt;VLOOKUP(YEAR($A189),'Festive dates'!$A$2:$J$5,3,FALSE)),1,0)</f>
        <v>0</v>
      </c>
      <c r="S189" s="9">
        <f>IF($A189=VLOOKUP(YEAR($A189),'Festive dates'!$A$2:$J$5,2,FALSE),1,0)</f>
        <v>0</v>
      </c>
      <c r="T189" s="9">
        <f>IF($A189=VLOOKUP(YEAR($A189),'Festive dates'!$A$2:$J$5,3,FALSE),1,0)</f>
        <v>0</v>
      </c>
      <c r="U189" s="9">
        <f>IF($A189=VLOOKUP(YEAR($A189),'Festive dates'!$A$2:$J$5,4,FALSE),1,0)</f>
        <v>0</v>
      </c>
      <c r="V189" s="9">
        <f>IF(AND($A189&gt;=VLOOKUP(YEAR($A189),'Festive dates'!$A$2:$J$5,9,FALSE),$A189&lt;=VLOOKUP(YEAR($A189),'Festive dates'!$A$2:$J$5,10,FALSE)),1,0)</f>
        <v>1</v>
      </c>
      <c r="W189" s="9">
        <f>IF($A189=VLOOKUP(YEAR($A189),'Festive dates'!$A$2:$J$5,7,FALSE),1,0)</f>
        <v>0</v>
      </c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>
      <c r="A190" s="8">
        <v>45205</v>
      </c>
      <c r="B190" s="9">
        <v>0</v>
      </c>
      <c r="C190" s="9">
        <v>0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f>MAX(-20,MIN(10,$A190-VLOOKUP(YEAR($A190),'Festive dates'!$A$2:$J$5,8,FALSE)))</f>
        <v>-20</v>
      </c>
      <c r="R190" s="9">
        <f>IF(AND($A190&gt;VLOOKUP(YEAR($A190),'Festive dates'!$A$2:$J$5,2,FALSE),$A190&lt;VLOOKUP(YEAR($A190),'Festive dates'!$A$2:$J$5,3,FALSE)),1,0)</f>
        <v>0</v>
      </c>
      <c r="S190" s="9">
        <f>IF($A190=VLOOKUP(YEAR($A190),'Festive dates'!$A$2:$J$5,2,FALSE),1,0)</f>
        <v>0</v>
      </c>
      <c r="T190" s="9">
        <f>IF($A190=VLOOKUP(YEAR($A190),'Festive dates'!$A$2:$J$5,3,FALSE),1,0)</f>
        <v>0</v>
      </c>
      <c r="U190" s="9">
        <f>IF($A190=VLOOKUP(YEAR($A190),'Festive dates'!$A$2:$J$5,4,FALSE),1,0)</f>
        <v>0</v>
      </c>
      <c r="V190" s="9">
        <f>IF(AND($A190&gt;=VLOOKUP(YEAR($A190),'Festive dates'!$A$2:$J$5,9,FALSE),$A190&lt;=VLOOKUP(YEAR($A190),'Festive dates'!$A$2:$J$5,10,FALSE)),1,0)</f>
        <v>1</v>
      </c>
      <c r="W190" s="9">
        <f>IF($A190=VLOOKUP(YEAR($A190),'Festive dates'!$A$2:$J$5,7,FALSE),1,0)</f>
        <v>0</v>
      </c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>
      <c r="A191" s="8">
        <v>45206</v>
      </c>
      <c r="B191" s="9">
        <v>0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v>0</v>
      </c>
      <c r="K191" s="9">
        <v>0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f>MAX(-20,MIN(10,$A191-VLOOKUP(YEAR($A191),'Festive dates'!$A$2:$J$5,8,FALSE)))</f>
        <v>-20</v>
      </c>
      <c r="R191" s="9">
        <f>IF(AND($A191&gt;VLOOKUP(YEAR($A191),'Festive dates'!$A$2:$J$5,2,FALSE),$A191&lt;VLOOKUP(YEAR($A191),'Festive dates'!$A$2:$J$5,3,FALSE)),1,0)</f>
        <v>0</v>
      </c>
      <c r="S191" s="9">
        <f>IF($A191=VLOOKUP(YEAR($A191),'Festive dates'!$A$2:$J$5,2,FALSE),1,0)</f>
        <v>0</v>
      </c>
      <c r="T191" s="9">
        <f>IF($A191=VLOOKUP(YEAR($A191),'Festive dates'!$A$2:$J$5,3,FALSE),1,0)</f>
        <v>0</v>
      </c>
      <c r="U191" s="9">
        <f>IF($A191=VLOOKUP(YEAR($A191),'Festive dates'!$A$2:$J$5,4,FALSE),1,0)</f>
        <v>0</v>
      </c>
      <c r="V191" s="9">
        <f>IF(AND($A191&gt;=VLOOKUP(YEAR($A191),'Festive dates'!$A$2:$J$5,9,FALSE),$A191&lt;=VLOOKUP(YEAR($A191),'Festive dates'!$A$2:$J$5,10,FALSE)),1,0)</f>
        <v>1</v>
      </c>
      <c r="W191" s="9">
        <f>IF($A191=VLOOKUP(YEAR($A191),'Festive dates'!$A$2:$J$5,7,FALSE),1,0)</f>
        <v>0</v>
      </c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>
      <c r="A192" s="8">
        <v>45207</v>
      </c>
      <c r="B192" s="9">
        <v>0</v>
      </c>
      <c r="C192" s="9">
        <v>0</v>
      </c>
      <c r="D192" s="9">
        <v>0</v>
      </c>
      <c r="E192" s="9">
        <v>0</v>
      </c>
      <c r="F192" s="9">
        <v>0</v>
      </c>
      <c r="G192" s="9">
        <v>0</v>
      </c>
      <c r="H192" s="9">
        <v>0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f>MAX(-20,MIN(10,$A192-VLOOKUP(YEAR($A192),'Festive dates'!$A$2:$J$5,8,FALSE)))</f>
        <v>-20</v>
      </c>
      <c r="R192" s="9">
        <f>IF(AND($A192&gt;VLOOKUP(YEAR($A192),'Festive dates'!$A$2:$J$5,2,FALSE),$A192&lt;VLOOKUP(YEAR($A192),'Festive dates'!$A$2:$J$5,3,FALSE)),1,0)</f>
        <v>0</v>
      </c>
      <c r="S192" s="9">
        <f>IF($A192=VLOOKUP(YEAR($A192),'Festive dates'!$A$2:$J$5,2,FALSE),1,0)</f>
        <v>0</v>
      </c>
      <c r="T192" s="9">
        <f>IF($A192=VLOOKUP(YEAR($A192),'Festive dates'!$A$2:$J$5,3,FALSE),1,0)</f>
        <v>0</v>
      </c>
      <c r="U192" s="9">
        <f>IF($A192=VLOOKUP(YEAR($A192),'Festive dates'!$A$2:$J$5,4,FALSE),1,0)</f>
        <v>0</v>
      </c>
      <c r="V192" s="9">
        <f>IF(AND($A192&gt;=VLOOKUP(YEAR($A192),'Festive dates'!$A$2:$J$5,9,FALSE),$A192&lt;=VLOOKUP(YEAR($A192),'Festive dates'!$A$2:$J$5,10,FALSE)),1,0)</f>
        <v>1</v>
      </c>
      <c r="W192" s="9">
        <f>IF($A192=VLOOKUP(YEAR($A192),'Festive dates'!$A$2:$J$5,7,FALSE),1,0)</f>
        <v>0</v>
      </c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>
      <c r="A193" s="8">
        <v>45208</v>
      </c>
      <c r="B193" s="9">
        <v>0</v>
      </c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f>MAX(-20,MIN(10,$A193-VLOOKUP(YEAR($A193),'Festive dates'!$A$2:$J$5,8,FALSE)))</f>
        <v>-20</v>
      </c>
      <c r="R193" s="9">
        <f>IF(AND($A193&gt;VLOOKUP(YEAR($A193),'Festive dates'!$A$2:$J$5,2,FALSE),$A193&lt;VLOOKUP(YEAR($A193),'Festive dates'!$A$2:$J$5,3,FALSE)),1,0)</f>
        <v>0</v>
      </c>
      <c r="S193" s="9">
        <f>IF($A193=VLOOKUP(YEAR($A193),'Festive dates'!$A$2:$J$5,2,FALSE),1,0)</f>
        <v>0</v>
      </c>
      <c r="T193" s="9">
        <f>IF($A193=VLOOKUP(YEAR($A193),'Festive dates'!$A$2:$J$5,3,FALSE),1,0)</f>
        <v>0</v>
      </c>
      <c r="U193" s="9">
        <f>IF($A193=VLOOKUP(YEAR($A193),'Festive dates'!$A$2:$J$5,4,FALSE),1,0)</f>
        <v>0</v>
      </c>
      <c r="V193" s="9">
        <f>IF(AND($A193&gt;=VLOOKUP(YEAR($A193),'Festive dates'!$A$2:$J$5,9,FALSE),$A193&lt;=VLOOKUP(YEAR($A193),'Festive dates'!$A$2:$J$5,10,FALSE)),1,0)</f>
        <v>1</v>
      </c>
      <c r="W193" s="9">
        <f>IF($A193=VLOOKUP(YEAR($A193),'Festive dates'!$A$2:$J$5,7,FALSE),1,0)</f>
        <v>0</v>
      </c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>
      <c r="A194" s="8">
        <v>45209</v>
      </c>
      <c r="B194" s="9">
        <v>0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f>MAX(-20,MIN(10,$A194-VLOOKUP(YEAR($A194),'Festive dates'!$A$2:$J$5,8,FALSE)))</f>
        <v>-20</v>
      </c>
      <c r="R194" s="9">
        <f>IF(AND($A194&gt;VLOOKUP(YEAR($A194),'Festive dates'!$A$2:$J$5,2,FALSE),$A194&lt;VLOOKUP(YEAR($A194),'Festive dates'!$A$2:$J$5,3,FALSE)),1,0)</f>
        <v>0</v>
      </c>
      <c r="S194" s="9">
        <f>IF($A194=VLOOKUP(YEAR($A194),'Festive dates'!$A$2:$J$5,2,FALSE),1,0)</f>
        <v>0</v>
      </c>
      <c r="T194" s="9">
        <f>IF($A194=VLOOKUP(YEAR($A194),'Festive dates'!$A$2:$J$5,3,FALSE),1,0)</f>
        <v>0</v>
      </c>
      <c r="U194" s="9">
        <f>IF($A194=VLOOKUP(YEAR($A194),'Festive dates'!$A$2:$J$5,4,FALSE),1,0)</f>
        <v>0</v>
      </c>
      <c r="V194" s="9">
        <f>IF(AND($A194&gt;=VLOOKUP(YEAR($A194),'Festive dates'!$A$2:$J$5,9,FALSE),$A194&lt;=VLOOKUP(YEAR($A194),'Festive dates'!$A$2:$J$5,10,FALSE)),1,0)</f>
        <v>1</v>
      </c>
      <c r="W194" s="9">
        <f>IF($A194=VLOOKUP(YEAR($A194),'Festive dates'!$A$2:$J$5,7,FALSE),1,0)</f>
        <v>0</v>
      </c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>
      <c r="A195" s="8">
        <v>45210</v>
      </c>
      <c r="B195" s="9">
        <v>0</v>
      </c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v>0</v>
      </c>
      <c r="K195" s="9">
        <v>0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f>MAX(-20,MIN(10,$A195-VLOOKUP(YEAR($A195),'Festive dates'!$A$2:$J$5,8,FALSE)))</f>
        <v>-20</v>
      </c>
      <c r="R195" s="9">
        <f>IF(AND($A195&gt;VLOOKUP(YEAR($A195),'Festive dates'!$A$2:$J$5,2,FALSE),$A195&lt;VLOOKUP(YEAR($A195),'Festive dates'!$A$2:$J$5,3,FALSE)),1,0)</f>
        <v>0</v>
      </c>
      <c r="S195" s="9">
        <f>IF($A195=VLOOKUP(YEAR($A195),'Festive dates'!$A$2:$J$5,2,FALSE),1,0)</f>
        <v>0</v>
      </c>
      <c r="T195" s="9">
        <f>IF($A195=VLOOKUP(YEAR($A195),'Festive dates'!$A$2:$J$5,3,FALSE),1,0)</f>
        <v>0</v>
      </c>
      <c r="U195" s="9">
        <f>IF($A195=VLOOKUP(YEAR($A195),'Festive dates'!$A$2:$J$5,4,FALSE),1,0)</f>
        <v>0</v>
      </c>
      <c r="V195" s="9">
        <f>IF(AND($A195&gt;=VLOOKUP(YEAR($A195),'Festive dates'!$A$2:$J$5,9,FALSE),$A195&lt;=VLOOKUP(YEAR($A195),'Festive dates'!$A$2:$J$5,10,FALSE)),1,0)</f>
        <v>1</v>
      </c>
      <c r="W195" s="9">
        <f>IF($A195=VLOOKUP(YEAR($A195),'Festive dates'!$A$2:$J$5,7,FALSE),1,0)</f>
        <v>0</v>
      </c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>
      <c r="A196" s="8">
        <v>45211</v>
      </c>
      <c r="B196" s="9">
        <v>0</v>
      </c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v>0</v>
      </c>
      <c r="K196" s="9">
        <v>0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f>MAX(-20,MIN(10,$A196-VLOOKUP(YEAR($A196),'Festive dates'!$A$2:$J$5,8,FALSE)))</f>
        <v>-20</v>
      </c>
      <c r="R196" s="9">
        <f>IF(AND($A196&gt;VLOOKUP(YEAR($A196),'Festive dates'!$A$2:$J$5,2,FALSE),$A196&lt;VLOOKUP(YEAR($A196),'Festive dates'!$A$2:$J$5,3,FALSE)),1,0)</f>
        <v>0</v>
      </c>
      <c r="S196" s="9">
        <f>IF($A196=VLOOKUP(YEAR($A196),'Festive dates'!$A$2:$J$5,2,FALSE),1,0)</f>
        <v>0</v>
      </c>
      <c r="T196" s="9">
        <f>IF($A196=VLOOKUP(YEAR($A196),'Festive dates'!$A$2:$J$5,3,FALSE),1,0)</f>
        <v>0</v>
      </c>
      <c r="U196" s="9">
        <f>IF($A196=VLOOKUP(YEAR($A196),'Festive dates'!$A$2:$J$5,4,FALSE),1,0)</f>
        <v>0</v>
      </c>
      <c r="V196" s="9">
        <f>IF(AND($A196&gt;=VLOOKUP(YEAR($A196),'Festive dates'!$A$2:$J$5,9,FALSE),$A196&lt;=VLOOKUP(YEAR($A196),'Festive dates'!$A$2:$J$5,10,FALSE)),1,0)</f>
        <v>1</v>
      </c>
      <c r="W196" s="9">
        <f>IF($A196=VLOOKUP(YEAR($A196),'Festive dates'!$A$2:$J$5,7,FALSE),1,0)</f>
        <v>0</v>
      </c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>
      <c r="A197" s="8">
        <v>45212</v>
      </c>
      <c r="B197" s="9">
        <v>0</v>
      </c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f>MAX(-20,MIN(10,$A197-VLOOKUP(YEAR($A197),'Festive dates'!$A$2:$J$5,8,FALSE)))</f>
        <v>-20</v>
      </c>
      <c r="R197" s="9">
        <f>IF(AND($A197&gt;VLOOKUP(YEAR($A197),'Festive dates'!$A$2:$J$5,2,FALSE),$A197&lt;VLOOKUP(YEAR($A197),'Festive dates'!$A$2:$J$5,3,FALSE)),1,0)</f>
        <v>0</v>
      </c>
      <c r="S197" s="9">
        <f>IF($A197=VLOOKUP(YEAR($A197),'Festive dates'!$A$2:$J$5,2,FALSE),1,0)</f>
        <v>0</v>
      </c>
      <c r="T197" s="9">
        <f>IF($A197=VLOOKUP(YEAR($A197),'Festive dates'!$A$2:$J$5,3,FALSE),1,0)</f>
        <v>0</v>
      </c>
      <c r="U197" s="9">
        <f>IF($A197=VLOOKUP(YEAR($A197),'Festive dates'!$A$2:$J$5,4,FALSE),1,0)</f>
        <v>0</v>
      </c>
      <c r="V197" s="9">
        <f>IF(AND($A197&gt;=VLOOKUP(YEAR($A197),'Festive dates'!$A$2:$J$5,9,FALSE),$A197&lt;=VLOOKUP(YEAR($A197),'Festive dates'!$A$2:$J$5,10,FALSE)),1,0)</f>
        <v>1</v>
      </c>
      <c r="W197" s="9">
        <f>IF($A197=VLOOKUP(YEAR($A197),'Festive dates'!$A$2:$J$5,7,FALSE),1,0)</f>
        <v>0</v>
      </c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>
      <c r="A198" s="8">
        <v>45213</v>
      </c>
      <c r="B198" s="9">
        <v>0</v>
      </c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v>0</v>
      </c>
      <c r="K198" s="9">
        <v>0</v>
      </c>
      <c r="L198" s="9">
        <v>0</v>
      </c>
      <c r="M198" s="9">
        <v>0</v>
      </c>
      <c r="N198" s="9">
        <v>0</v>
      </c>
      <c r="O198" s="9">
        <v>0</v>
      </c>
      <c r="P198" s="9">
        <v>0</v>
      </c>
      <c r="Q198" s="9">
        <f>MAX(-20,MIN(10,$A198-VLOOKUP(YEAR($A198),'Festive dates'!$A$2:$J$5,8,FALSE)))</f>
        <v>-20</v>
      </c>
      <c r="R198" s="9">
        <f>IF(AND($A198&gt;VLOOKUP(YEAR($A198),'Festive dates'!$A$2:$J$5,2,FALSE),$A198&lt;VLOOKUP(YEAR($A198),'Festive dates'!$A$2:$J$5,3,FALSE)),1,0)</f>
        <v>0</v>
      </c>
      <c r="S198" s="9">
        <f>IF($A198=VLOOKUP(YEAR($A198),'Festive dates'!$A$2:$J$5,2,FALSE),1,0)</f>
        <v>0</v>
      </c>
      <c r="T198" s="9">
        <f>IF($A198=VLOOKUP(YEAR($A198),'Festive dates'!$A$2:$J$5,3,FALSE),1,0)</f>
        <v>0</v>
      </c>
      <c r="U198" s="9">
        <f>IF($A198=VLOOKUP(YEAR($A198),'Festive dates'!$A$2:$J$5,4,FALSE),1,0)</f>
        <v>0</v>
      </c>
      <c r="V198" s="9">
        <f>IF(AND($A198&gt;=VLOOKUP(YEAR($A198),'Festive dates'!$A$2:$J$5,9,FALSE),$A198&lt;=VLOOKUP(YEAR($A198),'Festive dates'!$A$2:$J$5,10,FALSE)),1,0)</f>
        <v>1</v>
      </c>
      <c r="W198" s="9">
        <f>IF($A198=VLOOKUP(YEAR($A198),'Festive dates'!$A$2:$J$5,7,FALSE),1,0)</f>
        <v>0</v>
      </c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>
      <c r="A199" s="8">
        <v>45214</v>
      </c>
      <c r="B199" s="9">
        <v>0</v>
      </c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f>MAX(-20,MIN(10,$A199-VLOOKUP(YEAR($A199),'Festive dates'!$A$2:$J$5,8,FALSE)))</f>
        <v>-20</v>
      </c>
      <c r="R199" s="9">
        <f>IF(AND($A199&gt;VLOOKUP(YEAR($A199),'Festive dates'!$A$2:$J$5,2,FALSE),$A199&lt;VLOOKUP(YEAR($A199),'Festive dates'!$A$2:$J$5,3,FALSE)),1,0)</f>
        <v>0</v>
      </c>
      <c r="S199" s="9">
        <f>IF($A199=VLOOKUP(YEAR($A199),'Festive dates'!$A$2:$J$5,2,FALSE),1,0)</f>
        <v>1</v>
      </c>
      <c r="T199" s="9">
        <f>IF($A199=VLOOKUP(YEAR($A199),'Festive dates'!$A$2:$J$5,3,FALSE),1,0)</f>
        <v>0</v>
      </c>
      <c r="U199" s="9">
        <f>IF($A199=VLOOKUP(YEAR($A199),'Festive dates'!$A$2:$J$5,4,FALSE),1,0)</f>
        <v>0</v>
      </c>
      <c r="V199" s="9">
        <f>IF(AND($A199&gt;=VLOOKUP(YEAR($A199),'Festive dates'!$A$2:$J$5,9,FALSE),$A199&lt;=VLOOKUP(YEAR($A199),'Festive dates'!$A$2:$J$5,10,FALSE)),1,0)</f>
        <v>0</v>
      </c>
      <c r="W199" s="9">
        <f>IF($A199=VLOOKUP(YEAR($A199),'Festive dates'!$A$2:$J$5,7,FALSE),1,0)</f>
        <v>0</v>
      </c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>
      <c r="A200" s="8">
        <v>45215</v>
      </c>
      <c r="B200" s="9">
        <v>0</v>
      </c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v>0</v>
      </c>
      <c r="K200" s="9">
        <v>0</v>
      </c>
      <c r="L200" s="9">
        <v>0</v>
      </c>
      <c r="M200" s="9">
        <v>0</v>
      </c>
      <c r="N200" s="9">
        <v>0</v>
      </c>
      <c r="O200" s="9">
        <v>0</v>
      </c>
      <c r="P200" s="9">
        <v>0</v>
      </c>
      <c r="Q200" s="9">
        <f>MAX(-20,MIN(10,$A200-VLOOKUP(YEAR($A200),'Festive dates'!$A$2:$J$5,8,FALSE)))</f>
        <v>-20</v>
      </c>
      <c r="R200" s="9">
        <f>IF(AND($A200&gt;VLOOKUP(YEAR($A200),'Festive dates'!$A$2:$J$5,2,FALSE),$A200&lt;VLOOKUP(YEAR($A200),'Festive dates'!$A$2:$J$5,3,FALSE)),1,0)</f>
        <v>1</v>
      </c>
      <c r="S200" s="9">
        <f>IF($A200=VLOOKUP(YEAR($A200),'Festive dates'!$A$2:$J$5,2,FALSE),1,0)</f>
        <v>0</v>
      </c>
      <c r="T200" s="9">
        <f>IF($A200=VLOOKUP(YEAR($A200),'Festive dates'!$A$2:$J$5,3,FALSE),1,0)</f>
        <v>0</v>
      </c>
      <c r="U200" s="9">
        <f>IF($A200=VLOOKUP(YEAR($A200),'Festive dates'!$A$2:$J$5,4,FALSE),1,0)</f>
        <v>0</v>
      </c>
      <c r="V200" s="9">
        <f>IF(AND($A200&gt;=VLOOKUP(YEAR($A200),'Festive dates'!$A$2:$J$5,9,FALSE),$A200&lt;=VLOOKUP(YEAR($A200),'Festive dates'!$A$2:$J$5,10,FALSE)),1,0)</f>
        <v>0</v>
      </c>
      <c r="W200" s="9">
        <f>IF($A200=VLOOKUP(YEAR($A200),'Festive dates'!$A$2:$J$5,7,FALSE),1,0)</f>
        <v>0</v>
      </c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>
      <c r="A201" s="8">
        <v>45216</v>
      </c>
      <c r="B201" s="9">
        <v>0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f>MAX(-20,MIN(10,$A201-VLOOKUP(YEAR($A201),'Festive dates'!$A$2:$J$5,8,FALSE)))</f>
        <v>-20</v>
      </c>
      <c r="R201" s="9">
        <f>IF(AND($A201&gt;VLOOKUP(YEAR($A201),'Festive dates'!$A$2:$J$5,2,FALSE),$A201&lt;VLOOKUP(YEAR($A201),'Festive dates'!$A$2:$J$5,3,FALSE)),1,0)</f>
        <v>1</v>
      </c>
      <c r="S201" s="9">
        <f>IF($A201=VLOOKUP(YEAR($A201),'Festive dates'!$A$2:$J$5,2,FALSE),1,0)</f>
        <v>0</v>
      </c>
      <c r="T201" s="9">
        <f>IF($A201=VLOOKUP(YEAR($A201),'Festive dates'!$A$2:$J$5,3,FALSE),1,0)</f>
        <v>0</v>
      </c>
      <c r="U201" s="9">
        <f>IF($A201=VLOOKUP(YEAR($A201),'Festive dates'!$A$2:$J$5,4,FALSE),1,0)</f>
        <v>0</v>
      </c>
      <c r="V201" s="9">
        <f>IF(AND($A201&gt;=VLOOKUP(YEAR($A201),'Festive dates'!$A$2:$J$5,9,FALSE),$A201&lt;=VLOOKUP(YEAR($A201),'Festive dates'!$A$2:$J$5,10,FALSE)),1,0)</f>
        <v>0</v>
      </c>
      <c r="W201" s="9">
        <f>IF($A201=VLOOKUP(YEAR($A201),'Festive dates'!$A$2:$J$5,7,FALSE),1,0)</f>
        <v>0</v>
      </c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>
      <c r="A202" s="8">
        <v>45217</v>
      </c>
      <c r="B202" s="9">
        <v>0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f>MAX(-20,MIN(10,$A202-VLOOKUP(YEAR($A202),'Festive dates'!$A$2:$J$5,8,FALSE)))</f>
        <v>-20</v>
      </c>
      <c r="R202" s="9">
        <f>IF(AND($A202&gt;VLOOKUP(YEAR($A202),'Festive dates'!$A$2:$J$5,2,FALSE),$A202&lt;VLOOKUP(YEAR($A202),'Festive dates'!$A$2:$J$5,3,FALSE)),1,0)</f>
        <v>1</v>
      </c>
      <c r="S202" s="9">
        <f>IF($A202=VLOOKUP(YEAR($A202),'Festive dates'!$A$2:$J$5,2,FALSE),1,0)</f>
        <v>0</v>
      </c>
      <c r="T202" s="9">
        <f>IF($A202=VLOOKUP(YEAR($A202),'Festive dates'!$A$2:$J$5,3,FALSE),1,0)</f>
        <v>0</v>
      </c>
      <c r="U202" s="9">
        <f>IF($A202=VLOOKUP(YEAR($A202),'Festive dates'!$A$2:$J$5,4,FALSE),1,0)</f>
        <v>0</v>
      </c>
      <c r="V202" s="9">
        <f>IF(AND($A202&gt;=VLOOKUP(YEAR($A202),'Festive dates'!$A$2:$J$5,9,FALSE),$A202&lt;=VLOOKUP(YEAR($A202),'Festive dates'!$A$2:$J$5,10,FALSE)),1,0)</f>
        <v>0</v>
      </c>
      <c r="W202" s="9">
        <f>IF($A202=VLOOKUP(YEAR($A202),'Festive dates'!$A$2:$J$5,7,FALSE),1,0)</f>
        <v>0</v>
      </c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>
      <c r="A203" s="8">
        <v>45218</v>
      </c>
      <c r="B203" s="9">
        <v>0</v>
      </c>
      <c r="C203" s="9">
        <v>0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f>MAX(-20,MIN(10,$A203-VLOOKUP(YEAR($A203),'Festive dates'!$A$2:$J$5,8,FALSE)))</f>
        <v>-20</v>
      </c>
      <c r="R203" s="9">
        <f>IF(AND($A203&gt;VLOOKUP(YEAR($A203),'Festive dates'!$A$2:$J$5,2,FALSE),$A203&lt;VLOOKUP(YEAR($A203),'Festive dates'!$A$2:$J$5,3,FALSE)),1,0)</f>
        <v>1</v>
      </c>
      <c r="S203" s="9">
        <f>IF($A203=VLOOKUP(YEAR($A203),'Festive dates'!$A$2:$J$5,2,FALSE),1,0)</f>
        <v>0</v>
      </c>
      <c r="T203" s="9">
        <f>IF($A203=VLOOKUP(YEAR($A203),'Festive dates'!$A$2:$J$5,3,FALSE),1,0)</f>
        <v>0</v>
      </c>
      <c r="U203" s="9">
        <f>IF($A203=VLOOKUP(YEAR($A203),'Festive dates'!$A$2:$J$5,4,FALSE),1,0)</f>
        <v>0</v>
      </c>
      <c r="V203" s="9">
        <f>IF(AND($A203&gt;=VLOOKUP(YEAR($A203),'Festive dates'!$A$2:$J$5,9,FALSE),$A203&lt;=VLOOKUP(YEAR($A203),'Festive dates'!$A$2:$J$5,10,FALSE)),1,0)</f>
        <v>0</v>
      </c>
      <c r="W203" s="9">
        <f>IF($A203=VLOOKUP(YEAR($A203),'Festive dates'!$A$2:$J$5,7,FALSE),1,0)</f>
        <v>0</v>
      </c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>
      <c r="A204" s="8">
        <v>45219</v>
      </c>
      <c r="B204" s="9">
        <v>0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v>0</v>
      </c>
      <c r="K204" s="9">
        <v>0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f>MAX(-20,MIN(10,$A204-VLOOKUP(YEAR($A204),'Festive dates'!$A$2:$J$5,8,FALSE)))</f>
        <v>-20</v>
      </c>
      <c r="R204" s="9">
        <f>IF(AND($A204&gt;VLOOKUP(YEAR($A204),'Festive dates'!$A$2:$J$5,2,FALSE),$A204&lt;VLOOKUP(YEAR($A204),'Festive dates'!$A$2:$J$5,3,FALSE)),1,0)</f>
        <v>1</v>
      </c>
      <c r="S204" s="9">
        <f>IF($A204=VLOOKUP(YEAR($A204),'Festive dates'!$A$2:$J$5,2,FALSE),1,0)</f>
        <v>0</v>
      </c>
      <c r="T204" s="9">
        <f>IF($A204=VLOOKUP(YEAR($A204),'Festive dates'!$A$2:$J$5,3,FALSE),1,0)</f>
        <v>0</v>
      </c>
      <c r="U204" s="9">
        <f>IF($A204=VLOOKUP(YEAR($A204),'Festive dates'!$A$2:$J$5,4,FALSE),1,0)</f>
        <v>0</v>
      </c>
      <c r="V204" s="9">
        <f>IF(AND($A204&gt;=VLOOKUP(YEAR($A204),'Festive dates'!$A$2:$J$5,9,FALSE),$A204&lt;=VLOOKUP(YEAR($A204),'Festive dates'!$A$2:$J$5,10,FALSE)),1,0)</f>
        <v>0</v>
      </c>
      <c r="W204" s="9">
        <f>IF($A204=VLOOKUP(YEAR($A204),'Festive dates'!$A$2:$J$5,7,FALSE),1,0)</f>
        <v>0</v>
      </c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>
      <c r="A205" s="8">
        <v>45220</v>
      </c>
      <c r="B205" s="9">
        <v>0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f>MAX(-20,MIN(10,$A205-VLOOKUP(YEAR($A205),'Festive dates'!$A$2:$J$5,8,FALSE)))</f>
        <v>-20</v>
      </c>
      <c r="R205" s="9">
        <f>IF(AND($A205&gt;VLOOKUP(YEAR($A205),'Festive dates'!$A$2:$J$5,2,FALSE),$A205&lt;VLOOKUP(YEAR($A205),'Festive dates'!$A$2:$J$5,3,FALSE)),1,0)</f>
        <v>1</v>
      </c>
      <c r="S205" s="9">
        <f>IF($A205=VLOOKUP(YEAR($A205),'Festive dates'!$A$2:$J$5,2,FALSE),1,0)</f>
        <v>0</v>
      </c>
      <c r="T205" s="9">
        <f>IF($A205=VLOOKUP(YEAR($A205),'Festive dates'!$A$2:$J$5,3,FALSE),1,0)</f>
        <v>0</v>
      </c>
      <c r="U205" s="9">
        <f>IF($A205=VLOOKUP(YEAR($A205),'Festive dates'!$A$2:$J$5,4,FALSE),1,0)</f>
        <v>0</v>
      </c>
      <c r="V205" s="9">
        <f>IF(AND($A205&gt;=VLOOKUP(YEAR($A205),'Festive dates'!$A$2:$J$5,9,FALSE),$A205&lt;=VLOOKUP(YEAR($A205),'Festive dates'!$A$2:$J$5,10,FALSE)),1,0)</f>
        <v>0</v>
      </c>
      <c r="W205" s="9">
        <f>IF($A205=VLOOKUP(YEAR($A205),'Festive dates'!$A$2:$J$5,7,FALSE),1,0)</f>
        <v>0</v>
      </c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>
      <c r="A206" s="8">
        <v>45221</v>
      </c>
      <c r="B206" s="9">
        <v>0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v>0</v>
      </c>
      <c r="K206" s="9">
        <v>0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f>MAX(-20,MIN(10,$A206-VLOOKUP(YEAR($A206),'Festive dates'!$A$2:$J$5,8,FALSE)))</f>
        <v>-20</v>
      </c>
      <c r="R206" s="9">
        <f>IF(AND($A206&gt;VLOOKUP(YEAR($A206),'Festive dates'!$A$2:$J$5,2,FALSE),$A206&lt;VLOOKUP(YEAR($A206),'Festive dates'!$A$2:$J$5,3,FALSE)),1,0)</f>
        <v>1</v>
      </c>
      <c r="S206" s="9">
        <f>IF($A206=VLOOKUP(YEAR($A206),'Festive dates'!$A$2:$J$5,2,FALSE),1,0)</f>
        <v>0</v>
      </c>
      <c r="T206" s="9">
        <f>IF($A206=VLOOKUP(YEAR($A206),'Festive dates'!$A$2:$J$5,3,FALSE),1,0)</f>
        <v>0</v>
      </c>
      <c r="U206" s="9">
        <f>IF($A206=VLOOKUP(YEAR($A206),'Festive dates'!$A$2:$J$5,4,FALSE),1,0)</f>
        <v>0</v>
      </c>
      <c r="V206" s="9">
        <f>IF(AND($A206&gt;=VLOOKUP(YEAR($A206),'Festive dates'!$A$2:$J$5,9,FALSE),$A206&lt;=VLOOKUP(YEAR($A206),'Festive dates'!$A$2:$J$5,10,FALSE)),1,0)</f>
        <v>0</v>
      </c>
      <c r="W206" s="9">
        <f>IF($A206=VLOOKUP(YEAR($A206),'Festive dates'!$A$2:$J$5,7,FALSE),1,0)</f>
        <v>0</v>
      </c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>
      <c r="A207" s="8">
        <v>45222</v>
      </c>
      <c r="B207" s="9">
        <v>0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f>MAX(-20,MIN(10,$A207-VLOOKUP(YEAR($A207),'Festive dates'!$A$2:$J$5,8,FALSE)))</f>
        <v>-20</v>
      </c>
      <c r="R207" s="9">
        <f>IF(AND($A207&gt;VLOOKUP(YEAR($A207),'Festive dates'!$A$2:$J$5,2,FALSE),$A207&lt;VLOOKUP(YEAR($A207),'Festive dates'!$A$2:$J$5,3,FALSE)),1,0)</f>
        <v>0</v>
      </c>
      <c r="S207" s="9">
        <f>IF($A207=VLOOKUP(YEAR($A207),'Festive dates'!$A$2:$J$5,2,FALSE),1,0)</f>
        <v>0</v>
      </c>
      <c r="T207" s="9">
        <f>IF($A207=VLOOKUP(YEAR($A207),'Festive dates'!$A$2:$J$5,3,FALSE),1,0)</f>
        <v>1</v>
      </c>
      <c r="U207" s="9">
        <f>IF($A207=VLOOKUP(YEAR($A207),'Festive dates'!$A$2:$J$5,4,FALSE),1,0)</f>
        <v>0</v>
      </c>
      <c r="V207" s="9">
        <f>IF(AND($A207&gt;=VLOOKUP(YEAR($A207),'Festive dates'!$A$2:$J$5,9,FALSE),$A207&lt;=VLOOKUP(YEAR($A207),'Festive dates'!$A$2:$J$5,10,FALSE)),1,0)</f>
        <v>0</v>
      </c>
      <c r="W207" s="9">
        <f>IF($A207=VLOOKUP(YEAR($A207),'Festive dates'!$A$2:$J$5,7,FALSE),1,0)</f>
        <v>0</v>
      </c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>
      <c r="A208" s="8">
        <v>45223</v>
      </c>
      <c r="B208" s="9">
        <v>0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f>MAX(-20,MIN(10,$A208-VLOOKUP(YEAR($A208),'Festive dates'!$A$2:$J$5,8,FALSE)))</f>
        <v>-19</v>
      </c>
      <c r="R208" s="9">
        <f>IF(AND($A208&gt;VLOOKUP(YEAR($A208),'Festive dates'!$A$2:$J$5,2,FALSE),$A208&lt;VLOOKUP(YEAR($A208),'Festive dates'!$A$2:$J$5,3,FALSE)),1,0)</f>
        <v>0</v>
      </c>
      <c r="S208" s="9">
        <f>IF($A208=VLOOKUP(YEAR($A208),'Festive dates'!$A$2:$J$5,2,FALSE),1,0)</f>
        <v>0</v>
      </c>
      <c r="T208" s="9">
        <f>IF($A208=VLOOKUP(YEAR($A208),'Festive dates'!$A$2:$J$5,3,FALSE),1,0)</f>
        <v>0</v>
      </c>
      <c r="U208" s="9">
        <f>IF($A208=VLOOKUP(YEAR($A208),'Festive dates'!$A$2:$J$5,4,FALSE),1,0)</f>
        <v>1</v>
      </c>
      <c r="V208" s="9">
        <f>IF(AND($A208&gt;=VLOOKUP(YEAR($A208),'Festive dates'!$A$2:$J$5,9,FALSE),$A208&lt;=VLOOKUP(YEAR($A208),'Festive dates'!$A$2:$J$5,10,FALSE)),1,0)</f>
        <v>0</v>
      </c>
      <c r="W208" s="9">
        <f>IF($A208=VLOOKUP(YEAR($A208),'Festive dates'!$A$2:$J$5,7,FALSE),1,0)</f>
        <v>0</v>
      </c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>
      <c r="A209" s="8">
        <v>45224</v>
      </c>
      <c r="B209" s="9">
        <v>0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f>MAX(-20,MIN(10,$A209-VLOOKUP(YEAR($A209),'Festive dates'!$A$2:$J$5,8,FALSE)))</f>
        <v>-18</v>
      </c>
      <c r="R209" s="9">
        <f>IF(AND($A209&gt;VLOOKUP(YEAR($A209),'Festive dates'!$A$2:$J$5,2,FALSE),$A209&lt;VLOOKUP(YEAR($A209),'Festive dates'!$A$2:$J$5,3,FALSE)),1,0)</f>
        <v>0</v>
      </c>
      <c r="S209" s="9">
        <f>IF($A209=VLOOKUP(YEAR($A209),'Festive dates'!$A$2:$J$5,2,FALSE),1,0)</f>
        <v>0</v>
      </c>
      <c r="T209" s="9">
        <f>IF($A209=VLOOKUP(YEAR($A209),'Festive dates'!$A$2:$J$5,3,FALSE),1,0)</f>
        <v>0</v>
      </c>
      <c r="U209" s="9">
        <f>IF($A209=VLOOKUP(YEAR($A209),'Festive dates'!$A$2:$J$5,4,FALSE),1,0)</f>
        <v>0</v>
      </c>
      <c r="V209" s="9">
        <f>IF(AND($A209&gt;=VLOOKUP(YEAR($A209),'Festive dates'!$A$2:$J$5,9,FALSE),$A209&lt;=VLOOKUP(YEAR($A209),'Festive dates'!$A$2:$J$5,10,FALSE)),1,0)</f>
        <v>0</v>
      </c>
      <c r="W209" s="9">
        <f>IF($A209=VLOOKUP(YEAR($A209),'Festive dates'!$A$2:$J$5,7,FALSE),1,0)</f>
        <v>0</v>
      </c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>
      <c r="A210" s="8">
        <v>45225</v>
      </c>
      <c r="B210" s="9">
        <v>0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v>0</v>
      </c>
      <c r="K210" s="9">
        <v>0</v>
      </c>
      <c r="L210" s="9">
        <v>0</v>
      </c>
      <c r="M210" s="9">
        <v>0</v>
      </c>
      <c r="N210" s="9">
        <v>0</v>
      </c>
      <c r="O210" s="9">
        <v>0</v>
      </c>
      <c r="P210" s="9">
        <v>0</v>
      </c>
      <c r="Q210" s="9">
        <f>MAX(-20,MIN(10,$A210-VLOOKUP(YEAR($A210),'Festive dates'!$A$2:$J$5,8,FALSE)))</f>
        <v>-17</v>
      </c>
      <c r="R210" s="9">
        <f>IF(AND($A210&gt;VLOOKUP(YEAR($A210),'Festive dates'!$A$2:$J$5,2,FALSE),$A210&lt;VLOOKUP(YEAR($A210),'Festive dates'!$A$2:$J$5,3,FALSE)),1,0)</f>
        <v>0</v>
      </c>
      <c r="S210" s="9">
        <f>IF($A210=VLOOKUP(YEAR($A210),'Festive dates'!$A$2:$J$5,2,FALSE),1,0)</f>
        <v>0</v>
      </c>
      <c r="T210" s="9">
        <f>IF($A210=VLOOKUP(YEAR($A210),'Festive dates'!$A$2:$J$5,3,FALSE),1,0)</f>
        <v>0</v>
      </c>
      <c r="U210" s="9">
        <f>IF($A210=VLOOKUP(YEAR($A210),'Festive dates'!$A$2:$J$5,4,FALSE),1,0)</f>
        <v>0</v>
      </c>
      <c r="V210" s="9">
        <f>IF(AND($A210&gt;=VLOOKUP(YEAR($A210),'Festive dates'!$A$2:$J$5,9,FALSE),$A210&lt;=VLOOKUP(YEAR($A210),'Festive dates'!$A$2:$J$5,10,FALSE)),1,0)</f>
        <v>0</v>
      </c>
      <c r="W210" s="9">
        <f>IF($A210=VLOOKUP(YEAR($A210),'Festive dates'!$A$2:$J$5,7,FALSE),1,0)</f>
        <v>0</v>
      </c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>
      <c r="A211" s="8">
        <v>45226</v>
      </c>
      <c r="B211" s="9">
        <v>0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f>MAX(-20,MIN(10,$A211-VLOOKUP(YEAR($A211),'Festive dates'!$A$2:$J$5,8,FALSE)))</f>
        <v>-16</v>
      </c>
      <c r="R211" s="9">
        <f>IF(AND($A211&gt;VLOOKUP(YEAR($A211),'Festive dates'!$A$2:$J$5,2,FALSE),$A211&lt;VLOOKUP(YEAR($A211),'Festive dates'!$A$2:$J$5,3,FALSE)),1,0)</f>
        <v>0</v>
      </c>
      <c r="S211" s="9">
        <f>IF($A211=VLOOKUP(YEAR($A211),'Festive dates'!$A$2:$J$5,2,FALSE),1,0)</f>
        <v>0</v>
      </c>
      <c r="T211" s="9">
        <f>IF($A211=VLOOKUP(YEAR($A211),'Festive dates'!$A$2:$J$5,3,FALSE),1,0)</f>
        <v>0</v>
      </c>
      <c r="U211" s="9">
        <f>IF($A211=VLOOKUP(YEAR($A211),'Festive dates'!$A$2:$J$5,4,FALSE),1,0)</f>
        <v>0</v>
      </c>
      <c r="V211" s="9">
        <f>IF(AND($A211&gt;=VLOOKUP(YEAR($A211),'Festive dates'!$A$2:$J$5,9,FALSE),$A211&lt;=VLOOKUP(YEAR($A211),'Festive dates'!$A$2:$J$5,10,FALSE)),1,0)</f>
        <v>0</v>
      </c>
      <c r="W211" s="9">
        <f>IF($A211=VLOOKUP(YEAR($A211),'Festive dates'!$A$2:$J$5,7,FALSE),1,0)</f>
        <v>0</v>
      </c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>
      <c r="A212" s="8">
        <v>45227</v>
      </c>
      <c r="B212" s="9">
        <v>0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v>0</v>
      </c>
      <c r="K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f>MAX(-20,MIN(10,$A212-VLOOKUP(YEAR($A212),'Festive dates'!$A$2:$J$5,8,FALSE)))</f>
        <v>-15</v>
      </c>
      <c r="R212" s="9">
        <f>IF(AND($A212&gt;VLOOKUP(YEAR($A212),'Festive dates'!$A$2:$J$5,2,FALSE),$A212&lt;VLOOKUP(YEAR($A212),'Festive dates'!$A$2:$J$5,3,FALSE)),1,0)</f>
        <v>0</v>
      </c>
      <c r="S212" s="9">
        <f>IF($A212=VLOOKUP(YEAR($A212),'Festive dates'!$A$2:$J$5,2,FALSE),1,0)</f>
        <v>0</v>
      </c>
      <c r="T212" s="9">
        <f>IF($A212=VLOOKUP(YEAR($A212),'Festive dates'!$A$2:$J$5,3,FALSE),1,0)</f>
        <v>0</v>
      </c>
      <c r="U212" s="9">
        <f>IF($A212=VLOOKUP(YEAR($A212),'Festive dates'!$A$2:$J$5,4,FALSE),1,0)</f>
        <v>0</v>
      </c>
      <c r="V212" s="9">
        <f>IF(AND($A212&gt;=VLOOKUP(YEAR($A212),'Festive dates'!$A$2:$J$5,9,FALSE),$A212&lt;=VLOOKUP(YEAR($A212),'Festive dates'!$A$2:$J$5,10,FALSE)),1,0)</f>
        <v>0</v>
      </c>
      <c r="W212" s="9">
        <f>IF($A212=VLOOKUP(YEAR($A212),'Festive dates'!$A$2:$J$5,7,FALSE),1,0)</f>
        <v>0</v>
      </c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>
      <c r="A213" s="8">
        <v>45228</v>
      </c>
      <c r="B213" s="9">
        <v>0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v>0</v>
      </c>
      <c r="K213" s="9">
        <v>0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f>MAX(-20,MIN(10,$A213-VLOOKUP(YEAR($A213),'Festive dates'!$A$2:$J$5,8,FALSE)))</f>
        <v>-14</v>
      </c>
      <c r="R213" s="9">
        <f>IF(AND($A213&gt;VLOOKUP(YEAR($A213),'Festive dates'!$A$2:$J$5,2,FALSE),$A213&lt;VLOOKUP(YEAR($A213),'Festive dates'!$A$2:$J$5,3,FALSE)),1,0)</f>
        <v>0</v>
      </c>
      <c r="S213" s="9">
        <f>IF($A213=VLOOKUP(YEAR($A213),'Festive dates'!$A$2:$J$5,2,FALSE),1,0)</f>
        <v>0</v>
      </c>
      <c r="T213" s="9">
        <f>IF($A213=VLOOKUP(YEAR($A213),'Festive dates'!$A$2:$J$5,3,FALSE),1,0)</f>
        <v>0</v>
      </c>
      <c r="U213" s="9">
        <f>IF($A213=VLOOKUP(YEAR($A213),'Festive dates'!$A$2:$J$5,4,FALSE),1,0)</f>
        <v>0</v>
      </c>
      <c r="V213" s="9">
        <f>IF(AND($A213&gt;=VLOOKUP(YEAR($A213),'Festive dates'!$A$2:$J$5,9,FALSE),$A213&lt;=VLOOKUP(YEAR($A213),'Festive dates'!$A$2:$J$5,10,FALSE)),1,0)</f>
        <v>0</v>
      </c>
      <c r="W213" s="9">
        <f>IF($A213=VLOOKUP(YEAR($A213),'Festive dates'!$A$2:$J$5,7,FALSE),1,0)</f>
        <v>0</v>
      </c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>
      <c r="A214" s="8">
        <v>45229</v>
      </c>
      <c r="B214" s="9">
        <v>0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f>MAX(-20,MIN(10,$A214-VLOOKUP(YEAR($A214),'Festive dates'!$A$2:$J$5,8,FALSE)))</f>
        <v>-13</v>
      </c>
      <c r="R214" s="9">
        <f>IF(AND($A214&gt;VLOOKUP(YEAR($A214),'Festive dates'!$A$2:$J$5,2,FALSE),$A214&lt;VLOOKUP(YEAR($A214),'Festive dates'!$A$2:$J$5,3,FALSE)),1,0)</f>
        <v>0</v>
      </c>
      <c r="S214" s="9">
        <f>IF($A214=VLOOKUP(YEAR($A214),'Festive dates'!$A$2:$J$5,2,FALSE),1,0)</f>
        <v>0</v>
      </c>
      <c r="T214" s="9">
        <f>IF($A214=VLOOKUP(YEAR($A214),'Festive dates'!$A$2:$J$5,3,FALSE),1,0)</f>
        <v>0</v>
      </c>
      <c r="U214" s="9">
        <f>IF($A214=VLOOKUP(YEAR($A214),'Festive dates'!$A$2:$J$5,4,FALSE),1,0)</f>
        <v>0</v>
      </c>
      <c r="V214" s="9">
        <f>IF(AND($A214&gt;=VLOOKUP(YEAR($A214),'Festive dates'!$A$2:$J$5,9,FALSE),$A214&lt;=VLOOKUP(YEAR($A214),'Festive dates'!$A$2:$J$5,10,FALSE)),1,0)</f>
        <v>0</v>
      </c>
      <c r="W214" s="9">
        <f>IF($A214=VLOOKUP(YEAR($A214),'Festive dates'!$A$2:$J$5,7,FALSE),1,0)</f>
        <v>0</v>
      </c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>
      <c r="A215" s="8">
        <v>45230</v>
      </c>
      <c r="B215" s="9">
        <v>0</v>
      </c>
      <c r="C215" s="9">
        <v>0</v>
      </c>
      <c r="D215" s="9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f>MAX(-20,MIN(10,$A215-VLOOKUP(YEAR($A215),'Festive dates'!$A$2:$J$5,8,FALSE)))</f>
        <v>-12</v>
      </c>
      <c r="R215" s="9">
        <f>IF(AND($A215&gt;VLOOKUP(YEAR($A215),'Festive dates'!$A$2:$J$5,2,FALSE),$A215&lt;VLOOKUP(YEAR($A215),'Festive dates'!$A$2:$J$5,3,FALSE)),1,0)</f>
        <v>0</v>
      </c>
      <c r="S215" s="9">
        <f>IF($A215=VLOOKUP(YEAR($A215),'Festive dates'!$A$2:$J$5,2,FALSE),1,0)</f>
        <v>0</v>
      </c>
      <c r="T215" s="9">
        <f>IF($A215=VLOOKUP(YEAR($A215),'Festive dates'!$A$2:$J$5,3,FALSE),1,0)</f>
        <v>0</v>
      </c>
      <c r="U215" s="9">
        <f>IF($A215=VLOOKUP(YEAR($A215),'Festive dates'!$A$2:$J$5,4,FALSE),1,0)</f>
        <v>0</v>
      </c>
      <c r="V215" s="9">
        <f>IF(AND($A215&gt;=VLOOKUP(YEAR($A215),'Festive dates'!$A$2:$J$5,9,FALSE),$A215&lt;=VLOOKUP(YEAR($A215),'Festive dates'!$A$2:$J$5,10,FALSE)),1,0)</f>
        <v>0</v>
      </c>
      <c r="W215" s="9">
        <f>IF($A215=VLOOKUP(YEAR($A215),'Festive dates'!$A$2:$J$5,7,FALSE),1,0)</f>
        <v>0</v>
      </c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>
      <c r="A216" s="8">
        <v>45231</v>
      </c>
      <c r="B216" s="9">
        <v>0</v>
      </c>
      <c r="C216" s="9">
        <v>0</v>
      </c>
      <c r="D216" s="9">
        <v>0</v>
      </c>
      <c r="E216" s="9">
        <v>0</v>
      </c>
      <c r="F216" s="9">
        <v>1</v>
      </c>
      <c r="G216" s="9">
        <v>0</v>
      </c>
      <c r="H216" s="9">
        <v>0</v>
      </c>
      <c r="I216" s="9">
        <v>0</v>
      </c>
      <c r="J216" s="9">
        <v>0</v>
      </c>
      <c r="K216" s="9">
        <v>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f>MAX(-20,MIN(10,$A216-VLOOKUP(YEAR($A216),'Festive dates'!$A$2:$J$5,8,FALSE)))</f>
        <v>-11</v>
      </c>
      <c r="R216" s="9">
        <f>IF(AND($A216&gt;VLOOKUP(YEAR($A216),'Festive dates'!$A$2:$J$5,2,FALSE),$A216&lt;VLOOKUP(YEAR($A216),'Festive dates'!$A$2:$J$5,3,FALSE)),1,0)</f>
        <v>0</v>
      </c>
      <c r="S216" s="9">
        <f>IF($A216=VLOOKUP(YEAR($A216),'Festive dates'!$A$2:$J$5,2,FALSE),1,0)</f>
        <v>0</v>
      </c>
      <c r="T216" s="9">
        <f>IF($A216=VLOOKUP(YEAR($A216),'Festive dates'!$A$2:$J$5,3,FALSE),1,0)</f>
        <v>0</v>
      </c>
      <c r="U216" s="9">
        <f>IF($A216=VLOOKUP(YEAR($A216),'Festive dates'!$A$2:$J$5,4,FALSE),1,0)</f>
        <v>0</v>
      </c>
      <c r="V216" s="9">
        <f>IF(AND($A216&gt;=VLOOKUP(YEAR($A216),'Festive dates'!$A$2:$J$5,9,FALSE),$A216&lt;=VLOOKUP(YEAR($A216),'Festive dates'!$A$2:$J$5,10,FALSE)),1,0)</f>
        <v>0</v>
      </c>
      <c r="W216" s="9">
        <f>IF($A216=VLOOKUP(YEAR($A216),'Festive dates'!$A$2:$J$5,7,FALSE),1,0)</f>
        <v>0</v>
      </c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>
      <c r="A217" s="8">
        <v>45232</v>
      </c>
      <c r="B217" s="9">
        <v>0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9">
        <v>0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f>MAX(-20,MIN(10,$A217-VLOOKUP(YEAR($A217),'Festive dates'!$A$2:$J$5,8,FALSE)))</f>
        <v>-10</v>
      </c>
      <c r="R217" s="9">
        <f>IF(AND($A217&gt;VLOOKUP(YEAR($A217),'Festive dates'!$A$2:$J$5,2,FALSE),$A217&lt;VLOOKUP(YEAR($A217),'Festive dates'!$A$2:$J$5,3,FALSE)),1,0)</f>
        <v>0</v>
      </c>
      <c r="S217" s="9">
        <f>IF($A217=VLOOKUP(YEAR($A217),'Festive dates'!$A$2:$J$5,2,FALSE),1,0)</f>
        <v>0</v>
      </c>
      <c r="T217" s="9">
        <f>IF($A217=VLOOKUP(YEAR($A217),'Festive dates'!$A$2:$J$5,3,FALSE),1,0)</f>
        <v>0</v>
      </c>
      <c r="U217" s="9">
        <f>IF($A217=VLOOKUP(YEAR($A217),'Festive dates'!$A$2:$J$5,4,FALSE),1,0)</f>
        <v>0</v>
      </c>
      <c r="V217" s="9">
        <f>IF(AND($A217&gt;=VLOOKUP(YEAR($A217),'Festive dates'!$A$2:$J$5,9,FALSE),$A217&lt;=VLOOKUP(YEAR($A217),'Festive dates'!$A$2:$J$5,10,FALSE)),1,0)</f>
        <v>0</v>
      </c>
      <c r="W217" s="9">
        <f>IF($A217=VLOOKUP(YEAR($A217),'Festive dates'!$A$2:$J$5,7,FALSE),1,0)</f>
        <v>0</v>
      </c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>
      <c r="A218" s="8">
        <v>45233</v>
      </c>
      <c r="B218" s="9">
        <v>0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9">
        <v>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f>MAX(-20,MIN(10,$A218-VLOOKUP(YEAR($A218),'Festive dates'!$A$2:$J$5,8,FALSE)))</f>
        <v>-9</v>
      </c>
      <c r="R218" s="9">
        <f>IF(AND($A218&gt;VLOOKUP(YEAR($A218),'Festive dates'!$A$2:$J$5,2,FALSE),$A218&lt;VLOOKUP(YEAR($A218),'Festive dates'!$A$2:$J$5,3,FALSE)),1,0)</f>
        <v>0</v>
      </c>
      <c r="S218" s="9">
        <f>IF($A218=VLOOKUP(YEAR($A218),'Festive dates'!$A$2:$J$5,2,FALSE),1,0)</f>
        <v>0</v>
      </c>
      <c r="T218" s="9">
        <f>IF($A218=VLOOKUP(YEAR($A218),'Festive dates'!$A$2:$J$5,3,FALSE),1,0)</f>
        <v>0</v>
      </c>
      <c r="U218" s="9">
        <f>IF($A218=VLOOKUP(YEAR($A218),'Festive dates'!$A$2:$J$5,4,FALSE),1,0)</f>
        <v>0</v>
      </c>
      <c r="V218" s="9">
        <f>IF(AND($A218&gt;=VLOOKUP(YEAR($A218),'Festive dates'!$A$2:$J$5,9,FALSE),$A218&lt;=VLOOKUP(YEAR($A218),'Festive dates'!$A$2:$J$5,10,FALSE)),1,0)</f>
        <v>0</v>
      </c>
      <c r="W218" s="9">
        <f>IF($A218=VLOOKUP(YEAR($A218),'Festive dates'!$A$2:$J$5,7,FALSE),1,0)</f>
        <v>0</v>
      </c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>
      <c r="A219" s="8">
        <v>45234</v>
      </c>
      <c r="B219" s="9">
        <v>0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9">
        <v>0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f>MAX(-20,MIN(10,$A219-VLOOKUP(YEAR($A219),'Festive dates'!$A$2:$J$5,8,FALSE)))</f>
        <v>-8</v>
      </c>
      <c r="R219" s="9">
        <f>IF(AND($A219&gt;VLOOKUP(YEAR($A219),'Festive dates'!$A$2:$J$5,2,FALSE),$A219&lt;VLOOKUP(YEAR($A219),'Festive dates'!$A$2:$J$5,3,FALSE)),1,0)</f>
        <v>0</v>
      </c>
      <c r="S219" s="9">
        <f>IF($A219=VLOOKUP(YEAR($A219),'Festive dates'!$A$2:$J$5,2,FALSE),1,0)</f>
        <v>0</v>
      </c>
      <c r="T219" s="9">
        <f>IF($A219=VLOOKUP(YEAR($A219),'Festive dates'!$A$2:$J$5,3,FALSE),1,0)</f>
        <v>0</v>
      </c>
      <c r="U219" s="9">
        <f>IF($A219=VLOOKUP(YEAR($A219),'Festive dates'!$A$2:$J$5,4,FALSE),1,0)</f>
        <v>0</v>
      </c>
      <c r="V219" s="9">
        <f>IF(AND($A219&gt;=VLOOKUP(YEAR($A219),'Festive dates'!$A$2:$J$5,9,FALSE),$A219&lt;=VLOOKUP(YEAR($A219),'Festive dates'!$A$2:$J$5,10,FALSE)),1,0)</f>
        <v>0</v>
      </c>
      <c r="W219" s="9">
        <f>IF($A219=VLOOKUP(YEAR($A219),'Festive dates'!$A$2:$J$5,7,FALSE),1,0)</f>
        <v>0</v>
      </c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>
      <c r="A220" s="8">
        <v>45235</v>
      </c>
      <c r="B220" s="9">
        <v>0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9">
        <v>0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f>MAX(-20,MIN(10,$A220-VLOOKUP(YEAR($A220),'Festive dates'!$A$2:$J$5,8,FALSE)))</f>
        <v>-7</v>
      </c>
      <c r="R220" s="9">
        <f>IF(AND($A220&gt;VLOOKUP(YEAR($A220),'Festive dates'!$A$2:$J$5,2,FALSE),$A220&lt;VLOOKUP(YEAR($A220),'Festive dates'!$A$2:$J$5,3,FALSE)),1,0)</f>
        <v>0</v>
      </c>
      <c r="S220" s="9">
        <f>IF($A220=VLOOKUP(YEAR($A220),'Festive dates'!$A$2:$J$5,2,FALSE),1,0)</f>
        <v>0</v>
      </c>
      <c r="T220" s="9">
        <f>IF($A220=VLOOKUP(YEAR($A220),'Festive dates'!$A$2:$J$5,3,FALSE),1,0)</f>
        <v>0</v>
      </c>
      <c r="U220" s="9">
        <f>IF($A220=VLOOKUP(YEAR($A220),'Festive dates'!$A$2:$J$5,4,FALSE),1,0)</f>
        <v>0</v>
      </c>
      <c r="V220" s="9">
        <f>IF(AND($A220&gt;=VLOOKUP(YEAR($A220),'Festive dates'!$A$2:$J$5,9,FALSE),$A220&lt;=VLOOKUP(YEAR($A220),'Festive dates'!$A$2:$J$5,10,FALSE)),1,0)</f>
        <v>0</v>
      </c>
      <c r="W220" s="9">
        <f>IF($A220=VLOOKUP(YEAR($A220),'Festive dates'!$A$2:$J$5,7,FALSE),1,0)</f>
        <v>0</v>
      </c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>
      <c r="A221" s="8">
        <v>45236</v>
      </c>
      <c r="B221" s="9">
        <v>0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9">
        <v>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f>MAX(-20,MIN(10,$A221-VLOOKUP(YEAR($A221),'Festive dates'!$A$2:$J$5,8,FALSE)))</f>
        <v>-6</v>
      </c>
      <c r="R221" s="9">
        <f>IF(AND($A221&gt;VLOOKUP(YEAR($A221),'Festive dates'!$A$2:$J$5,2,FALSE),$A221&lt;VLOOKUP(YEAR($A221),'Festive dates'!$A$2:$J$5,3,FALSE)),1,0)</f>
        <v>0</v>
      </c>
      <c r="S221" s="9">
        <f>IF($A221=VLOOKUP(YEAR($A221),'Festive dates'!$A$2:$J$5,2,FALSE),1,0)</f>
        <v>0</v>
      </c>
      <c r="T221" s="9">
        <f>IF($A221=VLOOKUP(YEAR($A221),'Festive dates'!$A$2:$J$5,3,FALSE),1,0)</f>
        <v>0</v>
      </c>
      <c r="U221" s="9">
        <f>IF($A221=VLOOKUP(YEAR($A221),'Festive dates'!$A$2:$J$5,4,FALSE),1,0)</f>
        <v>0</v>
      </c>
      <c r="V221" s="9">
        <f>IF(AND($A221&gt;=VLOOKUP(YEAR($A221),'Festive dates'!$A$2:$J$5,9,FALSE),$A221&lt;=VLOOKUP(YEAR($A221),'Festive dates'!$A$2:$J$5,10,FALSE)),1,0)</f>
        <v>0</v>
      </c>
      <c r="W221" s="9">
        <f>IF($A221=VLOOKUP(YEAR($A221),'Festive dates'!$A$2:$J$5,7,FALSE),1,0)</f>
        <v>0</v>
      </c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>
      <c r="A222" s="8">
        <v>45237</v>
      </c>
      <c r="B222" s="9">
        <v>0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9">
        <v>0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f>MAX(-20,MIN(10,$A222-VLOOKUP(YEAR($A222),'Festive dates'!$A$2:$J$5,8,FALSE)))</f>
        <v>-5</v>
      </c>
      <c r="R222" s="9">
        <f>IF(AND($A222&gt;VLOOKUP(YEAR($A222),'Festive dates'!$A$2:$J$5,2,FALSE),$A222&lt;VLOOKUP(YEAR($A222),'Festive dates'!$A$2:$J$5,3,FALSE)),1,0)</f>
        <v>0</v>
      </c>
      <c r="S222" s="9">
        <f>IF($A222=VLOOKUP(YEAR($A222),'Festive dates'!$A$2:$J$5,2,FALSE),1,0)</f>
        <v>0</v>
      </c>
      <c r="T222" s="9">
        <f>IF($A222=VLOOKUP(YEAR($A222),'Festive dates'!$A$2:$J$5,3,FALSE),1,0)</f>
        <v>0</v>
      </c>
      <c r="U222" s="9">
        <f>IF($A222=VLOOKUP(YEAR($A222),'Festive dates'!$A$2:$J$5,4,FALSE),1,0)</f>
        <v>0</v>
      </c>
      <c r="V222" s="9">
        <f>IF(AND($A222&gt;=VLOOKUP(YEAR($A222),'Festive dates'!$A$2:$J$5,9,FALSE),$A222&lt;=VLOOKUP(YEAR($A222),'Festive dates'!$A$2:$J$5,10,FALSE)),1,0)</f>
        <v>0</v>
      </c>
      <c r="W222" s="9">
        <f>IF($A222=VLOOKUP(YEAR($A222),'Festive dates'!$A$2:$J$5,7,FALSE),1,0)</f>
        <v>0</v>
      </c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>
      <c r="A223" s="8">
        <v>45238</v>
      </c>
      <c r="B223" s="9">
        <v>0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9">
        <v>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f>MAX(-20,MIN(10,$A223-VLOOKUP(YEAR($A223),'Festive dates'!$A$2:$J$5,8,FALSE)))</f>
        <v>-4</v>
      </c>
      <c r="R223" s="9">
        <f>IF(AND($A223&gt;VLOOKUP(YEAR($A223),'Festive dates'!$A$2:$J$5,2,FALSE),$A223&lt;VLOOKUP(YEAR($A223),'Festive dates'!$A$2:$J$5,3,FALSE)),1,0)</f>
        <v>0</v>
      </c>
      <c r="S223" s="9">
        <f>IF($A223=VLOOKUP(YEAR($A223),'Festive dates'!$A$2:$J$5,2,FALSE),1,0)</f>
        <v>0</v>
      </c>
      <c r="T223" s="9">
        <f>IF($A223=VLOOKUP(YEAR($A223),'Festive dates'!$A$2:$J$5,3,FALSE),1,0)</f>
        <v>0</v>
      </c>
      <c r="U223" s="9">
        <f>IF($A223=VLOOKUP(YEAR($A223),'Festive dates'!$A$2:$J$5,4,FALSE),1,0)</f>
        <v>0</v>
      </c>
      <c r="V223" s="9">
        <f>IF(AND($A223&gt;=VLOOKUP(YEAR($A223),'Festive dates'!$A$2:$J$5,9,FALSE),$A223&lt;=VLOOKUP(YEAR($A223),'Festive dates'!$A$2:$J$5,10,FALSE)),1,0)</f>
        <v>0</v>
      </c>
      <c r="W223" s="9">
        <f>IF($A223=VLOOKUP(YEAR($A223),'Festive dates'!$A$2:$J$5,7,FALSE),1,0)</f>
        <v>0</v>
      </c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>
      <c r="A224" s="8">
        <v>45239</v>
      </c>
      <c r="B224" s="9">
        <v>0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9">
        <v>0</v>
      </c>
      <c r="L224" s="9">
        <v>0</v>
      </c>
      <c r="M224" s="9">
        <v>0</v>
      </c>
      <c r="N224" s="9">
        <v>0</v>
      </c>
      <c r="O224" s="9">
        <v>0</v>
      </c>
      <c r="P224" s="9">
        <v>0</v>
      </c>
      <c r="Q224" s="9">
        <f>MAX(-20,MIN(10,$A224-VLOOKUP(YEAR($A224),'Festive dates'!$A$2:$J$5,8,FALSE)))</f>
        <v>-3</v>
      </c>
      <c r="R224" s="9">
        <f>IF(AND($A224&gt;VLOOKUP(YEAR($A224),'Festive dates'!$A$2:$J$5,2,FALSE),$A224&lt;VLOOKUP(YEAR($A224),'Festive dates'!$A$2:$J$5,3,FALSE)),1,0)</f>
        <v>0</v>
      </c>
      <c r="S224" s="9">
        <f>IF($A224=VLOOKUP(YEAR($A224),'Festive dates'!$A$2:$J$5,2,FALSE),1,0)</f>
        <v>0</v>
      </c>
      <c r="T224" s="9">
        <f>IF($A224=VLOOKUP(YEAR($A224),'Festive dates'!$A$2:$J$5,3,FALSE),1,0)</f>
        <v>0</v>
      </c>
      <c r="U224" s="9">
        <f>IF($A224=VLOOKUP(YEAR($A224),'Festive dates'!$A$2:$J$5,4,FALSE),1,0)</f>
        <v>0</v>
      </c>
      <c r="V224" s="9">
        <f>IF(AND($A224&gt;=VLOOKUP(YEAR($A224),'Festive dates'!$A$2:$J$5,9,FALSE),$A224&lt;=VLOOKUP(YEAR($A224),'Festive dates'!$A$2:$J$5,10,FALSE)),1,0)</f>
        <v>0</v>
      </c>
      <c r="W224" s="9">
        <f>IF($A224=VLOOKUP(YEAR($A224),'Festive dates'!$A$2:$J$5,7,FALSE),1,0)</f>
        <v>0</v>
      </c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>
      <c r="A225" s="8">
        <v>45240</v>
      </c>
      <c r="B225" s="9">
        <v>0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9">
        <v>0</v>
      </c>
      <c r="L225" s="9">
        <v>0</v>
      </c>
      <c r="M225" s="9">
        <v>0</v>
      </c>
      <c r="N225" s="9">
        <v>0</v>
      </c>
      <c r="O225" s="9">
        <v>0</v>
      </c>
      <c r="P225" s="9">
        <v>0</v>
      </c>
      <c r="Q225" s="9">
        <f>MAX(-20,MIN(10,$A225-VLOOKUP(YEAR($A225),'Festive dates'!$A$2:$J$5,8,FALSE)))</f>
        <v>-2</v>
      </c>
      <c r="R225" s="9">
        <f>IF(AND($A225&gt;VLOOKUP(YEAR($A225),'Festive dates'!$A$2:$J$5,2,FALSE),$A225&lt;VLOOKUP(YEAR($A225),'Festive dates'!$A$2:$J$5,3,FALSE)),1,0)</f>
        <v>0</v>
      </c>
      <c r="S225" s="9">
        <f>IF($A225=VLOOKUP(YEAR($A225),'Festive dates'!$A$2:$J$5,2,FALSE),1,0)</f>
        <v>0</v>
      </c>
      <c r="T225" s="9">
        <f>IF($A225=VLOOKUP(YEAR($A225),'Festive dates'!$A$2:$J$5,3,FALSE),1,0)</f>
        <v>0</v>
      </c>
      <c r="U225" s="9">
        <f>IF($A225=VLOOKUP(YEAR($A225),'Festive dates'!$A$2:$J$5,4,FALSE),1,0)</f>
        <v>0</v>
      </c>
      <c r="V225" s="9">
        <f>IF(AND($A225&gt;=VLOOKUP(YEAR($A225),'Festive dates'!$A$2:$J$5,9,FALSE),$A225&lt;=VLOOKUP(YEAR($A225),'Festive dates'!$A$2:$J$5,10,FALSE)),1,0)</f>
        <v>0</v>
      </c>
      <c r="W225" s="9">
        <f>IF($A225=VLOOKUP(YEAR($A225),'Festive dates'!$A$2:$J$5,7,FALSE),1,0)</f>
        <v>1</v>
      </c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>
      <c r="A226" s="8">
        <v>45241</v>
      </c>
      <c r="B226" s="9">
        <v>0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9">
        <v>0</v>
      </c>
      <c r="L226" s="9">
        <v>0</v>
      </c>
      <c r="M226" s="9">
        <v>0</v>
      </c>
      <c r="N226" s="9">
        <v>0</v>
      </c>
      <c r="O226" s="9">
        <v>0</v>
      </c>
      <c r="P226" s="9">
        <v>0</v>
      </c>
      <c r="Q226" s="9">
        <f>MAX(-20,MIN(10,$A226-VLOOKUP(YEAR($A226),'Festive dates'!$A$2:$J$5,8,FALSE)))</f>
        <v>-1</v>
      </c>
      <c r="R226" s="9">
        <f>IF(AND($A226&gt;VLOOKUP(YEAR($A226),'Festive dates'!$A$2:$J$5,2,FALSE),$A226&lt;VLOOKUP(YEAR($A226),'Festive dates'!$A$2:$J$5,3,FALSE)),1,0)</f>
        <v>0</v>
      </c>
      <c r="S226" s="9">
        <f>IF($A226=VLOOKUP(YEAR($A226),'Festive dates'!$A$2:$J$5,2,FALSE),1,0)</f>
        <v>0</v>
      </c>
      <c r="T226" s="9">
        <f>IF($A226=VLOOKUP(YEAR($A226),'Festive dates'!$A$2:$J$5,3,FALSE),1,0)</f>
        <v>0</v>
      </c>
      <c r="U226" s="9">
        <f>IF($A226=VLOOKUP(YEAR($A226),'Festive dates'!$A$2:$J$5,4,FALSE),1,0)</f>
        <v>0</v>
      </c>
      <c r="V226" s="9">
        <f>IF(AND($A226&gt;=VLOOKUP(YEAR($A226),'Festive dates'!$A$2:$J$5,9,FALSE),$A226&lt;=VLOOKUP(YEAR($A226),'Festive dates'!$A$2:$J$5,10,FALSE)),1,0)</f>
        <v>0</v>
      </c>
      <c r="W226" s="9">
        <f>IF($A226=VLOOKUP(YEAR($A226),'Festive dates'!$A$2:$J$5,7,FALSE),1,0)</f>
        <v>0</v>
      </c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>
      <c r="A227" s="8">
        <v>45242</v>
      </c>
      <c r="B227" s="9">
        <v>0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f>MAX(-20,MIN(10,$A227-VLOOKUP(YEAR($A227),'Festive dates'!$A$2:$J$5,8,FALSE)))</f>
        <v>0</v>
      </c>
      <c r="R227" s="9">
        <f>IF(AND($A227&gt;VLOOKUP(YEAR($A227),'Festive dates'!$A$2:$J$5,2,FALSE),$A227&lt;VLOOKUP(YEAR($A227),'Festive dates'!$A$2:$J$5,3,FALSE)),1,0)</f>
        <v>0</v>
      </c>
      <c r="S227" s="9">
        <f>IF($A227=VLOOKUP(YEAR($A227),'Festive dates'!$A$2:$J$5,2,FALSE),1,0)</f>
        <v>0</v>
      </c>
      <c r="T227" s="9">
        <f>IF($A227=VLOOKUP(YEAR($A227),'Festive dates'!$A$2:$J$5,3,FALSE),1,0)</f>
        <v>0</v>
      </c>
      <c r="U227" s="9">
        <f>IF($A227=VLOOKUP(YEAR($A227),'Festive dates'!$A$2:$J$5,4,FALSE),1,0)</f>
        <v>0</v>
      </c>
      <c r="V227" s="9">
        <f>IF(AND($A227&gt;=VLOOKUP(YEAR($A227),'Festive dates'!$A$2:$J$5,9,FALSE),$A227&lt;=VLOOKUP(YEAR($A227),'Festive dates'!$A$2:$J$5,10,FALSE)),1,0)</f>
        <v>0</v>
      </c>
      <c r="W227" s="9">
        <f>IF($A227=VLOOKUP(YEAR($A227),'Festive dates'!$A$2:$J$5,7,FALSE),1,0)</f>
        <v>0</v>
      </c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>
      <c r="A228" s="8">
        <v>45243</v>
      </c>
      <c r="B228" s="9">
        <v>0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f>MAX(-20,MIN(10,$A228-VLOOKUP(YEAR($A228),'Festive dates'!$A$2:$J$5,8,FALSE)))</f>
        <v>1</v>
      </c>
      <c r="R228" s="9">
        <f>IF(AND($A228&gt;VLOOKUP(YEAR($A228),'Festive dates'!$A$2:$J$5,2,FALSE),$A228&lt;VLOOKUP(YEAR($A228),'Festive dates'!$A$2:$J$5,3,FALSE)),1,0)</f>
        <v>0</v>
      </c>
      <c r="S228" s="9">
        <f>IF($A228=VLOOKUP(YEAR($A228),'Festive dates'!$A$2:$J$5,2,FALSE),1,0)</f>
        <v>0</v>
      </c>
      <c r="T228" s="9">
        <f>IF($A228=VLOOKUP(YEAR($A228),'Festive dates'!$A$2:$J$5,3,FALSE),1,0)</f>
        <v>0</v>
      </c>
      <c r="U228" s="9">
        <f>IF($A228=VLOOKUP(YEAR($A228),'Festive dates'!$A$2:$J$5,4,FALSE),1,0)</f>
        <v>0</v>
      </c>
      <c r="V228" s="9">
        <f>IF(AND($A228&gt;=VLOOKUP(YEAR($A228),'Festive dates'!$A$2:$J$5,9,FALSE),$A228&lt;=VLOOKUP(YEAR($A228),'Festive dates'!$A$2:$J$5,10,FALSE)),1,0)</f>
        <v>0</v>
      </c>
      <c r="W228" s="9">
        <f>IF($A228=VLOOKUP(YEAR($A228),'Festive dates'!$A$2:$J$5,7,FALSE),1,0)</f>
        <v>0</v>
      </c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>
      <c r="A229" s="8">
        <v>45244</v>
      </c>
      <c r="B229" s="9">
        <v>0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9">
        <v>0</v>
      </c>
      <c r="I229" s="9">
        <v>0</v>
      </c>
      <c r="J229" s="9">
        <v>0</v>
      </c>
      <c r="K229" s="9">
        <v>0</v>
      </c>
      <c r="L229" s="9">
        <v>0</v>
      </c>
      <c r="M229" s="9">
        <v>0</v>
      </c>
      <c r="N229" s="9">
        <v>0</v>
      </c>
      <c r="O229" s="9">
        <v>0</v>
      </c>
      <c r="P229" s="9">
        <v>0</v>
      </c>
      <c r="Q229" s="9">
        <f>MAX(-20,MIN(10,$A229-VLOOKUP(YEAR($A229),'Festive dates'!$A$2:$J$5,8,FALSE)))</f>
        <v>2</v>
      </c>
      <c r="R229" s="9">
        <f>IF(AND($A229&gt;VLOOKUP(YEAR($A229),'Festive dates'!$A$2:$J$5,2,FALSE),$A229&lt;VLOOKUP(YEAR($A229),'Festive dates'!$A$2:$J$5,3,FALSE)),1,0)</f>
        <v>0</v>
      </c>
      <c r="S229" s="9">
        <f>IF($A229=VLOOKUP(YEAR($A229),'Festive dates'!$A$2:$J$5,2,FALSE),1,0)</f>
        <v>0</v>
      </c>
      <c r="T229" s="9">
        <f>IF($A229=VLOOKUP(YEAR($A229),'Festive dates'!$A$2:$J$5,3,FALSE),1,0)</f>
        <v>0</v>
      </c>
      <c r="U229" s="9">
        <f>IF($A229=VLOOKUP(YEAR($A229),'Festive dates'!$A$2:$J$5,4,FALSE),1,0)</f>
        <v>0</v>
      </c>
      <c r="V229" s="9">
        <f>IF(AND($A229&gt;=VLOOKUP(YEAR($A229),'Festive dates'!$A$2:$J$5,9,FALSE),$A229&lt;=VLOOKUP(YEAR($A229),'Festive dates'!$A$2:$J$5,10,FALSE)),1,0)</f>
        <v>0</v>
      </c>
      <c r="W229" s="9">
        <f>IF($A229=VLOOKUP(YEAR($A229),'Festive dates'!$A$2:$J$5,7,FALSE),1,0)</f>
        <v>0</v>
      </c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>
      <c r="A230" s="8">
        <v>45245</v>
      </c>
      <c r="B230" s="9">
        <v>0</v>
      </c>
      <c r="C230" s="9">
        <v>0</v>
      </c>
      <c r="D230" s="9">
        <v>0</v>
      </c>
      <c r="E230" s="9">
        <v>0</v>
      </c>
      <c r="F230" s="9">
        <v>0</v>
      </c>
      <c r="G230" s="9">
        <v>0</v>
      </c>
      <c r="H230" s="9">
        <v>0</v>
      </c>
      <c r="I230" s="9">
        <v>0</v>
      </c>
      <c r="J230" s="9">
        <v>0</v>
      </c>
      <c r="K230" s="9">
        <v>0</v>
      </c>
      <c r="L230" s="9">
        <v>0</v>
      </c>
      <c r="M230" s="9">
        <v>0</v>
      </c>
      <c r="N230" s="9">
        <v>0</v>
      </c>
      <c r="O230" s="9">
        <v>0</v>
      </c>
      <c r="P230" s="9">
        <v>0</v>
      </c>
      <c r="Q230" s="9">
        <f>MAX(-20,MIN(10,$A230-VLOOKUP(YEAR($A230),'Festive dates'!$A$2:$J$5,8,FALSE)))</f>
        <v>3</v>
      </c>
      <c r="R230" s="9">
        <f>IF(AND($A230&gt;VLOOKUP(YEAR($A230),'Festive dates'!$A$2:$J$5,2,FALSE),$A230&lt;VLOOKUP(YEAR($A230),'Festive dates'!$A$2:$J$5,3,FALSE)),1,0)</f>
        <v>0</v>
      </c>
      <c r="S230" s="9">
        <f>IF($A230=VLOOKUP(YEAR($A230),'Festive dates'!$A$2:$J$5,2,FALSE),1,0)</f>
        <v>0</v>
      </c>
      <c r="T230" s="9">
        <f>IF($A230=VLOOKUP(YEAR($A230),'Festive dates'!$A$2:$J$5,3,FALSE),1,0)</f>
        <v>0</v>
      </c>
      <c r="U230" s="9">
        <f>IF($A230=VLOOKUP(YEAR($A230),'Festive dates'!$A$2:$J$5,4,FALSE),1,0)</f>
        <v>0</v>
      </c>
      <c r="V230" s="9">
        <f>IF(AND($A230&gt;=VLOOKUP(YEAR($A230),'Festive dates'!$A$2:$J$5,9,FALSE),$A230&lt;=VLOOKUP(YEAR($A230),'Festive dates'!$A$2:$J$5,10,FALSE)),1,0)</f>
        <v>0</v>
      </c>
      <c r="W230" s="9">
        <f>IF($A230=VLOOKUP(YEAR($A230),'Festive dates'!$A$2:$J$5,7,FALSE),1,0)</f>
        <v>0</v>
      </c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>
      <c r="A231" s="8">
        <v>45246</v>
      </c>
      <c r="B231" s="9">
        <v>0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1</v>
      </c>
      <c r="Q231" s="9">
        <f>MAX(-20,MIN(10,$A231-VLOOKUP(YEAR($A231),'Festive dates'!$A$2:$J$5,8,FALSE)))</f>
        <v>4</v>
      </c>
      <c r="R231" s="9">
        <f>IF(AND($A231&gt;VLOOKUP(YEAR($A231),'Festive dates'!$A$2:$J$5,2,FALSE),$A231&lt;VLOOKUP(YEAR($A231),'Festive dates'!$A$2:$J$5,3,FALSE)),1,0)</f>
        <v>0</v>
      </c>
      <c r="S231" s="9">
        <f>IF($A231=VLOOKUP(YEAR($A231),'Festive dates'!$A$2:$J$5,2,FALSE),1,0)</f>
        <v>0</v>
      </c>
      <c r="T231" s="9">
        <f>IF($A231=VLOOKUP(YEAR($A231),'Festive dates'!$A$2:$J$5,3,FALSE),1,0)</f>
        <v>0</v>
      </c>
      <c r="U231" s="9">
        <f>IF($A231=VLOOKUP(YEAR($A231),'Festive dates'!$A$2:$J$5,4,FALSE),1,0)</f>
        <v>0</v>
      </c>
      <c r="V231" s="9">
        <f>IF(AND($A231&gt;=VLOOKUP(YEAR($A231),'Festive dates'!$A$2:$J$5,9,FALSE),$A231&lt;=VLOOKUP(YEAR($A231),'Festive dates'!$A$2:$J$5,10,FALSE)),1,0)</f>
        <v>0</v>
      </c>
      <c r="W231" s="9">
        <f>IF($A231=VLOOKUP(YEAR($A231),'Festive dates'!$A$2:$J$5,7,FALSE),1,0)</f>
        <v>0</v>
      </c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>
      <c r="A232" s="8">
        <v>45247</v>
      </c>
      <c r="B232" s="9">
        <v>0</v>
      </c>
      <c r="C232" s="9">
        <v>0</v>
      </c>
      <c r="D232" s="9">
        <v>0</v>
      </c>
      <c r="E232" s="9">
        <v>0</v>
      </c>
      <c r="F232" s="9">
        <v>0</v>
      </c>
      <c r="G232" s="9">
        <v>0</v>
      </c>
      <c r="H232" s="9">
        <v>0</v>
      </c>
      <c r="I232" s="9">
        <v>0</v>
      </c>
      <c r="J232" s="9">
        <v>0</v>
      </c>
      <c r="K232" s="9">
        <v>0</v>
      </c>
      <c r="L232" s="9">
        <v>0</v>
      </c>
      <c r="M232" s="9">
        <v>0</v>
      </c>
      <c r="N232" s="9">
        <v>0</v>
      </c>
      <c r="O232" s="9">
        <v>0</v>
      </c>
      <c r="P232" s="9">
        <v>1</v>
      </c>
      <c r="Q232" s="9">
        <f>MAX(-20,MIN(10,$A232-VLOOKUP(YEAR($A232),'Festive dates'!$A$2:$J$5,8,FALSE)))</f>
        <v>5</v>
      </c>
      <c r="R232" s="9">
        <f>IF(AND($A232&gt;VLOOKUP(YEAR($A232),'Festive dates'!$A$2:$J$5,2,FALSE),$A232&lt;VLOOKUP(YEAR($A232),'Festive dates'!$A$2:$J$5,3,FALSE)),1,0)</f>
        <v>0</v>
      </c>
      <c r="S232" s="9">
        <f>IF($A232=VLOOKUP(YEAR($A232),'Festive dates'!$A$2:$J$5,2,FALSE),1,0)</f>
        <v>0</v>
      </c>
      <c r="T232" s="9">
        <f>IF($A232=VLOOKUP(YEAR($A232),'Festive dates'!$A$2:$J$5,3,FALSE),1,0)</f>
        <v>0</v>
      </c>
      <c r="U232" s="9">
        <f>IF($A232=VLOOKUP(YEAR($A232),'Festive dates'!$A$2:$J$5,4,FALSE),1,0)</f>
        <v>0</v>
      </c>
      <c r="V232" s="9">
        <f>IF(AND($A232&gt;=VLOOKUP(YEAR($A232),'Festive dates'!$A$2:$J$5,9,FALSE),$A232&lt;=VLOOKUP(YEAR($A232),'Festive dates'!$A$2:$J$5,10,FALSE)),1,0)</f>
        <v>0</v>
      </c>
      <c r="W232" s="9">
        <f>IF($A232=VLOOKUP(YEAR($A232),'Festive dates'!$A$2:$J$5,7,FALSE),1,0)</f>
        <v>0</v>
      </c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>
      <c r="A233" s="8">
        <v>45248</v>
      </c>
      <c r="B233" s="9">
        <v>0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9">
        <v>0</v>
      </c>
      <c r="I233" s="9">
        <v>0</v>
      </c>
      <c r="J233" s="9">
        <v>0</v>
      </c>
      <c r="K233" s="9">
        <v>0</v>
      </c>
      <c r="L233" s="9">
        <v>0</v>
      </c>
      <c r="M233" s="9">
        <v>0</v>
      </c>
      <c r="N233" s="9">
        <v>0</v>
      </c>
      <c r="O233" s="9">
        <v>0</v>
      </c>
      <c r="P233" s="9">
        <v>0</v>
      </c>
      <c r="Q233" s="9">
        <f>MAX(-20,MIN(10,$A233-VLOOKUP(YEAR($A233),'Festive dates'!$A$2:$J$5,8,FALSE)))</f>
        <v>6</v>
      </c>
      <c r="R233" s="9">
        <f>IF(AND($A233&gt;VLOOKUP(YEAR($A233),'Festive dates'!$A$2:$J$5,2,FALSE),$A233&lt;VLOOKUP(YEAR($A233),'Festive dates'!$A$2:$J$5,3,FALSE)),1,0)</f>
        <v>0</v>
      </c>
      <c r="S233" s="9">
        <f>IF($A233=VLOOKUP(YEAR($A233),'Festive dates'!$A$2:$J$5,2,FALSE),1,0)</f>
        <v>0</v>
      </c>
      <c r="T233" s="9">
        <f>IF($A233=VLOOKUP(YEAR($A233),'Festive dates'!$A$2:$J$5,3,FALSE),1,0)</f>
        <v>0</v>
      </c>
      <c r="U233" s="9">
        <f>IF($A233=VLOOKUP(YEAR($A233),'Festive dates'!$A$2:$J$5,4,FALSE),1,0)</f>
        <v>0</v>
      </c>
      <c r="V233" s="9">
        <f>IF(AND($A233&gt;=VLOOKUP(YEAR($A233),'Festive dates'!$A$2:$J$5,9,FALSE),$A233&lt;=VLOOKUP(YEAR($A233),'Festive dates'!$A$2:$J$5,10,FALSE)),1,0)</f>
        <v>0</v>
      </c>
      <c r="W233" s="9">
        <f>IF($A233=VLOOKUP(YEAR($A233),'Festive dates'!$A$2:$J$5,7,FALSE),1,0)</f>
        <v>0</v>
      </c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>
      <c r="A234" s="8">
        <v>45249</v>
      </c>
      <c r="B234" s="9">
        <v>0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f>MAX(-20,MIN(10,$A234-VLOOKUP(YEAR($A234),'Festive dates'!$A$2:$J$5,8,FALSE)))</f>
        <v>7</v>
      </c>
      <c r="R234" s="9">
        <f>IF(AND($A234&gt;VLOOKUP(YEAR($A234),'Festive dates'!$A$2:$J$5,2,FALSE),$A234&lt;VLOOKUP(YEAR($A234),'Festive dates'!$A$2:$J$5,3,FALSE)),1,0)</f>
        <v>0</v>
      </c>
      <c r="S234" s="9">
        <f>IF($A234=VLOOKUP(YEAR($A234),'Festive dates'!$A$2:$J$5,2,FALSE),1,0)</f>
        <v>0</v>
      </c>
      <c r="T234" s="9">
        <f>IF($A234=VLOOKUP(YEAR($A234),'Festive dates'!$A$2:$J$5,3,FALSE),1,0)</f>
        <v>0</v>
      </c>
      <c r="U234" s="9">
        <f>IF($A234=VLOOKUP(YEAR($A234),'Festive dates'!$A$2:$J$5,4,FALSE),1,0)</f>
        <v>0</v>
      </c>
      <c r="V234" s="9">
        <f>IF(AND($A234&gt;=VLOOKUP(YEAR($A234),'Festive dates'!$A$2:$J$5,9,FALSE),$A234&lt;=VLOOKUP(YEAR($A234),'Festive dates'!$A$2:$J$5,10,FALSE)),1,0)</f>
        <v>0</v>
      </c>
      <c r="W234" s="9">
        <f>IF($A234=VLOOKUP(YEAR($A234),'Festive dates'!$A$2:$J$5,7,FALSE),1,0)</f>
        <v>0</v>
      </c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>
      <c r="A235" s="8">
        <v>45250</v>
      </c>
      <c r="B235" s="9">
        <v>0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1</v>
      </c>
      <c r="Q235" s="9">
        <f>MAX(-20,MIN(10,$A235-VLOOKUP(YEAR($A235),'Festive dates'!$A$2:$J$5,8,FALSE)))</f>
        <v>8</v>
      </c>
      <c r="R235" s="9">
        <f>IF(AND($A235&gt;VLOOKUP(YEAR($A235),'Festive dates'!$A$2:$J$5,2,FALSE),$A235&lt;VLOOKUP(YEAR($A235),'Festive dates'!$A$2:$J$5,3,FALSE)),1,0)</f>
        <v>0</v>
      </c>
      <c r="S235" s="9">
        <f>IF($A235=VLOOKUP(YEAR($A235),'Festive dates'!$A$2:$J$5,2,FALSE),1,0)</f>
        <v>0</v>
      </c>
      <c r="T235" s="9">
        <f>IF($A235=VLOOKUP(YEAR($A235),'Festive dates'!$A$2:$J$5,3,FALSE),1,0)</f>
        <v>0</v>
      </c>
      <c r="U235" s="9">
        <f>IF($A235=VLOOKUP(YEAR($A235),'Festive dates'!$A$2:$J$5,4,FALSE),1,0)</f>
        <v>0</v>
      </c>
      <c r="V235" s="9">
        <f>IF(AND($A235&gt;=VLOOKUP(YEAR($A235),'Festive dates'!$A$2:$J$5,9,FALSE),$A235&lt;=VLOOKUP(YEAR($A235),'Festive dates'!$A$2:$J$5,10,FALSE)),1,0)</f>
        <v>0</v>
      </c>
      <c r="W235" s="9">
        <f>IF($A235=VLOOKUP(YEAR($A235),'Festive dates'!$A$2:$J$5,7,FALSE),1,0)</f>
        <v>0</v>
      </c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>
      <c r="A236" s="8">
        <v>45251</v>
      </c>
      <c r="B236" s="9">
        <v>0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1</v>
      </c>
      <c r="Q236" s="9">
        <f>MAX(-20,MIN(10,$A236-VLOOKUP(YEAR($A236),'Festive dates'!$A$2:$J$5,8,FALSE)))</f>
        <v>9</v>
      </c>
      <c r="R236" s="9">
        <f>IF(AND($A236&gt;VLOOKUP(YEAR($A236),'Festive dates'!$A$2:$J$5,2,FALSE),$A236&lt;VLOOKUP(YEAR($A236),'Festive dates'!$A$2:$J$5,3,FALSE)),1,0)</f>
        <v>0</v>
      </c>
      <c r="S236" s="9">
        <f>IF($A236=VLOOKUP(YEAR($A236),'Festive dates'!$A$2:$J$5,2,FALSE),1,0)</f>
        <v>0</v>
      </c>
      <c r="T236" s="9">
        <f>IF($A236=VLOOKUP(YEAR($A236),'Festive dates'!$A$2:$J$5,3,FALSE),1,0)</f>
        <v>0</v>
      </c>
      <c r="U236" s="9">
        <f>IF($A236=VLOOKUP(YEAR($A236),'Festive dates'!$A$2:$J$5,4,FALSE),1,0)</f>
        <v>0</v>
      </c>
      <c r="V236" s="9">
        <f>IF(AND($A236&gt;=VLOOKUP(YEAR($A236),'Festive dates'!$A$2:$J$5,9,FALSE),$A236&lt;=VLOOKUP(YEAR($A236),'Festive dates'!$A$2:$J$5,10,FALSE)),1,0)</f>
        <v>0</v>
      </c>
      <c r="W236" s="9">
        <f>IF($A236=VLOOKUP(YEAR($A236),'Festive dates'!$A$2:$J$5,7,FALSE),1,0)</f>
        <v>0</v>
      </c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>
      <c r="A237" s="8">
        <v>45252</v>
      </c>
      <c r="B237" s="9">
        <v>0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9">
        <v>0</v>
      </c>
      <c r="J237" s="9">
        <v>0</v>
      </c>
      <c r="K237" s="9">
        <v>0</v>
      </c>
      <c r="L237" s="9">
        <v>0</v>
      </c>
      <c r="M237" s="9">
        <v>0</v>
      </c>
      <c r="N237" s="9">
        <v>0</v>
      </c>
      <c r="O237" s="9">
        <v>0</v>
      </c>
      <c r="P237" s="9">
        <v>1</v>
      </c>
      <c r="Q237" s="9">
        <f>MAX(-20,MIN(10,$A237-VLOOKUP(YEAR($A237),'Festive dates'!$A$2:$J$5,8,FALSE)))</f>
        <v>10</v>
      </c>
      <c r="R237" s="9">
        <f>IF(AND($A237&gt;VLOOKUP(YEAR($A237),'Festive dates'!$A$2:$J$5,2,FALSE),$A237&lt;VLOOKUP(YEAR($A237),'Festive dates'!$A$2:$J$5,3,FALSE)),1,0)</f>
        <v>0</v>
      </c>
      <c r="S237" s="9">
        <f>IF($A237=VLOOKUP(YEAR($A237),'Festive dates'!$A$2:$J$5,2,FALSE),1,0)</f>
        <v>0</v>
      </c>
      <c r="T237" s="9">
        <f>IF($A237=VLOOKUP(YEAR($A237),'Festive dates'!$A$2:$J$5,3,FALSE),1,0)</f>
        <v>0</v>
      </c>
      <c r="U237" s="9">
        <f>IF($A237=VLOOKUP(YEAR($A237),'Festive dates'!$A$2:$J$5,4,FALSE),1,0)</f>
        <v>0</v>
      </c>
      <c r="V237" s="9">
        <f>IF(AND($A237&gt;=VLOOKUP(YEAR($A237),'Festive dates'!$A$2:$J$5,9,FALSE),$A237&lt;=VLOOKUP(YEAR($A237),'Festive dates'!$A$2:$J$5,10,FALSE)),1,0)</f>
        <v>0</v>
      </c>
      <c r="W237" s="9">
        <f>IF($A237=VLOOKUP(YEAR($A237),'Festive dates'!$A$2:$J$5,7,FALSE),1,0)</f>
        <v>0</v>
      </c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>
      <c r="A238" s="8">
        <v>45253</v>
      </c>
      <c r="B238" s="9">
        <v>0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f>MAX(-20,MIN(10,$A238-VLOOKUP(YEAR($A238),'Festive dates'!$A$2:$J$5,8,FALSE)))</f>
        <v>10</v>
      </c>
      <c r="R238" s="9">
        <f>IF(AND($A238&gt;VLOOKUP(YEAR($A238),'Festive dates'!$A$2:$J$5,2,FALSE),$A238&lt;VLOOKUP(YEAR($A238),'Festive dates'!$A$2:$J$5,3,FALSE)),1,0)</f>
        <v>0</v>
      </c>
      <c r="S238" s="9">
        <f>IF($A238=VLOOKUP(YEAR($A238),'Festive dates'!$A$2:$J$5,2,FALSE),1,0)</f>
        <v>0</v>
      </c>
      <c r="T238" s="9">
        <f>IF($A238=VLOOKUP(YEAR($A238),'Festive dates'!$A$2:$J$5,3,FALSE),1,0)</f>
        <v>0</v>
      </c>
      <c r="U238" s="9">
        <f>IF($A238=VLOOKUP(YEAR($A238),'Festive dates'!$A$2:$J$5,4,FALSE),1,0)</f>
        <v>0</v>
      </c>
      <c r="V238" s="9">
        <f>IF(AND($A238&gt;=VLOOKUP(YEAR($A238),'Festive dates'!$A$2:$J$5,9,FALSE),$A238&lt;=VLOOKUP(YEAR($A238),'Festive dates'!$A$2:$J$5,10,FALSE)),1,0)</f>
        <v>0</v>
      </c>
      <c r="W238" s="9">
        <f>IF($A238=VLOOKUP(YEAR($A238),'Festive dates'!$A$2:$J$5,7,FALSE),1,0)</f>
        <v>0</v>
      </c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>
      <c r="A239" s="8">
        <v>45254</v>
      </c>
      <c r="B239" s="9">
        <v>0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9">
        <v>0</v>
      </c>
      <c r="J239" s="9">
        <v>0</v>
      </c>
      <c r="K239" s="9">
        <v>0</v>
      </c>
      <c r="L239" s="9">
        <v>0</v>
      </c>
      <c r="M239" s="9">
        <v>0</v>
      </c>
      <c r="N239" s="9">
        <v>0</v>
      </c>
      <c r="O239" s="9">
        <v>0</v>
      </c>
      <c r="P239" s="9">
        <v>0</v>
      </c>
      <c r="Q239" s="9">
        <f>MAX(-20,MIN(10,$A239-VLOOKUP(YEAR($A239),'Festive dates'!$A$2:$J$5,8,FALSE)))</f>
        <v>10</v>
      </c>
      <c r="R239" s="9">
        <f>IF(AND($A239&gt;VLOOKUP(YEAR($A239),'Festive dates'!$A$2:$J$5,2,FALSE),$A239&lt;VLOOKUP(YEAR($A239),'Festive dates'!$A$2:$J$5,3,FALSE)),1,0)</f>
        <v>0</v>
      </c>
      <c r="S239" s="9">
        <f>IF($A239=VLOOKUP(YEAR($A239),'Festive dates'!$A$2:$J$5,2,FALSE),1,0)</f>
        <v>0</v>
      </c>
      <c r="T239" s="9">
        <f>IF($A239=VLOOKUP(YEAR($A239),'Festive dates'!$A$2:$J$5,3,FALSE),1,0)</f>
        <v>0</v>
      </c>
      <c r="U239" s="9">
        <f>IF($A239=VLOOKUP(YEAR($A239),'Festive dates'!$A$2:$J$5,4,FALSE),1,0)</f>
        <v>0</v>
      </c>
      <c r="V239" s="9">
        <f>IF(AND($A239&gt;=VLOOKUP(YEAR($A239),'Festive dates'!$A$2:$J$5,9,FALSE),$A239&lt;=VLOOKUP(YEAR($A239),'Festive dates'!$A$2:$J$5,10,FALSE)),1,0)</f>
        <v>0</v>
      </c>
      <c r="W239" s="9">
        <f>IF($A239=VLOOKUP(YEAR($A239),'Festive dates'!$A$2:$J$5,7,FALSE),1,0)</f>
        <v>0</v>
      </c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>
      <c r="A240" s="8">
        <v>45255</v>
      </c>
      <c r="B240" s="9">
        <v>0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9">
        <v>0</v>
      </c>
      <c r="I240" s="9">
        <v>0</v>
      </c>
      <c r="J240" s="9">
        <v>0</v>
      </c>
      <c r="K240" s="9">
        <v>0</v>
      </c>
      <c r="L240" s="9">
        <v>0</v>
      </c>
      <c r="M240" s="9">
        <v>0</v>
      </c>
      <c r="N240" s="9">
        <v>0</v>
      </c>
      <c r="O240" s="9">
        <v>0</v>
      </c>
      <c r="P240" s="9">
        <v>0</v>
      </c>
      <c r="Q240" s="9">
        <f>MAX(-20,MIN(10,$A240-VLOOKUP(YEAR($A240),'Festive dates'!$A$2:$J$5,8,FALSE)))</f>
        <v>10</v>
      </c>
      <c r="R240" s="9">
        <f>IF(AND($A240&gt;VLOOKUP(YEAR($A240),'Festive dates'!$A$2:$J$5,2,FALSE),$A240&lt;VLOOKUP(YEAR($A240),'Festive dates'!$A$2:$J$5,3,FALSE)),1,0)</f>
        <v>0</v>
      </c>
      <c r="S240" s="9">
        <f>IF($A240=VLOOKUP(YEAR($A240),'Festive dates'!$A$2:$J$5,2,FALSE),1,0)</f>
        <v>0</v>
      </c>
      <c r="T240" s="9">
        <f>IF($A240=VLOOKUP(YEAR($A240),'Festive dates'!$A$2:$J$5,3,FALSE),1,0)</f>
        <v>0</v>
      </c>
      <c r="U240" s="9">
        <f>IF($A240=VLOOKUP(YEAR($A240),'Festive dates'!$A$2:$J$5,4,FALSE),1,0)</f>
        <v>0</v>
      </c>
      <c r="V240" s="9">
        <f>IF(AND($A240&gt;=VLOOKUP(YEAR($A240),'Festive dates'!$A$2:$J$5,9,FALSE),$A240&lt;=VLOOKUP(YEAR($A240),'Festive dates'!$A$2:$J$5,10,FALSE)),1,0)</f>
        <v>0</v>
      </c>
      <c r="W240" s="9">
        <f>IF($A240=VLOOKUP(YEAR($A240),'Festive dates'!$A$2:$J$5,7,FALSE),1,0)</f>
        <v>0</v>
      </c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>
      <c r="A241" s="8">
        <v>45256</v>
      </c>
      <c r="B241" s="9">
        <v>0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9">
        <v>0</v>
      </c>
      <c r="I241" s="9">
        <v>0</v>
      </c>
      <c r="J241" s="9">
        <v>0</v>
      </c>
      <c r="K241" s="9">
        <v>0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f>MAX(-20,MIN(10,$A241-VLOOKUP(YEAR($A241),'Festive dates'!$A$2:$J$5,8,FALSE)))</f>
        <v>10</v>
      </c>
      <c r="R241" s="9">
        <f>IF(AND($A241&gt;VLOOKUP(YEAR($A241),'Festive dates'!$A$2:$J$5,2,FALSE),$A241&lt;VLOOKUP(YEAR($A241),'Festive dates'!$A$2:$J$5,3,FALSE)),1,0)</f>
        <v>0</v>
      </c>
      <c r="S241" s="9">
        <f>IF($A241=VLOOKUP(YEAR($A241),'Festive dates'!$A$2:$J$5,2,FALSE),1,0)</f>
        <v>0</v>
      </c>
      <c r="T241" s="9">
        <f>IF($A241=VLOOKUP(YEAR($A241),'Festive dates'!$A$2:$J$5,3,FALSE),1,0)</f>
        <v>0</v>
      </c>
      <c r="U241" s="9">
        <f>IF($A241=VLOOKUP(YEAR($A241),'Festive dates'!$A$2:$J$5,4,FALSE),1,0)</f>
        <v>0</v>
      </c>
      <c r="V241" s="9">
        <f>IF(AND($A241&gt;=VLOOKUP(YEAR($A241),'Festive dates'!$A$2:$J$5,9,FALSE),$A241&lt;=VLOOKUP(YEAR($A241),'Festive dates'!$A$2:$J$5,10,FALSE)),1,0)</f>
        <v>0</v>
      </c>
      <c r="W241" s="9">
        <f>IF($A241=VLOOKUP(YEAR($A241),'Festive dates'!$A$2:$J$5,7,FALSE),1,0)</f>
        <v>0</v>
      </c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>
      <c r="A242" s="8">
        <v>45257</v>
      </c>
      <c r="B242" s="9">
        <v>0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  <c r="K242" s="9">
        <v>0</v>
      </c>
      <c r="L242" s="9">
        <v>0</v>
      </c>
      <c r="M242" s="9">
        <v>0</v>
      </c>
      <c r="N242" s="9">
        <v>0</v>
      </c>
      <c r="O242" s="9">
        <v>0</v>
      </c>
      <c r="P242" s="9">
        <v>0</v>
      </c>
      <c r="Q242" s="9">
        <f>MAX(-20,MIN(10,$A242-VLOOKUP(YEAR($A242),'Festive dates'!$A$2:$J$5,8,FALSE)))</f>
        <v>10</v>
      </c>
      <c r="R242" s="9">
        <f>IF(AND($A242&gt;VLOOKUP(YEAR($A242),'Festive dates'!$A$2:$J$5,2,FALSE),$A242&lt;VLOOKUP(YEAR($A242),'Festive dates'!$A$2:$J$5,3,FALSE)),1,0)</f>
        <v>0</v>
      </c>
      <c r="S242" s="9">
        <f>IF($A242=VLOOKUP(YEAR($A242),'Festive dates'!$A$2:$J$5,2,FALSE),1,0)</f>
        <v>0</v>
      </c>
      <c r="T242" s="9">
        <f>IF($A242=VLOOKUP(YEAR($A242),'Festive dates'!$A$2:$J$5,3,FALSE),1,0)</f>
        <v>0</v>
      </c>
      <c r="U242" s="9">
        <f>IF($A242=VLOOKUP(YEAR($A242),'Festive dates'!$A$2:$J$5,4,FALSE),1,0)</f>
        <v>0</v>
      </c>
      <c r="V242" s="9">
        <f>IF(AND($A242&gt;=VLOOKUP(YEAR($A242),'Festive dates'!$A$2:$J$5,9,FALSE),$A242&lt;=VLOOKUP(YEAR($A242),'Festive dates'!$A$2:$J$5,10,FALSE)),1,0)</f>
        <v>0</v>
      </c>
      <c r="W242" s="9">
        <f>IF($A242=VLOOKUP(YEAR($A242),'Festive dates'!$A$2:$J$5,7,FALSE),1,0)</f>
        <v>0</v>
      </c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>
      <c r="A243" s="8">
        <v>45258</v>
      </c>
      <c r="B243" s="9">
        <v>0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9">
        <v>0</v>
      </c>
      <c r="O243" s="9">
        <v>0</v>
      </c>
      <c r="P243" s="9">
        <v>1</v>
      </c>
      <c r="Q243" s="9">
        <f>MAX(-20,MIN(10,$A243-VLOOKUP(YEAR($A243),'Festive dates'!$A$2:$J$5,8,FALSE)))</f>
        <v>10</v>
      </c>
      <c r="R243" s="9">
        <f>IF(AND($A243&gt;VLOOKUP(YEAR($A243),'Festive dates'!$A$2:$J$5,2,FALSE),$A243&lt;VLOOKUP(YEAR($A243),'Festive dates'!$A$2:$J$5,3,FALSE)),1,0)</f>
        <v>0</v>
      </c>
      <c r="S243" s="9">
        <f>IF($A243=VLOOKUP(YEAR($A243),'Festive dates'!$A$2:$J$5,2,FALSE),1,0)</f>
        <v>0</v>
      </c>
      <c r="T243" s="9">
        <f>IF($A243=VLOOKUP(YEAR($A243),'Festive dates'!$A$2:$J$5,3,FALSE),1,0)</f>
        <v>0</v>
      </c>
      <c r="U243" s="9">
        <f>IF($A243=VLOOKUP(YEAR($A243),'Festive dates'!$A$2:$J$5,4,FALSE),1,0)</f>
        <v>0</v>
      </c>
      <c r="V243" s="9">
        <f>IF(AND($A243&gt;=VLOOKUP(YEAR($A243),'Festive dates'!$A$2:$J$5,9,FALSE),$A243&lt;=VLOOKUP(YEAR($A243),'Festive dates'!$A$2:$J$5,10,FALSE)),1,0)</f>
        <v>0</v>
      </c>
      <c r="W243" s="9">
        <f>IF($A243=VLOOKUP(YEAR($A243),'Festive dates'!$A$2:$J$5,7,FALSE),1,0)</f>
        <v>0</v>
      </c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>
      <c r="A244" s="8">
        <v>45259</v>
      </c>
      <c r="B244" s="9">
        <v>0</v>
      </c>
      <c r="C244" s="9">
        <v>0</v>
      </c>
      <c r="D244" s="9">
        <v>0</v>
      </c>
      <c r="E244" s="9">
        <v>0</v>
      </c>
      <c r="F244" s="9">
        <v>0</v>
      </c>
      <c r="G244" s="9">
        <v>0</v>
      </c>
      <c r="H244" s="9">
        <v>0</v>
      </c>
      <c r="I244" s="9">
        <v>0</v>
      </c>
      <c r="J244" s="9">
        <v>0</v>
      </c>
      <c r="K244" s="9">
        <v>0</v>
      </c>
      <c r="L244" s="9">
        <v>0</v>
      </c>
      <c r="M244" s="9">
        <v>0</v>
      </c>
      <c r="N244" s="9">
        <v>0</v>
      </c>
      <c r="O244" s="9">
        <v>0</v>
      </c>
      <c r="P244" s="9">
        <v>1</v>
      </c>
      <c r="Q244" s="9">
        <f>MAX(-20,MIN(10,$A244-VLOOKUP(YEAR($A244),'Festive dates'!$A$2:$J$5,8,FALSE)))</f>
        <v>10</v>
      </c>
      <c r="R244" s="9">
        <f>IF(AND($A244&gt;VLOOKUP(YEAR($A244),'Festive dates'!$A$2:$J$5,2,FALSE),$A244&lt;VLOOKUP(YEAR($A244),'Festive dates'!$A$2:$J$5,3,FALSE)),1,0)</f>
        <v>0</v>
      </c>
      <c r="S244" s="9">
        <f>IF($A244=VLOOKUP(YEAR($A244),'Festive dates'!$A$2:$J$5,2,FALSE),1,0)</f>
        <v>0</v>
      </c>
      <c r="T244" s="9">
        <f>IF($A244=VLOOKUP(YEAR($A244),'Festive dates'!$A$2:$J$5,3,FALSE),1,0)</f>
        <v>0</v>
      </c>
      <c r="U244" s="9">
        <f>IF($A244=VLOOKUP(YEAR($A244),'Festive dates'!$A$2:$J$5,4,FALSE),1,0)</f>
        <v>0</v>
      </c>
      <c r="V244" s="9">
        <f>IF(AND($A244&gt;=VLOOKUP(YEAR($A244),'Festive dates'!$A$2:$J$5,9,FALSE),$A244&lt;=VLOOKUP(YEAR($A244),'Festive dates'!$A$2:$J$5,10,FALSE)),1,0)</f>
        <v>0</v>
      </c>
      <c r="W244" s="9">
        <f>IF($A244=VLOOKUP(YEAR($A244),'Festive dates'!$A$2:$J$5,7,FALSE),1,0)</f>
        <v>0</v>
      </c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>
      <c r="A245" s="8">
        <v>45260</v>
      </c>
      <c r="B245" s="9">
        <v>0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9">
        <v>0</v>
      </c>
      <c r="J245" s="9">
        <v>0</v>
      </c>
      <c r="K245" s="9">
        <v>0</v>
      </c>
      <c r="L245" s="9">
        <v>0</v>
      </c>
      <c r="M245" s="9">
        <v>0</v>
      </c>
      <c r="N245" s="9">
        <v>0</v>
      </c>
      <c r="O245" s="9">
        <v>0</v>
      </c>
      <c r="P245" s="9">
        <v>1</v>
      </c>
      <c r="Q245" s="9">
        <f>MAX(-20,MIN(10,$A245-VLOOKUP(YEAR($A245),'Festive dates'!$A$2:$J$5,8,FALSE)))</f>
        <v>10</v>
      </c>
      <c r="R245" s="9">
        <f>IF(AND($A245&gt;VLOOKUP(YEAR($A245),'Festive dates'!$A$2:$J$5,2,FALSE),$A245&lt;VLOOKUP(YEAR($A245),'Festive dates'!$A$2:$J$5,3,FALSE)),1,0)</f>
        <v>0</v>
      </c>
      <c r="S245" s="9">
        <f>IF($A245=VLOOKUP(YEAR($A245),'Festive dates'!$A$2:$J$5,2,FALSE),1,0)</f>
        <v>0</v>
      </c>
      <c r="T245" s="9">
        <f>IF($A245=VLOOKUP(YEAR($A245),'Festive dates'!$A$2:$J$5,3,FALSE),1,0)</f>
        <v>0</v>
      </c>
      <c r="U245" s="9">
        <f>IF($A245=VLOOKUP(YEAR($A245),'Festive dates'!$A$2:$J$5,4,FALSE),1,0)</f>
        <v>0</v>
      </c>
      <c r="V245" s="9">
        <f>IF(AND($A245&gt;=VLOOKUP(YEAR($A245),'Festive dates'!$A$2:$J$5,9,FALSE),$A245&lt;=VLOOKUP(YEAR($A245),'Festive dates'!$A$2:$J$5,10,FALSE)),1,0)</f>
        <v>0</v>
      </c>
      <c r="W245" s="9">
        <f>IF($A245=VLOOKUP(YEAR($A245),'Festive dates'!$A$2:$J$5,7,FALSE),1,0)</f>
        <v>0</v>
      </c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>
      <c r="A246" s="8">
        <v>45261</v>
      </c>
      <c r="B246" s="9">
        <v>0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9">
        <v>0</v>
      </c>
      <c r="J246" s="9">
        <v>0</v>
      </c>
      <c r="K246" s="9">
        <v>0</v>
      </c>
      <c r="L246" s="9">
        <v>0</v>
      </c>
      <c r="M246" s="9">
        <v>0</v>
      </c>
      <c r="N246" s="9">
        <v>0</v>
      </c>
      <c r="O246" s="9">
        <v>0</v>
      </c>
      <c r="P246" s="9">
        <v>1</v>
      </c>
      <c r="Q246" s="9">
        <f>MAX(-20,MIN(10,$A246-VLOOKUP(YEAR($A246),'Festive dates'!$A$2:$J$5,8,FALSE)))</f>
        <v>10</v>
      </c>
      <c r="R246" s="9">
        <f>IF(AND($A246&gt;VLOOKUP(YEAR($A246),'Festive dates'!$A$2:$J$5,2,FALSE),$A246&lt;VLOOKUP(YEAR($A246),'Festive dates'!$A$2:$J$5,3,FALSE)),1,0)</f>
        <v>0</v>
      </c>
      <c r="S246" s="9">
        <f>IF($A246=VLOOKUP(YEAR($A246),'Festive dates'!$A$2:$J$5,2,FALSE),1,0)</f>
        <v>0</v>
      </c>
      <c r="T246" s="9">
        <f>IF($A246=VLOOKUP(YEAR($A246),'Festive dates'!$A$2:$J$5,3,FALSE),1,0)</f>
        <v>0</v>
      </c>
      <c r="U246" s="9">
        <f>IF($A246=VLOOKUP(YEAR($A246),'Festive dates'!$A$2:$J$5,4,FALSE),1,0)</f>
        <v>0</v>
      </c>
      <c r="V246" s="9">
        <f>IF(AND($A246&gt;=VLOOKUP(YEAR($A246),'Festive dates'!$A$2:$J$5,9,FALSE),$A246&lt;=VLOOKUP(YEAR($A246),'Festive dates'!$A$2:$J$5,10,FALSE)),1,0)</f>
        <v>0</v>
      </c>
      <c r="W246" s="9">
        <f>IF($A246=VLOOKUP(YEAR($A246),'Festive dates'!$A$2:$J$5,7,FALSE),1,0)</f>
        <v>0</v>
      </c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>
      <c r="A247" s="8">
        <v>45262</v>
      </c>
      <c r="B247" s="9">
        <v>0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9">
        <v>0</v>
      </c>
      <c r="I247" s="9">
        <v>0</v>
      </c>
      <c r="J247" s="9">
        <v>0</v>
      </c>
      <c r="K247" s="9">
        <v>0</v>
      </c>
      <c r="L247" s="9">
        <v>0</v>
      </c>
      <c r="M247" s="9">
        <v>0</v>
      </c>
      <c r="N247" s="9">
        <v>0</v>
      </c>
      <c r="O247" s="9">
        <v>0</v>
      </c>
      <c r="P247" s="9">
        <v>1</v>
      </c>
      <c r="Q247" s="9">
        <f>MAX(-20,MIN(10,$A247-VLOOKUP(YEAR($A247),'Festive dates'!$A$2:$J$5,8,FALSE)))</f>
        <v>10</v>
      </c>
      <c r="R247" s="9">
        <f>IF(AND($A247&gt;VLOOKUP(YEAR($A247),'Festive dates'!$A$2:$J$5,2,FALSE),$A247&lt;VLOOKUP(YEAR($A247),'Festive dates'!$A$2:$J$5,3,FALSE)),1,0)</f>
        <v>0</v>
      </c>
      <c r="S247" s="9">
        <f>IF($A247=VLOOKUP(YEAR($A247),'Festive dates'!$A$2:$J$5,2,FALSE),1,0)</f>
        <v>0</v>
      </c>
      <c r="T247" s="9">
        <f>IF($A247=VLOOKUP(YEAR($A247),'Festive dates'!$A$2:$J$5,3,FALSE),1,0)</f>
        <v>0</v>
      </c>
      <c r="U247" s="9">
        <f>IF($A247=VLOOKUP(YEAR($A247),'Festive dates'!$A$2:$J$5,4,FALSE),1,0)</f>
        <v>0</v>
      </c>
      <c r="V247" s="9">
        <f>IF(AND($A247&gt;=VLOOKUP(YEAR($A247),'Festive dates'!$A$2:$J$5,9,FALSE),$A247&lt;=VLOOKUP(YEAR($A247),'Festive dates'!$A$2:$J$5,10,FALSE)),1,0)</f>
        <v>0</v>
      </c>
      <c r="W247" s="9">
        <f>IF($A247=VLOOKUP(YEAR($A247),'Festive dates'!$A$2:$J$5,7,FALSE),1,0)</f>
        <v>0</v>
      </c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>
      <c r="A248" s="8">
        <v>45263</v>
      </c>
      <c r="B248" s="9">
        <v>0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9">
        <v>0</v>
      </c>
      <c r="I248" s="9">
        <v>0</v>
      </c>
      <c r="J248" s="9">
        <v>0</v>
      </c>
      <c r="K248" s="9">
        <v>0</v>
      </c>
      <c r="L248" s="9">
        <v>0</v>
      </c>
      <c r="M248" s="9">
        <v>0</v>
      </c>
      <c r="N248" s="9">
        <v>0</v>
      </c>
      <c r="O248" s="9">
        <v>0</v>
      </c>
      <c r="P248" s="9">
        <v>0</v>
      </c>
      <c r="Q248" s="9">
        <f>MAX(-20,MIN(10,$A248-VLOOKUP(YEAR($A248),'Festive dates'!$A$2:$J$5,8,FALSE)))</f>
        <v>10</v>
      </c>
      <c r="R248" s="9">
        <f>IF(AND($A248&gt;VLOOKUP(YEAR($A248),'Festive dates'!$A$2:$J$5,2,FALSE),$A248&lt;VLOOKUP(YEAR($A248),'Festive dates'!$A$2:$J$5,3,FALSE)),1,0)</f>
        <v>0</v>
      </c>
      <c r="S248" s="9">
        <f>IF($A248=VLOOKUP(YEAR($A248),'Festive dates'!$A$2:$J$5,2,FALSE),1,0)</f>
        <v>0</v>
      </c>
      <c r="T248" s="9">
        <f>IF($A248=VLOOKUP(YEAR($A248),'Festive dates'!$A$2:$J$5,3,FALSE),1,0)</f>
        <v>0</v>
      </c>
      <c r="U248" s="9">
        <f>IF($A248=VLOOKUP(YEAR($A248),'Festive dates'!$A$2:$J$5,4,FALSE),1,0)</f>
        <v>0</v>
      </c>
      <c r="V248" s="9">
        <f>IF(AND($A248&gt;=VLOOKUP(YEAR($A248),'Festive dates'!$A$2:$J$5,9,FALSE),$A248&lt;=VLOOKUP(YEAR($A248),'Festive dates'!$A$2:$J$5,10,FALSE)),1,0)</f>
        <v>0</v>
      </c>
      <c r="W248" s="9">
        <f>IF($A248=VLOOKUP(YEAR($A248),'Festive dates'!$A$2:$J$5,7,FALSE),1,0)</f>
        <v>0</v>
      </c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>
      <c r="A249" s="8">
        <v>45264</v>
      </c>
      <c r="B249" s="9">
        <v>0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9">
        <v>0</v>
      </c>
      <c r="I249" s="9">
        <v>0</v>
      </c>
      <c r="J249" s="9">
        <v>0</v>
      </c>
      <c r="K249" s="9">
        <v>0</v>
      </c>
      <c r="L249" s="9">
        <v>0</v>
      </c>
      <c r="M249" s="9">
        <v>0</v>
      </c>
      <c r="N249" s="9">
        <v>0</v>
      </c>
      <c r="O249" s="9">
        <v>0</v>
      </c>
      <c r="P249" s="9">
        <v>1</v>
      </c>
      <c r="Q249" s="9">
        <f>MAX(-20,MIN(10,$A249-VLOOKUP(YEAR($A249),'Festive dates'!$A$2:$J$5,8,FALSE)))</f>
        <v>10</v>
      </c>
      <c r="R249" s="9">
        <f>IF(AND($A249&gt;VLOOKUP(YEAR($A249),'Festive dates'!$A$2:$J$5,2,FALSE),$A249&lt;VLOOKUP(YEAR($A249),'Festive dates'!$A$2:$J$5,3,FALSE)),1,0)</f>
        <v>0</v>
      </c>
      <c r="S249" s="9">
        <f>IF($A249=VLOOKUP(YEAR($A249),'Festive dates'!$A$2:$J$5,2,FALSE),1,0)</f>
        <v>0</v>
      </c>
      <c r="T249" s="9">
        <f>IF($A249=VLOOKUP(YEAR($A249),'Festive dates'!$A$2:$J$5,3,FALSE),1,0)</f>
        <v>0</v>
      </c>
      <c r="U249" s="9">
        <f>IF($A249=VLOOKUP(YEAR($A249),'Festive dates'!$A$2:$J$5,4,FALSE),1,0)</f>
        <v>0</v>
      </c>
      <c r="V249" s="9">
        <f>IF(AND($A249&gt;=VLOOKUP(YEAR($A249),'Festive dates'!$A$2:$J$5,9,FALSE),$A249&lt;=VLOOKUP(YEAR($A249),'Festive dates'!$A$2:$J$5,10,FALSE)),1,0)</f>
        <v>0</v>
      </c>
      <c r="W249" s="9">
        <f>IF($A249=VLOOKUP(YEAR($A249),'Festive dates'!$A$2:$J$5,7,FALSE),1,0)</f>
        <v>0</v>
      </c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>
      <c r="A250" s="8">
        <v>45265</v>
      </c>
      <c r="B250" s="9">
        <v>0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9">
        <v>0</v>
      </c>
      <c r="I250" s="9">
        <v>0</v>
      </c>
      <c r="J250" s="9">
        <v>0</v>
      </c>
      <c r="K250" s="9">
        <v>0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f>MAX(-20,MIN(10,$A250-VLOOKUP(YEAR($A250),'Festive dates'!$A$2:$J$5,8,FALSE)))</f>
        <v>10</v>
      </c>
      <c r="R250" s="9">
        <f>IF(AND($A250&gt;VLOOKUP(YEAR($A250),'Festive dates'!$A$2:$J$5,2,FALSE),$A250&lt;VLOOKUP(YEAR($A250),'Festive dates'!$A$2:$J$5,3,FALSE)),1,0)</f>
        <v>0</v>
      </c>
      <c r="S250" s="9">
        <f>IF($A250=VLOOKUP(YEAR($A250),'Festive dates'!$A$2:$J$5,2,FALSE),1,0)</f>
        <v>0</v>
      </c>
      <c r="T250" s="9">
        <f>IF($A250=VLOOKUP(YEAR($A250),'Festive dates'!$A$2:$J$5,3,FALSE),1,0)</f>
        <v>0</v>
      </c>
      <c r="U250" s="9">
        <f>IF($A250=VLOOKUP(YEAR($A250),'Festive dates'!$A$2:$J$5,4,FALSE),1,0)</f>
        <v>0</v>
      </c>
      <c r="V250" s="9">
        <f>IF(AND($A250&gt;=VLOOKUP(YEAR($A250),'Festive dates'!$A$2:$J$5,9,FALSE),$A250&lt;=VLOOKUP(YEAR($A250),'Festive dates'!$A$2:$J$5,10,FALSE)),1,0)</f>
        <v>0</v>
      </c>
      <c r="W250" s="9">
        <f>IF($A250=VLOOKUP(YEAR($A250),'Festive dates'!$A$2:$J$5,7,FALSE),1,0)</f>
        <v>0</v>
      </c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>
      <c r="A251" s="8">
        <v>45266</v>
      </c>
      <c r="B251" s="9">
        <v>0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9">
        <v>0</v>
      </c>
      <c r="I251" s="9">
        <v>0</v>
      </c>
      <c r="J251" s="9">
        <v>0</v>
      </c>
      <c r="K251" s="9">
        <v>0</v>
      </c>
      <c r="L251" s="9">
        <v>0</v>
      </c>
      <c r="M251" s="9">
        <v>0</v>
      </c>
      <c r="N251" s="9">
        <v>0</v>
      </c>
      <c r="O251" s="9">
        <v>0</v>
      </c>
      <c r="P251" s="9">
        <v>0</v>
      </c>
      <c r="Q251" s="9">
        <f>MAX(-20,MIN(10,$A251-VLOOKUP(YEAR($A251),'Festive dates'!$A$2:$J$5,8,FALSE)))</f>
        <v>10</v>
      </c>
      <c r="R251" s="9">
        <f>IF(AND($A251&gt;VLOOKUP(YEAR($A251),'Festive dates'!$A$2:$J$5,2,FALSE),$A251&lt;VLOOKUP(YEAR($A251),'Festive dates'!$A$2:$J$5,3,FALSE)),1,0)</f>
        <v>0</v>
      </c>
      <c r="S251" s="9">
        <f>IF($A251=VLOOKUP(YEAR($A251),'Festive dates'!$A$2:$J$5,2,FALSE),1,0)</f>
        <v>0</v>
      </c>
      <c r="T251" s="9">
        <f>IF($A251=VLOOKUP(YEAR($A251),'Festive dates'!$A$2:$J$5,3,FALSE),1,0)</f>
        <v>0</v>
      </c>
      <c r="U251" s="9">
        <f>IF($A251=VLOOKUP(YEAR($A251),'Festive dates'!$A$2:$J$5,4,FALSE),1,0)</f>
        <v>0</v>
      </c>
      <c r="V251" s="9">
        <f>IF(AND($A251&gt;=VLOOKUP(YEAR($A251),'Festive dates'!$A$2:$J$5,9,FALSE),$A251&lt;=VLOOKUP(YEAR($A251),'Festive dates'!$A$2:$J$5,10,FALSE)),1,0)</f>
        <v>0</v>
      </c>
      <c r="W251" s="9">
        <f>IF($A251=VLOOKUP(YEAR($A251),'Festive dates'!$A$2:$J$5,7,FALSE),1,0)</f>
        <v>0</v>
      </c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>
      <c r="A252" s="8">
        <v>45267</v>
      </c>
      <c r="B252" s="9">
        <v>0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f>MAX(-20,MIN(10,$A252-VLOOKUP(YEAR($A252),'Festive dates'!$A$2:$J$5,8,FALSE)))</f>
        <v>10</v>
      </c>
      <c r="R252" s="9">
        <f>IF(AND($A252&gt;VLOOKUP(YEAR($A252),'Festive dates'!$A$2:$J$5,2,FALSE),$A252&lt;VLOOKUP(YEAR($A252),'Festive dates'!$A$2:$J$5,3,FALSE)),1,0)</f>
        <v>0</v>
      </c>
      <c r="S252" s="9">
        <f>IF($A252=VLOOKUP(YEAR($A252),'Festive dates'!$A$2:$J$5,2,FALSE),1,0)</f>
        <v>0</v>
      </c>
      <c r="T252" s="9">
        <f>IF($A252=VLOOKUP(YEAR($A252),'Festive dates'!$A$2:$J$5,3,FALSE),1,0)</f>
        <v>0</v>
      </c>
      <c r="U252" s="9">
        <f>IF($A252=VLOOKUP(YEAR($A252),'Festive dates'!$A$2:$J$5,4,FALSE),1,0)</f>
        <v>0</v>
      </c>
      <c r="V252" s="9">
        <f>IF(AND($A252&gt;=VLOOKUP(YEAR($A252),'Festive dates'!$A$2:$J$5,9,FALSE),$A252&lt;=VLOOKUP(YEAR($A252),'Festive dates'!$A$2:$J$5,10,FALSE)),1,0)</f>
        <v>0</v>
      </c>
      <c r="W252" s="9">
        <f>IF($A252=VLOOKUP(YEAR($A252),'Festive dates'!$A$2:$J$5,7,FALSE),1,0)</f>
        <v>0</v>
      </c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>
      <c r="A253" s="8">
        <v>45268</v>
      </c>
      <c r="B253" s="9">
        <v>0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v>0</v>
      </c>
      <c r="K253" s="9">
        <v>0</v>
      </c>
      <c r="L253" s="9">
        <v>0</v>
      </c>
      <c r="M253" s="9">
        <v>0</v>
      </c>
      <c r="N253" s="9">
        <v>0</v>
      </c>
      <c r="O253" s="9">
        <v>0</v>
      </c>
      <c r="P253" s="9">
        <v>1</v>
      </c>
      <c r="Q253" s="9">
        <f>MAX(-20,MIN(10,$A253-VLOOKUP(YEAR($A253),'Festive dates'!$A$2:$J$5,8,FALSE)))</f>
        <v>10</v>
      </c>
      <c r="R253" s="9">
        <f>IF(AND($A253&gt;VLOOKUP(YEAR($A253),'Festive dates'!$A$2:$J$5,2,FALSE),$A253&lt;VLOOKUP(YEAR($A253),'Festive dates'!$A$2:$J$5,3,FALSE)),1,0)</f>
        <v>0</v>
      </c>
      <c r="S253" s="9">
        <f>IF($A253=VLOOKUP(YEAR($A253),'Festive dates'!$A$2:$J$5,2,FALSE),1,0)</f>
        <v>0</v>
      </c>
      <c r="T253" s="9">
        <f>IF($A253=VLOOKUP(YEAR($A253),'Festive dates'!$A$2:$J$5,3,FALSE),1,0)</f>
        <v>0</v>
      </c>
      <c r="U253" s="9">
        <f>IF($A253=VLOOKUP(YEAR($A253),'Festive dates'!$A$2:$J$5,4,FALSE),1,0)</f>
        <v>0</v>
      </c>
      <c r="V253" s="9">
        <f>IF(AND($A253&gt;=VLOOKUP(YEAR($A253),'Festive dates'!$A$2:$J$5,9,FALSE),$A253&lt;=VLOOKUP(YEAR($A253),'Festive dates'!$A$2:$J$5,10,FALSE)),1,0)</f>
        <v>0</v>
      </c>
      <c r="W253" s="9">
        <f>IF($A253=VLOOKUP(YEAR($A253),'Festive dates'!$A$2:$J$5,7,FALSE),1,0)</f>
        <v>0</v>
      </c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>
      <c r="A254" s="8">
        <v>45269</v>
      </c>
      <c r="B254" s="9">
        <v>0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9">
        <v>0</v>
      </c>
      <c r="I254" s="9">
        <v>0</v>
      </c>
      <c r="J254" s="9">
        <v>0</v>
      </c>
      <c r="K254" s="9">
        <v>0</v>
      </c>
      <c r="L254" s="9">
        <v>0</v>
      </c>
      <c r="M254" s="9">
        <v>0</v>
      </c>
      <c r="N254" s="9">
        <v>0</v>
      </c>
      <c r="O254" s="9">
        <v>0</v>
      </c>
      <c r="P254" s="9">
        <v>0</v>
      </c>
      <c r="Q254" s="9">
        <f>MAX(-20,MIN(10,$A254-VLOOKUP(YEAR($A254),'Festive dates'!$A$2:$J$5,8,FALSE)))</f>
        <v>10</v>
      </c>
      <c r="R254" s="9">
        <f>IF(AND($A254&gt;VLOOKUP(YEAR($A254),'Festive dates'!$A$2:$J$5,2,FALSE),$A254&lt;VLOOKUP(YEAR($A254),'Festive dates'!$A$2:$J$5,3,FALSE)),1,0)</f>
        <v>0</v>
      </c>
      <c r="S254" s="9">
        <f>IF($A254=VLOOKUP(YEAR($A254),'Festive dates'!$A$2:$J$5,2,FALSE),1,0)</f>
        <v>0</v>
      </c>
      <c r="T254" s="9">
        <f>IF($A254=VLOOKUP(YEAR($A254),'Festive dates'!$A$2:$J$5,3,FALSE),1,0)</f>
        <v>0</v>
      </c>
      <c r="U254" s="9">
        <f>IF($A254=VLOOKUP(YEAR($A254),'Festive dates'!$A$2:$J$5,4,FALSE),1,0)</f>
        <v>0</v>
      </c>
      <c r="V254" s="9">
        <f>IF(AND($A254&gt;=VLOOKUP(YEAR($A254),'Festive dates'!$A$2:$J$5,9,FALSE),$A254&lt;=VLOOKUP(YEAR($A254),'Festive dates'!$A$2:$J$5,10,FALSE)),1,0)</f>
        <v>0</v>
      </c>
      <c r="W254" s="9">
        <f>IF($A254=VLOOKUP(YEAR($A254),'Festive dates'!$A$2:$J$5,7,FALSE),1,0)</f>
        <v>0</v>
      </c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>
      <c r="A255" s="8">
        <v>45270</v>
      </c>
      <c r="B255" s="9">
        <v>0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9">
        <v>0</v>
      </c>
      <c r="I255" s="9">
        <v>0</v>
      </c>
      <c r="J255" s="9">
        <v>0</v>
      </c>
      <c r="K255" s="9">
        <v>0</v>
      </c>
      <c r="L255" s="9">
        <v>0</v>
      </c>
      <c r="M255" s="9">
        <v>0</v>
      </c>
      <c r="N255" s="9">
        <v>0</v>
      </c>
      <c r="O255" s="9">
        <v>0</v>
      </c>
      <c r="P255" s="9">
        <v>0</v>
      </c>
      <c r="Q255" s="9">
        <f>MAX(-20,MIN(10,$A255-VLOOKUP(YEAR($A255),'Festive dates'!$A$2:$J$5,8,FALSE)))</f>
        <v>10</v>
      </c>
      <c r="R255" s="9">
        <f>IF(AND($A255&gt;VLOOKUP(YEAR($A255),'Festive dates'!$A$2:$J$5,2,FALSE),$A255&lt;VLOOKUP(YEAR($A255),'Festive dates'!$A$2:$J$5,3,FALSE)),1,0)</f>
        <v>0</v>
      </c>
      <c r="S255" s="9">
        <f>IF($A255=VLOOKUP(YEAR($A255),'Festive dates'!$A$2:$J$5,2,FALSE),1,0)</f>
        <v>0</v>
      </c>
      <c r="T255" s="9">
        <f>IF($A255=VLOOKUP(YEAR($A255),'Festive dates'!$A$2:$J$5,3,FALSE),1,0)</f>
        <v>0</v>
      </c>
      <c r="U255" s="9">
        <f>IF($A255=VLOOKUP(YEAR($A255),'Festive dates'!$A$2:$J$5,4,FALSE),1,0)</f>
        <v>0</v>
      </c>
      <c r="V255" s="9">
        <f>IF(AND($A255&gt;=VLOOKUP(YEAR($A255),'Festive dates'!$A$2:$J$5,9,FALSE),$A255&lt;=VLOOKUP(YEAR($A255),'Festive dates'!$A$2:$J$5,10,FALSE)),1,0)</f>
        <v>0</v>
      </c>
      <c r="W255" s="9">
        <f>IF($A255=VLOOKUP(YEAR($A255),'Festive dates'!$A$2:$J$5,7,FALSE),1,0)</f>
        <v>0</v>
      </c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>
      <c r="A256" s="8">
        <v>45271</v>
      </c>
      <c r="B256" s="9">
        <v>0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9">
        <v>0</v>
      </c>
      <c r="I256" s="9">
        <v>0</v>
      </c>
      <c r="J256" s="9">
        <v>0</v>
      </c>
      <c r="K256" s="9">
        <v>0</v>
      </c>
      <c r="L256" s="9">
        <v>0</v>
      </c>
      <c r="M256" s="9">
        <v>0</v>
      </c>
      <c r="N256" s="9">
        <v>0</v>
      </c>
      <c r="O256" s="9">
        <v>0</v>
      </c>
      <c r="P256" s="9">
        <v>0</v>
      </c>
      <c r="Q256" s="9">
        <f>MAX(-20,MIN(10,$A256-VLOOKUP(YEAR($A256),'Festive dates'!$A$2:$J$5,8,FALSE)))</f>
        <v>10</v>
      </c>
      <c r="R256" s="9">
        <f>IF(AND($A256&gt;VLOOKUP(YEAR($A256),'Festive dates'!$A$2:$J$5,2,FALSE),$A256&lt;VLOOKUP(YEAR($A256),'Festive dates'!$A$2:$J$5,3,FALSE)),1,0)</f>
        <v>0</v>
      </c>
      <c r="S256" s="9">
        <f>IF($A256=VLOOKUP(YEAR($A256),'Festive dates'!$A$2:$J$5,2,FALSE),1,0)</f>
        <v>0</v>
      </c>
      <c r="T256" s="9">
        <f>IF($A256=VLOOKUP(YEAR($A256),'Festive dates'!$A$2:$J$5,3,FALSE),1,0)</f>
        <v>0</v>
      </c>
      <c r="U256" s="9">
        <f>IF($A256=VLOOKUP(YEAR($A256),'Festive dates'!$A$2:$J$5,4,FALSE),1,0)</f>
        <v>0</v>
      </c>
      <c r="V256" s="9">
        <f>IF(AND($A256&gt;=VLOOKUP(YEAR($A256),'Festive dates'!$A$2:$J$5,9,FALSE),$A256&lt;=VLOOKUP(YEAR($A256),'Festive dates'!$A$2:$J$5,10,FALSE)),1,0)</f>
        <v>0</v>
      </c>
      <c r="W256" s="9">
        <f>IF($A256=VLOOKUP(YEAR($A256),'Festive dates'!$A$2:$J$5,7,FALSE),1,0)</f>
        <v>0</v>
      </c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>
      <c r="A257" s="8">
        <v>45272</v>
      </c>
      <c r="B257" s="9">
        <v>0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9">
        <v>0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9">
        <v>0</v>
      </c>
      <c r="O257" s="9">
        <v>0</v>
      </c>
      <c r="P257" s="9">
        <v>0</v>
      </c>
      <c r="Q257" s="9">
        <f>MAX(-20,MIN(10,$A257-VLOOKUP(YEAR($A257),'Festive dates'!$A$2:$J$5,8,FALSE)))</f>
        <v>10</v>
      </c>
      <c r="R257" s="9">
        <f>IF(AND($A257&gt;VLOOKUP(YEAR($A257),'Festive dates'!$A$2:$J$5,2,FALSE),$A257&lt;VLOOKUP(YEAR($A257),'Festive dates'!$A$2:$J$5,3,FALSE)),1,0)</f>
        <v>0</v>
      </c>
      <c r="S257" s="9">
        <f>IF($A257=VLOOKUP(YEAR($A257),'Festive dates'!$A$2:$J$5,2,FALSE),1,0)</f>
        <v>0</v>
      </c>
      <c r="T257" s="9">
        <f>IF($A257=VLOOKUP(YEAR($A257),'Festive dates'!$A$2:$J$5,3,FALSE),1,0)</f>
        <v>0</v>
      </c>
      <c r="U257" s="9">
        <f>IF($A257=VLOOKUP(YEAR($A257),'Festive dates'!$A$2:$J$5,4,FALSE),1,0)</f>
        <v>0</v>
      </c>
      <c r="V257" s="9">
        <f>IF(AND($A257&gt;=VLOOKUP(YEAR($A257),'Festive dates'!$A$2:$J$5,9,FALSE),$A257&lt;=VLOOKUP(YEAR($A257),'Festive dates'!$A$2:$J$5,10,FALSE)),1,0)</f>
        <v>0</v>
      </c>
      <c r="W257" s="9">
        <f>IF($A257=VLOOKUP(YEAR($A257),'Festive dates'!$A$2:$J$5,7,FALSE),1,0)</f>
        <v>0</v>
      </c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>
      <c r="A258" s="8">
        <v>45273</v>
      </c>
      <c r="B258" s="9">
        <v>0</v>
      </c>
      <c r="C258" s="9">
        <v>0</v>
      </c>
      <c r="D258" s="9">
        <v>0</v>
      </c>
      <c r="E258" s="9">
        <v>0</v>
      </c>
      <c r="F258" s="9">
        <v>0</v>
      </c>
      <c r="G258" s="9">
        <v>0</v>
      </c>
      <c r="H258" s="9">
        <v>0</v>
      </c>
      <c r="I258" s="9">
        <v>0</v>
      </c>
      <c r="J258" s="9">
        <v>0</v>
      </c>
      <c r="K258" s="9">
        <v>0</v>
      </c>
      <c r="L258" s="9">
        <v>0</v>
      </c>
      <c r="M258" s="9">
        <v>0</v>
      </c>
      <c r="N258" s="9">
        <v>0</v>
      </c>
      <c r="O258" s="9">
        <v>0</v>
      </c>
      <c r="P258" s="9">
        <v>0</v>
      </c>
      <c r="Q258" s="9">
        <f>MAX(-20,MIN(10,$A258-VLOOKUP(YEAR($A258),'Festive dates'!$A$2:$J$5,8,FALSE)))</f>
        <v>10</v>
      </c>
      <c r="R258" s="9">
        <f>IF(AND($A258&gt;VLOOKUP(YEAR($A258),'Festive dates'!$A$2:$J$5,2,FALSE),$A258&lt;VLOOKUP(YEAR($A258),'Festive dates'!$A$2:$J$5,3,FALSE)),1,0)</f>
        <v>0</v>
      </c>
      <c r="S258" s="9">
        <f>IF($A258=VLOOKUP(YEAR($A258),'Festive dates'!$A$2:$J$5,2,FALSE),1,0)</f>
        <v>0</v>
      </c>
      <c r="T258" s="9">
        <f>IF($A258=VLOOKUP(YEAR($A258),'Festive dates'!$A$2:$J$5,3,FALSE),1,0)</f>
        <v>0</v>
      </c>
      <c r="U258" s="9">
        <f>IF($A258=VLOOKUP(YEAR($A258),'Festive dates'!$A$2:$J$5,4,FALSE),1,0)</f>
        <v>0</v>
      </c>
      <c r="V258" s="9">
        <f>IF(AND($A258&gt;=VLOOKUP(YEAR($A258),'Festive dates'!$A$2:$J$5,9,FALSE),$A258&lt;=VLOOKUP(YEAR($A258),'Festive dates'!$A$2:$J$5,10,FALSE)),1,0)</f>
        <v>0</v>
      </c>
      <c r="W258" s="9">
        <f>IF($A258=VLOOKUP(YEAR($A258),'Festive dates'!$A$2:$J$5,7,FALSE),1,0)</f>
        <v>0</v>
      </c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>
      <c r="A259" s="8">
        <v>45274</v>
      </c>
      <c r="B259" s="9">
        <v>0</v>
      </c>
      <c r="C259" s="9">
        <v>0</v>
      </c>
      <c r="D259" s="9">
        <v>0</v>
      </c>
      <c r="E259" s="9">
        <v>0</v>
      </c>
      <c r="F259" s="9">
        <v>0</v>
      </c>
      <c r="G259" s="9">
        <v>0</v>
      </c>
      <c r="H259" s="9">
        <v>0</v>
      </c>
      <c r="I259" s="9">
        <v>0</v>
      </c>
      <c r="J259" s="9">
        <v>0</v>
      </c>
      <c r="K259" s="9">
        <v>0</v>
      </c>
      <c r="L259" s="9">
        <v>0</v>
      </c>
      <c r="M259" s="9">
        <v>0</v>
      </c>
      <c r="N259" s="9">
        <v>0</v>
      </c>
      <c r="O259" s="9">
        <v>0</v>
      </c>
      <c r="P259" s="9">
        <v>0</v>
      </c>
      <c r="Q259" s="9">
        <f>MAX(-20,MIN(10,$A259-VLOOKUP(YEAR($A259),'Festive dates'!$A$2:$J$5,8,FALSE)))</f>
        <v>10</v>
      </c>
      <c r="R259" s="9">
        <f>IF(AND($A259&gt;VLOOKUP(YEAR($A259),'Festive dates'!$A$2:$J$5,2,FALSE),$A259&lt;VLOOKUP(YEAR($A259),'Festive dates'!$A$2:$J$5,3,FALSE)),1,0)</f>
        <v>0</v>
      </c>
      <c r="S259" s="9">
        <f>IF($A259=VLOOKUP(YEAR($A259),'Festive dates'!$A$2:$J$5,2,FALSE),1,0)</f>
        <v>0</v>
      </c>
      <c r="T259" s="9">
        <f>IF($A259=VLOOKUP(YEAR($A259),'Festive dates'!$A$2:$J$5,3,FALSE),1,0)</f>
        <v>0</v>
      </c>
      <c r="U259" s="9">
        <f>IF($A259=VLOOKUP(YEAR($A259),'Festive dates'!$A$2:$J$5,4,FALSE),1,0)</f>
        <v>0</v>
      </c>
      <c r="V259" s="9">
        <f>IF(AND($A259&gt;=VLOOKUP(YEAR($A259),'Festive dates'!$A$2:$J$5,9,FALSE),$A259&lt;=VLOOKUP(YEAR($A259),'Festive dates'!$A$2:$J$5,10,FALSE)),1,0)</f>
        <v>0</v>
      </c>
      <c r="W259" s="9">
        <f>IF($A259=VLOOKUP(YEAR($A259),'Festive dates'!$A$2:$J$5,7,FALSE),1,0)</f>
        <v>0</v>
      </c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>
      <c r="A260" s="8">
        <v>45275</v>
      </c>
      <c r="B260" s="9">
        <v>0</v>
      </c>
      <c r="C260" s="9">
        <v>0</v>
      </c>
      <c r="D260" s="9">
        <v>0</v>
      </c>
      <c r="E260" s="9">
        <v>0</v>
      </c>
      <c r="F260" s="9">
        <v>0</v>
      </c>
      <c r="G260" s="9">
        <v>0</v>
      </c>
      <c r="H260" s="9">
        <v>0</v>
      </c>
      <c r="I260" s="9">
        <v>0</v>
      </c>
      <c r="J260" s="9">
        <v>0</v>
      </c>
      <c r="K260" s="9">
        <v>0</v>
      </c>
      <c r="L260" s="9">
        <v>0</v>
      </c>
      <c r="M260" s="9">
        <v>0</v>
      </c>
      <c r="N260" s="9">
        <v>0</v>
      </c>
      <c r="O260" s="9">
        <v>0</v>
      </c>
      <c r="P260" s="9">
        <v>0</v>
      </c>
      <c r="Q260" s="9">
        <f>MAX(-20,MIN(10,$A260-VLOOKUP(YEAR($A260),'Festive dates'!$A$2:$J$5,8,FALSE)))</f>
        <v>10</v>
      </c>
      <c r="R260" s="9">
        <f>IF(AND($A260&gt;VLOOKUP(YEAR($A260),'Festive dates'!$A$2:$J$5,2,FALSE),$A260&lt;VLOOKUP(YEAR($A260),'Festive dates'!$A$2:$J$5,3,FALSE)),1,0)</f>
        <v>0</v>
      </c>
      <c r="S260" s="9">
        <f>IF($A260=VLOOKUP(YEAR($A260),'Festive dates'!$A$2:$J$5,2,FALSE),1,0)</f>
        <v>0</v>
      </c>
      <c r="T260" s="9">
        <f>IF($A260=VLOOKUP(YEAR($A260),'Festive dates'!$A$2:$J$5,3,FALSE),1,0)</f>
        <v>0</v>
      </c>
      <c r="U260" s="9">
        <f>IF($A260=VLOOKUP(YEAR($A260),'Festive dates'!$A$2:$J$5,4,FALSE),1,0)</f>
        <v>0</v>
      </c>
      <c r="V260" s="9">
        <f>IF(AND($A260&gt;=VLOOKUP(YEAR($A260),'Festive dates'!$A$2:$J$5,9,FALSE),$A260&lt;=VLOOKUP(YEAR($A260),'Festive dates'!$A$2:$J$5,10,FALSE)),1,0)</f>
        <v>0</v>
      </c>
      <c r="W260" s="9">
        <f>IF($A260=VLOOKUP(YEAR($A260),'Festive dates'!$A$2:$J$5,7,FALSE),1,0)</f>
        <v>0</v>
      </c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>
      <c r="A261" s="8">
        <v>45276</v>
      </c>
      <c r="B261" s="9">
        <v>0</v>
      </c>
      <c r="C261" s="9">
        <v>0</v>
      </c>
      <c r="D261" s="9">
        <v>0</v>
      </c>
      <c r="E261" s="9">
        <v>0</v>
      </c>
      <c r="F261" s="9">
        <v>0</v>
      </c>
      <c r="G261" s="9">
        <v>0</v>
      </c>
      <c r="H261" s="9">
        <v>0</v>
      </c>
      <c r="I261" s="9">
        <v>0</v>
      </c>
      <c r="J261" s="9">
        <v>0</v>
      </c>
      <c r="K261" s="9">
        <v>0</v>
      </c>
      <c r="L261" s="9">
        <v>0</v>
      </c>
      <c r="M261" s="9">
        <v>0</v>
      </c>
      <c r="N261" s="9">
        <v>0</v>
      </c>
      <c r="O261" s="9">
        <v>0</v>
      </c>
      <c r="P261" s="9">
        <v>0</v>
      </c>
      <c r="Q261" s="9">
        <f>MAX(-20,MIN(10,$A261-VLOOKUP(YEAR($A261),'Festive dates'!$A$2:$J$5,8,FALSE)))</f>
        <v>10</v>
      </c>
      <c r="R261" s="9">
        <f>IF(AND($A261&gt;VLOOKUP(YEAR($A261),'Festive dates'!$A$2:$J$5,2,FALSE),$A261&lt;VLOOKUP(YEAR($A261),'Festive dates'!$A$2:$J$5,3,FALSE)),1,0)</f>
        <v>0</v>
      </c>
      <c r="S261" s="9">
        <f>IF($A261=VLOOKUP(YEAR($A261),'Festive dates'!$A$2:$J$5,2,FALSE),1,0)</f>
        <v>0</v>
      </c>
      <c r="T261" s="9">
        <f>IF($A261=VLOOKUP(YEAR($A261),'Festive dates'!$A$2:$J$5,3,FALSE),1,0)</f>
        <v>0</v>
      </c>
      <c r="U261" s="9">
        <f>IF($A261=VLOOKUP(YEAR($A261),'Festive dates'!$A$2:$J$5,4,FALSE),1,0)</f>
        <v>0</v>
      </c>
      <c r="V261" s="9">
        <f>IF(AND($A261&gt;=VLOOKUP(YEAR($A261),'Festive dates'!$A$2:$J$5,9,FALSE),$A261&lt;=VLOOKUP(YEAR($A261),'Festive dates'!$A$2:$J$5,10,FALSE)),1,0)</f>
        <v>0</v>
      </c>
      <c r="W261" s="9">
        <f>IF($A261=VLOOKUP(YEAR($A261),'Festive dates'!$A$2:$J$5,7,FALSE),1,0)</f>
        <v>0</v>
      </c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>
      <c r="A262" s="8">
        <v>45277</v>
      </c>
      <c r="B262" s="9">
        <v>0</v>
      </c>
      <c r="C262" s="9">
        <v>0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  <c r="J262" s="9">
        <v>0</v>
      </c>
      <c r="K262" s="9">
        <v>0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f>MAX(-20,MIN(10,$A262-VLOOKUP(YEAR($A262),'Festive dates'!$A$2:$J$5,8,FALSE)))</f>
        <v>10</v>
      </c>
      <c r="R262" s="9">
        <f>IF(AND($A262&gt;VLOOKUP(YEAR($A262),'Festive dates'!$A$2:$J$5,2,FALSE),$A262&lt;VLOOKUP(YEAR($A262),'Festive dates'!$A$2:$J$5,3,FALSE)),1,0)</f>
        <v>0</v>
      </c>
      <c r="S262" s="9">
        <f>IF($A262=VLOOKUP(YEAR($A262),'Festive dates'!$A$2:$J$5,2,FALSE),1,0)</f>
        <v>0</v>
      </c>
      <c r="T262" s="9">
        <f>IF($A262=VLOOKUP(YEAR($A262),'Festive dates'!$A$2:$J$5,3,FALSE),1,0)</f>
        <v>0</v>
      </c>
      <c r="U262" s="9">
        <f>IF($A262=VLOOKUP(YEAR($A262),'Festive dates'!$A$2:$J$5,4,FALSE),1,0)</f>
        <v>0</v>
      </c>
      <c r="V262" s="9">
        <f>IF(AND($A262&gt;=VLOOKUP(YEAR($A262),'Festive dates'!$A$2:$J$5,9,FALSE),$A262&lt;=VLOOKUP(YEAR($A262),'Festive dates'!$A$2:$J$5,10,FALSE)),1,0)</f>
        <v>0</v>
      </c>
      <c r="W262" s="9">
        <f>IF($A262=VLOOKUP(YEAR($A262),'Festive dates'!$A$2:$J$5,7,FALSE),1,0)</f>
        <v>0</v>
      </c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>
      <c r="A263" s="8">
        <v>45278</v>
      </c>
      <c r="B263" s="9">
        <v>0</v>
      </c>
      <c r="C263" s="9">
        <v>0</v>
      </c>
      <c r="D263" s="9">
        <v>0</v>
      </c>
      <c r="E263" s="9">
        <v>0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f>MAX(-20,MIN(10,$A263-VLOOKUP(YEAR($A263),'Festive dates'!$A$2:$J$5,8,FALSE)))</f>
        <v>10</v>
      </c>
      <c r="R263" s="9">
        <f>IF(AND($A263&gt;VLOOKUP(YEAR($A263),'Festive dates'!$A$2:$J$5,2,FALSE),$A263&lt;VLOOKUP(YEAR($A263),'Festive dates'!$A$2:$J$5,3,FALSE)),1,0)</f>
        <v>0</v>
      </c>
      <c r="S263" s="9">
        <f>IF($A263=VLOOKUP(YEAR($A263),'Festive dates'!$A$2:$J$5,2,FALSE),1,0)</f>
        <v>0</v>
      </c>
      <c r="T263" s="9">
        <f>IF($A263=VLOOKUP(YEAR($A263),'Festive dates'!$A$2:$J$5,3,FALSE),1,0)</f>
        <v>0</v>
      </c>
      <c r="U263" s="9">
        <f>IF($A263=VLOOKUP(YEAR($A263),'Festive dates'!$A$2:$J$5,4,FALSE),1,0)</f>
        <v>0</v>
      </c>
      <c r="V263" s="9">
        <f>IF(AND($A263&gt;=VLOOKUP(YEAR($A263),'Festive dates'!$A$2:$J$5,9,FALSE),$A263&lt;=VLOOKUP(YEAR($A263),'Festive dates'!$A$2:$J$5,10,FALSE)),1,0)</f>
        <v>0</v>
      </c>
      <c r="W263" s="9">
        <f>IF($A263=VLOOKUP(YEAR($A263),'Festive dates'!$A$2:$J$5,7,FALSE),1,0)</f>
        <v>0</v>
      </c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>
      <c r="A264" s="8">
        <v>45279</v>
      </c>
      <c r="B264" s="9">
        <v>0</v>
      </c>
      <c r="C264" s="9">
        <v>0</v>
      </c>
      <c r="D264" s="9">
        <v>0</v>
      </c>
      <c r="E264" s="9">
        <v>0</v>
      </c>
      <c r="F264" s="9">
        <v>0</v>
      </c>
      <c r="G264" s="9">
        <v>0</v>
      </c>
      <c r="H264" s="9">
        <v>0</v>
      </c>
      <c r="I264" s="9">
        <v>0</v>
      </c>
      <c r="J264" s="9">
        <v>0</v>
      </c>
      <c r="K264" s="9">
        <v>0</v>
      </c>
      <c r="L264" s="9">
        <v>0</v>
      </c>
      <c r="M264" s="9">
        <v>0</v>
      </c>
      <c r="N264" s="9">
        <v>0</v>
      </c>
      <c r="O264" s="9">
        <v>0</v>
      </c>
      <c r="P264" s="9">
        <v>0</v>
      </c>
      <c r="Q264" s="9">
        <f>MAX(-20,MIN(10,$A264-VLOOKUP(YEAR($A264),'Festive dates'!$A$2:$J$5,8,FALSE)))</f>
        <v>10</v>
      </c>
      <c r="R264" s="9">
        <f>IF(AND($A264&gt;VLOOKUP(YEAR($A264),'Festive dates'!$A$2:$J$5,2,FALSE),$A264&lt;VLOOKUP(YEAR($A264),'Festive dates'!$A$2:$J$5,3,FALSE)),1,0)</f>
        <v>0</v>
      </c>
      <c r="S264" s="9">
        <f>IF($A264=VLOOKUP(YEAR($A264),'Festive dates'!$A$2:$J$5,2,FALSE),1,0)</f>
        <v>0</v>
      </c>
      <c r="T264" s="9">
        <f>IF($A264=VLOOKUP(YEAR($A264),'Festive dates'!$A$2:$J$5,3,FALSE),1,0)</f>
        <v>0</v>
      </c>
      <c r="U264" s="9">
        <f>IF($A264=VLOOKUP(YEAR($A264),'Festive dates'!$A$2:$J$5,4,FALSE),1,0)</f>
        <v>0</v>
      </c>
      <c r="V264" s="9">
        <f>IF(AND($A264&gt;=VLOOKUP(YEAR($A264),'Festive dates'!$A$2:$J$5,9,FALSE),$A264&lt;=VLOOKUP(YEAR($A264),'Festive dates'!$A$2:$J$5,10,FALSE)),1,0)</f>
        <v>0</v>
      </c>
      <c r="W264" s="9">
        <f>IF($A264=VLOOKUP(YEAR($A264),'Festive dates'!$A$2:$J$5,7,FALSE),1,0)</f>
        <v>0</v>
      </c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>
      <c r="A265" s="8">
        <v>45280</v>
      </c>
      <c r="B265" s="9">
        <v>0</v>
      </c>
      <c r="C265" s="9">
        <v>0</v>
      </c>
      <c r="D265" s="9">
        <v>0</v>
      </c>
      <c r="E265" s="9">
        <v>0</v>
      </c>
      <c r="F265" s="9">
        <v>0</v>
      </c>
      <c r="G265" s="9">
        <v>0</v>
      </c>
      <c r="H265" s="9">
        <v>0</v>
      </c>
      <c r="I265" s="9">
        <v>0</v>
      </c>
      <c r="J265" s="9">
        <v>0</v>
      </c>
      <c r="K265" s="9">
        <v>0</v>
      </c>
      <c r="L265" s="9">
        <v>0</v>
      </c>
      <c r="M265" s="9">
        <v>0</v>
      </c>
      <c r="N265" s="9">
        <v>0</v>
      </c>
      <c r="O265" s="9">
        <v>0</v>
      </c>
      <c r="P265" s="9">
        <v>0</v>
      </c>
      <c r="Q265" s="9">
        <f>MAX(-20,MIN(10,$A265-VLOOKUP(YEAR($A265),'Festive dates'!$A$2:$J$5,8,FALSE)))</f>
        <v>10</v>
      </c>
      <c r="R265" s="9">
        <f>IF(AND($A265&gt;VLOOKUP(YEAR($A265),'Festive dates'!$A$2:$J$5,2,FALSE),$A265&lt;VLOOKUP(YEAR($A265),'Festive dates'!$A$2:$J$5,3,FALSE)),1,0)</f>
        <v>0</v>
      </c>
      <c r="S265" s="9">
        <f>IF($A265=VLOOKUP(YEAR($A265),'Festive dates'!$A$2:$J$5,2,FALSE),1,0)</f>
        <v>0</v>
      </c>
      <c r="T265" s="9">
        <f>IF($A265=VLOOKUP(YEAR($A265),'Festive dates'!$A$2:$J$5,3,FALSE),1,0)</f>
        <v>0</v>
      </c>
      <c r="U265" s="9">
        <f>IF($A265=VLOOKUP(YEAR($A265),'Festive dates'!$A$2:$J$5,4,FALSE),1,0)</f>
        <v>0</v>
      </c>
      <c r="V265" s="9">
        <f>IF(AND($A265&gt;=VLOOKUP(YEAR($A265),'Festive dates'!$A$2:$J$5,9,FALSE),$A265&lt;=VLOOKUP(YEAR($A265),'Festive dates'!$A$2:$J$5,10,FALSE)),1,0)</f>
        <v>0</v>
      </c>
      <c r="W265" s="9">
        <f>IF($A265=VLOOKUP(YEAR($A265),'Festive dates'!$A$2:$J$5,7,FALSE),1,0)</f>
        <v>0</v>
      </c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>
      <c r="A266" s="8">
        <v>45281</v>
      </c>
      <c r="B266" s="9">
        <v>0</v>
      </c>
      <c r="C266" s="9">
        <v>0</v>
      </c>
      <c r="D266" s="9">
        <v>0</v>
      </c>
      <c r="E266" s="9">
        <v>0</v>
      </c>
      <c r="F266" s="9">
        <v>0</v>
      </c>
      <c r="G266" s="9">
        <v>0</v>
      </c>
      <c r="H266" s="9">
        <v>0</v>
      </c>
      <c r="I266" s="9">
        <v>0</v>
      </c>
      <c r="J266" s="9">
        <v>0</v>
      </c>
      <c r="K266" s="9">
        <v>0</v>
      </c>
      <c r="L266" s="9">
        <v>0</v>
      </c>
      <c r="M266" s="9">
        <v>0</v>
      </c>
      <c r="N266" s="9">
        <v>0</v>
      </c>
      <c r="O266" s="9">
        <v>0</v>
      </c>
      <c r="P266" s="9">
        <v>0</v>
      </c>
      <c r="Q266" s="9">
        <f>MAX(-20,MIN(10,$A266-VLOOKUP(YEAR($A266),'Festive dates'!$A$2:$J$5,8,FALSE)))</f>
        <v>10</v>
      </c>
      <c r="R266" s="9">
        <f>IF(AND($A266&gt;VLOOKUP(YEAR($A266),'Festive dates'!$A$2:$J$5,2,FALSE),$A266&lt;VLOOKUP(YEAR($A266),'Festive dates'!$A$2:$J$5,3,FALSE)),1,0)</f>
        <v>0</v>
      </c>
      <c r="S266" s="9">
        <f>IF($A266=VLOOKUP(YEAR($A266),'Festive dates'!$A$2:$J$5,2,FALSE),1,0)</f>
        <v>0</v>
      </c>
      <c r="T266" s="9">
        <f>IF($A266=VLOOKUP(YEAR($A266),'Festive dates'!$A$2:$J$5,3,FALSE),1,0)</f>
        <v>0</v>
      </c>
      <c r="U266" s="9">
        <f>IF($A266=VLOOKUP(YEAR($A266),'Festive dates'!$A$2:$J$5,4,FALSE),1,0)</f>
        <v>0</v>
      </c>
      <c r="V266" s="9">
        <f>IF(AND($A266&gt;=VLOOKUP(YEAR($A266),'Festive dates'!$A$2:$J$5,9,FALSE),$A266&lt;=VLOOKUP(YEAR($A266),'Festive dates'!$A$2:$J$5,10,FALSE)),1,0)</f>
        <v>0</v>
      </c>
      <c r="W266" s="9">
        <f>IF($A266=VLOOKUP(YEAR($A266),'Festive dates'!$A$2:$J$5,7,FALSE),1,0)</f>
        <v>0</v>
      </c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>
      <c r="A267" s="8">
        <v>45282</v>
      </c>
      <c r="B267" s="9">
        <v>0</v>
      </c>
      <c r="C267" s="9">
        <v>0</v>
      </c>
      <c r="D267" s="9">
        <v>0</v>
      </c>
      <c r="E267" s="9">
        <v>0</v>
      </c>
      <c r="F267" s="9">
        <v>0</v>
      </c>
      <c r="G267" s="9">
        <v>0</v>
      </c>
      <c r="H267" s="9">
        <v>0</v>
      </c>
      <c r="I267" s="9">
        <v>0</v>
      </c>
      <c r="J267" s="9">
        <v>0</v>
      </c>
      <c r="K267" s="9">
        <v>0</v>
      </c>
      <c r="L267" s="9">
        <v>0</v>
      </c>
      <c r="M267" s="9">
        <v>0</v>
      </c>
      <c r="N267" s="9">
        <v>0</v>
      </c>
      <c r="O267" s="9">
        <v>0</v>
      </c>
      <c r="P267" s="9">
        <v>0</v>
      </c>
      <c r="Q267" s="9">
        <f>MAX(-20,MIN(10,$A267-VLOOKUP(YEAR($A267),'Festive dates'!$A$2:$J$5,8,FALSE)))</f>
        <v>10</v>
      </c>
      <c r="R267" s="9">
        <f>IF(AND($A267&gt;VLOOKUP(YEAR($A267),'Festive dates'!$A$2:$J$5,2,FALSE),$A267&lt;VLOOKUP(YEAR($A267),'Festive dates'!$A$2:$J$5,3,FALSE)),1,0)</f>
        <v>0</v>
      </c>
      <c r="S267" s="9">
        <f>IF($A267=VLOOKUP(YEAR($A267),'Festive dates'!$A$2:$J$5,2,FALSE),1,0)</f>
        <v>0</v>
      </c>
      <c r="T267" s="9">
        <f>IF($A267=VLOOKUP(YEAR($A267),'Festive dates'!$A$2:$J$5,3,FALSE),1,0)</f>
        <v>0</v>
      </c>
      <c r="U267" s="9">
        <f>IF($A267=VLOOKUP(YEAR($A267),'Festive dates'!$A$2:$J$5,4,FALSE),1,0)</f>
        <v>0</v>
      </c>
      <c r="V267" s="9">
        <f>IF(AND($A267&gt;=VLOOKUP(YEAR($A267),'Festive dates'!$A$2:$J$5,9,FALSE),$A267&lt;=VLOOKUP(YEAR($A267),'Festive dates'!$A$2:$J$5,10,FALSE)),1,0)</f>
        <v>0</v>
      </c>
      <c r="W267" s="9">
        <f>IF($A267=VLOOKUP(YEAR($A267),'Festive dates'!$A$2:$J$5,7,FALSE),1,0)</f>
        <v>0</v>
      </c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>
      <c r="A268" s="8">
        <v>45283</v>
      </c>
      <c r="B268" s="9">
        <v>0</v>
      </c>
      <c r="C268" s="9">
        <v>0</v>
      </c>
      <c r="D268" s="9">
        <v>0</v>
      </c>
      <c r="E268" s="9">
        <v>0</v>
      </c>
      <c r="F268" s="9">
        <v>0</v>
      </c>
      <c r="G268" s="9">
        <v>0</v>
      </c>
      <c r="H268" s="9">
        <v>0</v>
      </c>
      <c r="I268" s="9">
        <v>0</v>
      </c>
      <c r="J268" s="9">
        <v>0</v>
      </c>
      <c r="K268" s="9">
        <v>0</v>
      </c>
      <c r="L268" s="9">
        <v>0</v>
      </c>
      <c r="M268" s="9">
        <v>0</v>
      </c>
      <c r="N268" s="9">
        <v>0</v>
      </c>
      <c r="O268" s="9">
        <v>0</v>
      </c>
      <c r="P268" s="9">
        <v>0</v>
      </c>
      <c r="Q268" s="9">
        <f>MAX(-20,MIN(10,$A268-VLOOKUP(YEAR($A268),'Festive dates'!$A$2:$J$5,8,FALSE)))</f>
        <v>10</v>
      </c>
      <c r="R268" s="9">
        <f>IF(AND($A268&gt;VLOOKUP(YEAR($A268),'Festive dates'!$A$2:$J$5,2,FALSE),$A268&lt;VLOOKUP(YEAR($A268),'Festive dates'!$A$2:$J$5,3,FALSE)),1,0)</f>
        <v>0</v>
      </c>
      <c r="S268" s="9">
        <f>IF($A268=VLOOKUP(YEAR($A268),'Festive dates'!$A$2:$J$5,2,FALSE),1,0)</f>
        <v>0</v>
      </c>
      <c r="T268" s="9">
        <f>IF($A268=VLOOKUP(YEAR($A268),'Festive dates'!$A$2:$J$5,3,FALSE),1,0)</f>
        <v>0</v>
      </c>
      <c r="U268" s="9">
        <f>IF($A268=VLOOKUP(YEAR($A268),'Festive dates'!$A$2:$J$5,4,FALSE),1,0)</f>
        <v>0</v>
      </c>
      <c r="V268" s="9">
        <f>IF(AND($A268&gt;=VLOOKUP(YEAR($A268),'Festive dates'!$A$2:$J$5,9,FALSE),$A268&lt;=VLOOKUP(YEAR($A268),'Festive dates'!$A$2:$J$5,10,FALSE)),1,0)</f>
        <v>0</v>
      </c>
      <c r="W268" s="9">
        <f>IF($A268=VLOOKUP(YEAR($A268),'Festive dates'!$A$2:$J$5,7,FALSE),1,0)</f>
        <v>0</v>
      </c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>
      <c r="A269" s="8">
        <v>45284</v>
      </c>
      <c r="B269" s="9">
        <v>0</v>
      </c>
      <c r="C269" s="9">
        <v>0</v>
      </c>
      <c r="D269" s="9">
        <v>0</v>
      </c>
      <c r="E269" s="9">
        <v>0</v>
      </c>
      <c r="F269" s="9">
        <v>0</v>
      </c>
      <c r="G269" s="9">
        <v>0</v>
      </c>
      <c r="H269" s="9">
        <v>0</v>
      </c>
      <c r="I269" s="9">
        <v>0</v>
      </c>
      <c r="J269" s="9">
        <v>0</v>
      </c>
      <c r="K269" s="9">
        <v>0</v>
      </c>
      <c r="L269" s="9">
        <v>0</v>
      </c>
      <c r="M269" s="9">
        <v>0</v>
      </c>
      <c r="N269" s="9">
        <v>0</v>
      </c>
      <c r="O269" s="9">
        <v>0</v>
      </c>
      <c r="P269" s="9">
        <v>0</v>
      </c>
      <c r="Q269" s="9">
        <f>MAX(-20,MIN(10,$A269-VLOOKUP(YEAR($A269),'Festive dates'!$A$2:$J$5,8,FALSE)))</f>
        <v>10</v>
      </c>
      <c r="R269" s="9">
        <f>IF(AND($A269&gt;VLOOKUP(YEAR($A269),'Festive dates'!$A$2:$J$5,2,FALSE),$A269&lt;VLOOKUP(YEAR($A269),'Festive dates'!$A$2:$J$5,3,FALSE)),1,0)</f>
        <v>0</v>
      </c>
      <c r="S269" s="9">
        <f>IF($A269=VLOOKUP(YEAR($A269),'Festive dates'!$A$2:$J$5,2,FALSE),1,0)</f>
        <v>0</v>
      </c>
      <c r="T269" s="9">
        <f>IF($A269=VLOOKUP(YEAR($A269),'Festive dates'!$A$2:$J$5,3,FALSE),1,0)</f>
        <v>0</v>
      </c>
      <c r="U269" s="9">
        <f>IF($A269=VLOOKUP(YEAR($A269),'Festive dates'!$A$2:$J$5,4,FALSE),1,0)</f>
        <v>0</v>
      </c>
      <c r="V269" s="9">
        <f>IF(AND($A269&gt;=VLOOKUP(YEAR($A269),'Festive dates'!$A$2:$J$5,9,FALSE),$A269&lt;=VLOOKUP(YEAR($A269),'Festive dates'!$A$2:$J$5,10,FALSE)),1,0)</f>
        <v>0</v>
      </c>
      <c r="W269" s="9">
        <f>IF($A269=VLOOKUP(YEAR($A269),'Festive dates'!$A$2:$J$5,7,FALSE),1,0)</f>
        <v>0</v>
      </c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>
      <c r="A270" s="8">
        <v>45285</v>
      </c>
      <c r="B270" s="9">
        <v>0</v>
      </c>
      <c r="C270" s="9">
        <v>0</v>
      </c>
      <c r="D270" s="9">
        <v>0</v>
      </c>
      <c r="E270" s="9">
        <v>0</v>
      </c>
      <c r="F270" s="9">
        <v>0</v>
      </c>
      <c r="G270" s="9">
        <v>0</v>
      </c>
      <c r="H270" s="9">
        <v>0</v>
      </c>
      <c r="I270" s="9">
        <v>0</v>
      </c>
      <c r="J270" s="9">
        <v>0</v>
      </c>
      <c r="K270" s="9">
        <v>0</v>
      </c>
      <c r="L270" s="9">
        <v>0</v>
      </c>
      <c r="M270" s="9">
        <v>0</v>
      </c>
      <c r="N270" s="9">
        <v>0</v>
      </c>
      <c r="O270" s="9">
        <v>0</v>
      </c>
      <c r="P270" s="9">
        <v>0</v>
      </c>
      <c r="Q270" s="9">
        <f>MAX(-20,MIN(10,$A270-VLOOKUP(YEAR($A270),'Festive dates'!$A$2:$J$5,8,FALSE)))</f>
        <v>10</v>
      </c>
      <c r="R270" s="9">
        <f>IF(AND($A270&gt;VLOOKUP(YEAR($A270),'Festive dates'!$A$2:$J$5,2,FALSE),$A270&lt;VLOOKUP(YEAR($A270),'Festive dates'!$A$2:$J$5,3,FALSE)),1,0)</f>
        <v>0</v>
      </c>
      <c r="S270" s="9">
        <f>IF($A270=VLOOKUP(YEAR($A270),'Festive dates'!$A$2:$J$5,2,FALSE),1,0)</f>
        <v>0</v>
      </c>
      <c r="T270" s="9">
        <f>IF($A270=VLOOKUP(YEAR($A270),'Festive dates'!$A$2:$J$5,3,FALSE),1,0)</f>
        <v>0</v>
      </c>
      <c r="U270" s="9">
        <f>IF($A270=VLOOKUP(YEAR($A270),'Festive dates'!$A$2:$J$5,4,FALSE),1,0)</f>
        <v>0</v>
      </c>
      <c r="V270" s="9">
        <f>IF(AND($A270&gt;=VLOOKUP(YEAR($A270),'Festive dates'!$A$2:$J$5,9,FALSE),$A270&lt;=VLOOKUP(YEAR($A270),'Festive dates'!$A$2:$J$5,10,FALSE)),1,0)</f>
        <v>0</v>
      </c>
      <c r="W270" s="9">
        <f>IF($A270=VLOOKUP(YEAR($A270),'Festive dates'!$A$2:$J$5,7,FALSE),1,0)</f>
        <v>0</v>
      </c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>
      <c r="A271" s="8">
        <v>45286</v>
      </c>
      <c r="B271" s="9">
        <v>0</v>
      </c>
      <c r="C271" s="9">
        <v>0</v>
      </c>
      <c r="D271" s="9">
        <v>0</v>
      </c>
      <c r="E271" s="9">
        <v>0</v>
      </c>
      <c r="F271" s="9">
        <v>0</v>
      </c>
      <c r="G271" s="9">
        <v>0</v>
      </c>
      <c r="H271" s="9">
        <v>0</v>
      </c>
      <c r="I271" s="9">
        <v>0</v>
      </c>
      <c r="J271" s="9">
        <v>0</v>
      </c>
      <c r="K271" s="9">
        <v>0</v>
      </c>
      <c r="L271" s="9">
        <v>0</v>
      </c>
      <c r="M271" s="9">
        <v>0</v>
      </c>
      <c r="N271" s="9">
        <v>0</v>
      </c>
      <c r="O271" s="9">
        <v>0</v>
      </c>
      <c r="P271" s="9">
        <v>0</v>
      </c>
      <c r="Q271" s="9">
        <f>MAX(-20,MIN(10,$A271-VLOOKUP(YEAR($A271),'Festive dates'!$A$2:$J$5,8,FALSE)))</f>
        <v>10</v>
      </c>
      <c r="R271" s="9">
        <f>IF(AND($A271&gt;VLOOKUP(YEAR($A271),'Festive dates'!$A$2:$J$5,2,FALSE),$A271&lt;VLOOKUP(YEAR($A271),'Festive dates'!$A$2:$J$5,3,FALSE)),1,0)</f>
        <v>0</v>
      </c>
      <c r="S271" s="9">
        <f>IF($A271=VLOOKUP(YEAR($A271),'Festive dates'!$A$2:$J$5,2,FALSE),1,0)</f>
        <v>0</v>
      </c>
      <c r="T271" s="9">
        <f>IF($A271=VLOOKUP(YEAR($A271),'Festive dates'!$A$2:$J$5,3,FALSE),1,0)</f>
        <v>0</v>
      </c>
      <c r="U271" s="9">
        <f>IF($A271=VLOOKUP(YEAR($A271),'Festive dates'!$A$2:$J$5,4,FALSE),1,0)</f>
        <v>0</v>
      </c>
      <c r="V271" s="9">
        <f>IF(AND($A271&gt;=VLOOKUP(YEAR($A271),'Festive dates'!$A$2:$J$5,9,FALSE),$A271&lt;=VLOOKUP(YEAR($A271),'Festive dates'!$A$2:$J$5,10,FALSE)),1,0)</f>
        <v>0</v>
      </c>
      <c r="W271" s="9">
        <f>IF($A271=VLOOKUP(YEAR($A271),'Festive dates'!$A$2:$J$5,7,FALSE),1,0)</f>
        <v>0</v>
      </c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>
      <c r="A272" s="8">
        <v>45287</v>
      </c>
      <c r="B272" s="9">
        <v>0</v>
      </c>
      <c r="C272" s="9">
        <v>0</v>
      </c>
      <c r="D272" s="9">
        <v>0</v>
      </c>
      <c r="E272" s="9">
        <v>0</v>
      </c>
      <c r="F272" s="9">
        <v>0</v>
      </c>
      <c r="G272" s="9">
        <v>0</v>
      </c>
      <c r="H272" s="9">
        <v>0</v>
      </c>
      <c r="I272" s="9">
        <v>0</v>
      </c>
      <c r="J272" s="9">
        <v>0</v>
      </c>
      <c r="K272" s="9">
        <v>0</v>
      </c>
      <c r="L272" s="9">
        <v>0</v>
      </c>
      <c r="M272" s="9">
        <v>0</v>
      </c>
      <c r="N272" s="9">
        <v>0</v>
      </c>
      <c r="O272" s="9">
        <v>0</v>
      </c>
      <c r="P272" s="9">
        <v>0</v>
      </c>
      <c r="Q272" s="9">
        <f>MAX(-20,MIN(10,$A272-VLOOKUP(YEAR($A272),'Festive dates'!$A$2:$J$5,8,FALSE)))</f>
        <v>10</v>
      </c>
      <c r="R272" s="9">
        <f>IF(AND($A272&gt;VLOOKUP(YEAR($A272),'Festive dates'!$A$2:$J$5,2,FALSE),$A272&lt;VLOOKUP(YEAR($A272),'Festive dates'!$A$2:$J$5,3,FALSE)),1,0)</f>
        <v>0</v>
      </c>
      <c r="S272" s="9">
        <f>IF($A272=VLOOKUP(YEAR($A272),'Festive dates'!$A$2:$J$5,2,FALSE),1,0)</f>
        <v>0</v>
      </c>
      <c r="T272" s="9">
        <f>IF($A272=VLOOKUP(YEAR($A272),'Festive dates'!$A$2:$J$5,3,FALSE),1,0)</f>
        <v>0</v>
      </c>
      <c r="U272" s="9">
        <f>IF($A272=VLOOKUP(YEAR($A272),'Festive dates'!$A$2:$J$5,4,FALSE),1,0)</f>
        <v>0</v>
      </c>
      <c r="V272" s="9">
        <f>IF(AND($A272&gt;=VLOOKUP(YEAR($A272),'Festive dates'!$A$2:$J$5,9,FALSE),$A272&lt;=VLOOKUP(YEAR($A272),'Festive dates'!$A$2:$J$5,10,FALSE)),1,0)</f>
        <v>0</v>
      </c>
      <c r="W272" s="9">
        <f>IF($A272=VLOOKUP(YEAR($A272),'Festive dates'!$A$2:$J$5,7,FALSE),1,0)</f>
        <v>0</v>
      </c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>
      <c r="A273" s="8">
        <v>45288</v>
      </c>
      <c r="B273" s="9">
        <v>0</v>
      </c>
      <c r="C273" s="9">
        <v>0</v>
      </c>
      <c r="D273" s="9">
        <v>0</v>
      </c>
      <c r="E273" s="9">
        <v>0</v>
      </c>
      <c r="F273" s="9">
        <v>0</v>
      </c>
      <c r="G273" s="9">
        <v>0</v>
      </c>
      <c r="H273" s="9">
        <v>0</v>
      </c>
      <c r="I273" s="9">
        <v>0</v>
      </c>
      <c r="J273" s="9">
        <v>0</v>
      </c>
      <c r="K273" s="9">
        <v>0</v>
      </c>
      <c r="L273" s="9">
        <v>0</v>
      </c>
      <c r="M273" s="9">
        <v>0</v>
      </c>
      <c r="N273" s="9">
        <v>0</v>
      </c>
      <c r="O273" s="9">
        <v>0</v>
      </c>
      <c r="P273" s="9">
        <v>0</v>
      </c>
      <c r="Q273" s="9">
        <f>MAX(-20,MIN(10,$A273-VLOOKUP(YEAR($A273),'Festive dates'!$A$2:$J$5,8,FALSE)))</f>
        <v>10</v>
      </c>
      <c r="R273" s="9">
        <f>IF(AND($A273&gt;VLOOKUP(YEAR($A273),'Festive dates'!$A$2:$J$5,2,FALSE),$A273&lt;VLOOKUP(YEAR($A273),'Festive dates'!$A$2:$J$5,3,FALSE)),1,0)</f>
        <v>0</v>
      </c>
      <c r="S273" s="9">
        <f>IF($A273=VLOOKUP(YEAR($A273),'Festive dates'!$A$2:$J$5,2,FALSE),1,0)</f>
        <v>0</v>
      </c>
      <c r="T273" s="9">
        <f>IF($A273=VLOOKUP(YEAR($A273),'Festive dates'!$A$2:$J$5,3,FALSE),1,0)</f>
        <v>0</v>
      </c>
      <c r="U273" s="9">
        <f>IF($A273=VLOOKUP(YEAR($A273),'Festive dates'!$A$2:$J$5,4,FALSE),1,0)</f>
        <v>0</v>
      </c>
      <c r="V273" s="9">
        <f>IF(AND($A273&gt;=VLOOKUP(YEAR($A273),'Festive dates'!$A$2:$J$5,9,FALSE),$A273&lt;=VLOOKUP(YEAR($A273),'Festive dates'!$A$2:$J$5,10,FALSE)),1,0)</f>
        <v>0</v>
      </c>
      <c r="W273" s="9">
        <f>IF($A273=VLOOKUP(YEAR($A273),'Festive dates'!$A$2:$J$5,7,FALSE),1,0)</f>
        <v>0</v>
      </c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>
      <c r="A274" s="8">
        <v>45289</v>
      </c>
      <c r="B274" s="9">
        <v>0</v>
      </c>
      <c r="C274" s="9">
        <v>0</v>
      </c>
      <c r="D274" s="9">
        <v>0</v>
      </c>
      <c r="E274" s="9">
        <v>0</v>
      </c>
      <c r="F274" s="9">
        <v>0</v>
      </c>
      <c r="G274" s="9">
        <v>0</v>
      </c>
      <c r="H274" s="9">
        <v>0</v>
      </c>
      <c r="I274" s="9">
        <v>0</v>
      </c>
      <c r="J274" s="9">
        <v>0</v>
      </c>
      <c r="K274" s="9">
        <v>0</v>
      </c>
      <c r="L274" s="9">
        <v>0</v>
      </c>
      <c r="M274" s="9">
        <v>0</v>
      </c>
      <c r="N274" s="9">
        <v>0</v>
      </c>
      <c r="O274" s="9">
        <v>0</v>
      </c>
      <c r="P274" s="9">
        <v>0</v>
      </c>
      <c r="Q274" s="9">
        <f>MAX(-20,MIN(10,$A274-VLOOKUP(YEAR($A274),'Festive dates'!$A$2:$J$5,8,FALSE)))</f>
        <v>10</v>
      </c>
      <c r="R274" s="9">
        <f>IF(AND($A274&gt;VLOOKUP(YEAR($A274),'Festive dates'!$A$2:$J$5,2,FALSE),$A274&lt;VLOOKUP(YEAR($A274),'Festive dates'!$A$2:$J$5,3,FALSE)),1,0)</f>
        <v>0</v>
      </c>
      <c r="S274" s="9">
        <f>IF($A274=VLOOKUP(YEAR($A274),'Festive dates'!$A$2:$J$5,2,FALSE),1,0)</f>
        <v>0</v>
      </c>
      <c r="T274" s="9">
        <f>IF($A274=VLOOKUP(YEAR($A274),'Festive dates'!$A$2:$J$5,3,FALSE),1,0)</f>
        <v>0</v>
      </c>
      <c r="U274" s="9">
        <f>IF($A274=VLOOKUP(YEAR($A274),'Festive dates'!$A$2:$J$5,4,FALSE),1,0)</f>
        <v>0</v>
      </c>
      <c r="V274" s="9">
        <f>IF(AND($A274&gt;=VLOOKUP(YEAR($A274),'Festive dates'!$A$2:$J$5,9,FALSE),$A274&lt;=VLOOKUP(YEAR($A274),'Festive dates'!$A$2:$J$5,10,FALSE)),1,0)</f>
        <v>0</v>
      </c>
      <c r="W274" s="9">
        <f>IF($A274=VLOOKUP(YEAR($A274),'Festive dates'!$A$2:$J$5,7,FALSE),1,0)</f>
        <v>0</v>
      </c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>
      <c r="A275" s="8">
        <v>45290</v>
      </c>
      <c r="B275" s="9">
        <v>0</v>
      </c>
      <c r="C275" s="9">
        <v>0</v>
      </c>
      <c r="D275" s="9">
        <v>0</v>
      </c>
      <c r="E275" s="9">
        <v>0</v>
      </c>
      <c r="F275" s="9">
        <v>0</v>
      </c>
      <c r="G275" s="9">
        <v>0</v>
      </c>
      <c r="H275" s="9">
        <v>0</v>
      </c>
      <c r="I275" s="9">
        <v>0</v>
      </c>
      <c r="J275" s="9">
        <v>0</v>
      </c>
      <c r="K275" s="9">
        <v>0</v>
      </c>
      <c r="L275" s="9">
        <v>0</v>
      </c>
      <c r="M275" s="9">
        <v>0</v>
      </c>
      <c r="N275" s="9">
        <v>0</v>
      </c>
      <c r="O275" s="9">
        <v>0</v>
      </c>
      <c r="P275" s="9">
        <v>0</v>
      </c>
      <c r="Q275" s="9">
        <f>MAX(-20,MIN(10,$A275-VLOOKUP(YEAR($A275),'Festive dates'!$A$2:$J$5,8,FALSE)))</f>
        <v>10</v>
      </c>
      <c r="R275" s="9">
        <f>IF(AND($A275&gt;VLOOKUP(YEAR($A275),'Festive dates'!$A$2:$J$5,2,FALSE),$A275&lt;VLOOKUP(YEAR($A275),'Festive dates'!$A$2:$J$5,3,FALSE)),1,0)</f>
        <v>0</v>
      </c>
      <c r="S275" s="9">
        <f>IF($A275=VLOOKUP(YEAR($A275),'Festive dates'!$A$2:$J$5,2,FALSE),1,0)</f>
        <v>0</v>
      </c>
      <c r="T275" s="9">
        <f>IF($A275=VLOOKUP(YEAR($A275),'Festive dates'!$A$2:$J$5,3,FALSE),1,0)</f>
        <v>0</v>
      </c>
      <c r="U275" s="9">
        <f>IF($A275=VLOOKUP(YEAR($A275),'Festive dates'!$A$2:$J$5,4,FALSE),1,0)</f>
        <v>0</v>
      </c>
      <c r="V275" s="9">
        <f>IF(AND($A275&gt;=VLOOKUP(YEAR($A275),'Festive dates'!$A$2:$J$5,9,FALSE),$A275&lt;=VLOOKUP(YEAR($A275),'Festive dates'!$A$2:$J$5,10,FALSE)),1,0)</f>
        <v>0</v>
      </c>
      <c r="W275" s="9">
        <f>IF($A275=VLOOKUP(YEAR($A275),'Festive dates'!$A$2:$J$5,7,FALSE),1,0)</f>
        <v>0</v>
      </c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>
      <c r="A276" s="8">
        <v>45291</v>
      </c>
      <c r="B276" s="9">
        <v>0</v>
      </c>
      <c r="C276" s="9">
        <v>0</v>
      </c>
      <c r="D276" s="9">
        <v>0</v>
      </c>
      <c r="E276" s="9">
        <v>0</v>
      </c>
      <c r="F276" s="9">
        <v>0</v>
      </c>
      <c r="G276" s="9">
        <v>0</v>
      </c>
      <c r="H276" s="9">
        <v>0</v>
      </c>
      <c r="I276" s="9">
        <v>0</v>
      </c>
      <c r="J276" s="9">
        <v>0</v>
      </c>
      <c r="K276" s="9">
        <v>0</v>
      </c>
      <c r="L276" s="9">
        <v>0</v>
      </c>
      <c r="M276" s="9">
        <v>0</v>
      </c>
      <c r="N276" s="9">
        <v>0</v>
      </c>
      <c r="O276" s="9">
        <v>0</v>
      </c>
      <c r="P276" s="9">
        <v>0</v>
      </c>
      <c r="Q276" s="9">
        <f>MAX(-20,MIN(10,$A276-VLOOKUP(YEAR($A276),'Festive dates'!$A$2:$J$5,8,FALSE)))</f>
        <v>10</v>
      </c>
      <c r="R276" s="9">
        <f>IF(AND($A276&gt;VLOOKUP(YEAR($A276),'Festive dates'!$A$2:$J$5,2,FALSE),$A276&lt;VLOOKUP(YEAR($A276),'Festive dates'!$A$2:$J$5,3,FALSE)),1,0)</f>
        <v>0</v>
      </c>
      <c r="S276" s="9">
        <f>IF($A276=VLOOKUP(YEAR($A276),'Festive dates'!$A$2:$J$5,2,FALSE),1,0)</f>
        <v>0</v>
      </c>
      <c r="T276" s="9">
        <f>IF($A276=VLOOKUP(YEAR($A276),'Festive dates'!$A$2:$J$5,3,FALSE),1,0)</f>
        <v>0</v>
      </c>
      <c r="U276" s="9">
        <f>IF($A276=VLOOKUP(YEAR($A276),'Festive dates'!$A$2:$J$5,4,FALSE),1,0)</f>
        <v>0</v>
      </c>
      <c r="V276" s="9">
        <f>IF(AND($A276&gt;=VLOOKUP(YEAR($A276),'Festive dates'!$A$2:$J$5,9,FALSE),$A276&lt;=VLOOKUP(YEAR($A276),'Festive dates'!$A$2:$J$5,10,FALSE)),1,0)</f>
        <v>0</v>
      </c>
      <c r="W276" s="9">
        <f>IF($A276=VLOOKUP(YEAR($A276),'Festive dates'!$A$2:$J$5,7,FALSE),1,0)</f>
        <v>0</v>
      </c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>
      <c r="A277" s="8">
        <v>45292</v>
      </c>
      <c r="B277" s="9">
        <v>0</v>
      </c>
      <c r="C277" s="9">
        <v>0</v>
      </c>
      <c r="D277" s="9">
        <v>0</v>
      </c>
      <c r="E277" s="9">
        <v>0</v>
      </c>
      <c r="F277" s="9">
        <v>0</v>
      </c>
      <c r="G277" s="9">
        <v>0</v>
      </c>
      <c r="H277" s="9">
        <v>0</v>
      </c>
      <c r="I277" s="9">
        <v>0</v>
      </c>
      <c r="J277" s="9">
        <v>0</v>
      </c>
      <c r="K277" s="9">
        <v>0</v>
      </c>
      <c r="L277" s="9">
        <v>0</v>
      </c>
      <c r="M277" s="9">
        <v>0</v>
      </c>
      <c r="N277" s="9">
        <v>0</v>
      </c>
      <c r="O277" s="9">
        <v>0</v>
      </c>
      <c r="P277" s="9">
        <v>0</v>
      </c>
      <c r="Q277" s="9">
        <f>MAX(-20,MIN(10,$A277-VLOOKUP(YEAR($A277),'Festive dates'!$A$2:$J$5,8,FALSE)))</f>
        <v>-20</v>
      </c>
      <c r="R277" s="9">
        <f>IF(AND($A277&gt;VLOOKUP(YEAR($A277),'Festive dates'!$A$2:$J$5,2,FALSE),$A277&lt;VLOOKUP(YEAR($A277),'Festive dates'!$A$2:$J$5,3,FALSE)),1,0)</f>
        <v>0</v>
      </c>
      <c r="S277" s="9">
        <f>IF($A277=VLOOKUP(YEAR($A277),'Festive dates'!$A$2:$J$5,2,FALSE),1,0)</f>
        <v>0</v>
      </c>
      <c r="T277" s="9">
        <f>IF($A277=VLOOKUP(YEAR($A277),'Festive dates'!$A$2:$J$5,3,FALSE),1,0)</f>
        <v>0</v>
      </c>
      <c r="U277" s="9">
        <f>IF($A277=VLOOKUP(YEAR($A277),'Festive dates'!$A$2:$J$5,4,FALSE),1,0)</f>
        <v>0</v>
      </c>
      <c r="V277" s="9">
        <f>IF(AND($A277&gt;=VLOOKUP(YEAR($A277),'Festive dates'!$A$2:$J$5,9,FALSE),$A277&lt;=VLOOKUP(YEAR($A277),'Festive dates'!$A$2:$J$5,10,FALSE)),1,0)</f>
        <v>0</v>
      </c>
      <c r="W277" s="9">
        <f>IF($A277=VLOOKUP(YEAR($A277),'Festive dates'!$A$2:$J$5,7,FALSE),1,0)</f>
        <v>0</v>
      </c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>
      <c r="A278" s="8">
        <v>45293</v>
      </c>
      <c r="B278" s="9">
        <v>0</v>
      </c>
      <c r="C278" s="9">
        <v>0</v>
      </c>
      <c r="D278" s="9">
        <v>0</v>
      </c>
      <c r="E278" s="9">
        <v>0</v>
      </c>
      <c r="F278" s="9">
        <v>0</v>
      </c>
      <c r="G278" s="9">
        <v>0</v>
      </c>
      <c r="H278" s="9">
        <v>0</v>
      </c>
      <c r="I278" s="9">
        <v>0</v>
      </c>
      <c r="J278" s="9">
        <v>0</v>
      </c>
      <c r="K278" s="9">
        <v>0</v>
      </c>
      <c r="L278" s="9">
        <v>0</v>
      </c>
      <c r="M278" s="9">
        <v>0</v>
      </c>
      <c r="N278" s="9">
        <v>0</v>
      </c>
      <c r="O278" s="9">
        <v>0</v>
      </c>
      <c r="P278" s="9">
        <v>0</v>
      </c>
      <c r="Q278" s="9">
        <f>MAX(-20,MIN(10,$A278-VLOOKUP(YEAR($A278),'Festive dates'!$A$2:$J$5,8,FALSE)))</f>
        <v>-20</v>
      </c>
      <c r="R278" s="9">
        <f>IF(AND($A278&gt;VLOOKUP(YEAR($A278),'Festive dates'!$A$2:$J$5,2,FALSE),$A278&lt;VLOOKUP(YEAR($A278),'Festive dates'!$A$2:$J$5,3,FALSE)),1,0)</f>
        <v>0</v>
      </c>
      <c r="S278" s="9">
        <f>IF($A278=VLOOKUP(YEAR($A278),'Festive dates'!$A$2:$J$5,2,FALSE),1,0)</f>
        <v>0</v>
      </c>
      <c r="T278" s="9">
        <f>IF($A278=VLOOKUP(YEAR($A278),'Festive dates'!$A$2:$J$5,3,FALSE),1,0)</f>
        <v>0</v>
      </c>
      <c r="U278" s="9">
        <f>IF($A278=VLOOKUP(YEAR($A278),'Festive dates'!$A$2:$J$5,4,FALSE),1,0)</f>
        <v>0</v>
      </c>
      <c r="V278" s="9">
        <f>IF(AND($A278&gt;=VLOOKUP(YEAR($A278),'Festive dates'!$A$2:$J$5,9,FALSE),$A278&lt;=VLOOKUP(YEAR($A278),'Festive dates'!$A$2:$J$5,10,FALSE)),1,0)</f>
        <v>0</v>
      </c>
      <c r="W278" s="9">
        <f>IF($A278=VLOOKUP(YEAR($A278),'Festive dates'!$A$2:$J$5,7,FALSE),1,0)</f>
        <v>0</v>
      </c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>
      <c r="A279" s="8">
        <v>45294</v>
      </c>
      <c r="B279" s="9">
        <v>0</v>
      </c>
      <c r="C279" s="9">
        <v>0</v>
      </c>
      <c r="D279" s="9">
        <v>0</v>
      </c>
      <c r="E279" s="9">
        <v>0</v>
      </c>
      <c r="F279" s="9">
        <v>0</v>
      </c>
      <c r="G279" s="9">
        <v>0</v>
      </c>
      <c r="H279" s="9">
        <v>0</v>
      </c>
      <c r="I279" s="9">
        <v>0</v>
      </c>
      <c r="J279" s="9">
        <v>0</v>
      </c>
      <c r="K279" s="9">
        <v>0</v>
      </c>
      <c r="L279" s="9">
        <v>0</v>
      </c>
      <c r="M279" s="9">
        <v>0</v>
      </c>
      <c r="N279" s="9">
        <v>0</v>
      </c>
      <c r="O279" s="9">
        <v>0</v>
      </c>
      <c r="P279" s="9">
        <v>0</v>
      </c>
      <c r="Q279" s="9">
        <f>MAX(-20,MIN(10,$A279-VLOOKUP(YEAR($A279),'Festive dates'!$A$2:$J$5,8,FALSE)))</f>
        <v>-20</v>
      </c>
      <c r="R279" s="9">
        <f>IF(AND($A279&gt;VLOOKUP(YEAR($A279),'Festive dates'!$A$2:$J$5,2,FALSE),$A279&lt;VLOOKUP(YEAR($A279),'Festive dates'!$A$2:$J$5,3,FALSE)),1,0)</f>
        <v>0</v>
      </c>
      <c r="S279" s="9">
        <f>IF($A279=VLOOKUP(YEAR($A279),'Festive dates'!$A$2:$J$5,2,FALSE),1,0)</f>
        <v>0</v>
      </c>
      <c r="T279" s="9">
        <f>IF($A279=VLOOKUP(YEAR($A279),'Festive dates'!$A$2:$J$5,3,FALSE),1,0)</f>
        <v>0</v>
      </c>
      <c r="U279" s="9">
        <f>IF($A279=VLOOKUP(YEAR($A279),'Festive dates'!$A$2:$J$5,4,FALSE),1,0)</f>
        <v>0</v>
      </c>
      <c r="V279" s="9">
        <f>IF(AND($A279&gt;=VLOOKUP(YEAR($A279),'Festive dates'!$A$2:$J$5,9,FALSE),$A279&lt;=VLOOKUP(YEAR($A279),'Festive dates'!$A$2:$J$5,10,FALSE)),1,0)</f>
        <v>0</v>
      </c>
      <c r="W279" s="9">
        <f>IF($A279=VLOOKUP(YEAR($A279),'Festive dates'!$A$2:$J$5,7,FALSE),1,0)</f>
        <v>0</v>
      </c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>
      <c r="A280" s="8">
        <v>45295</v>
      </c>
      <c r="B280" s="9">
        <v>0</v>
      </c>
      <c r="C280" s="9">
        <v>0</v>
      </c>
      <c r="D280" s="9">
        <v>0</v>
      </c>
      <c r="E280" s="9">
        <v>0</v>
      </c>
      <c r="F280" s="9">
        <v>0</v>
      </c>
      <c r="G280" s="9">
        <v>0</v>
      </c>
      <c r="H280" s="9">
        <v>0</v>
      </c>
      <c r="I280" s="9">
        <v>0</v>
      </c>
      <c r="J280" s="9">
        <v>0</v>
      </c>
      <c r="K280" s="9">
        <v>0</v>
      </c>
      <c r="L280" s="9">
        <v>0</v>
      </c>
      <c r="M280" s="9">
        <v>0</v>
      </c>
      <c r="N280" s="9">
        <v>0</v>
      </c>
      <c r="O280" s="9">
        <v>0</v>
      </c>
      <c r="P280" s="9">
        <v>0</v>
      </c>
      <c r="Q280" s="9">
        <f>MAX(-20,MIN(10,$A280-VLOOKUP(YEAR($A280),'Festive dates'!$A$2:$J$5,8,FALSE)))</f>
        <v>-20</v>
      </c>
      <c r="R280" s="9">
        <f>IF(AND($A280&gt;VLOOKUP(YEAR($A280),'Festive dates'!$A$2:$J$5,2,FALSE),$A280&lt;VLOOKUP(YEAR($A280),'Festive dates'!$A$2:$J$5,3,FALSE)),1,0)</f>
        <v>0</v>
      </c>
      <c r="S280" s="9">
        <f>IF($A280=VLOOKUP(YEAR($A280),'Festive dates'!$A$2:$J$5,2,FALSE),1,0)</f>
        <v>0</v>
      </c>
      <c r="T280" s="9">
        <f>IF($A280=VLOOKUP(YEAR($A280),'Festive dates'!$A$2:$J$5,3,FALSE),1,0)</f>
        <v>0</v>
      </c>
      <c r="U280" s="9">
        <f>IF($A280=VLOOKUP(YEAR($A280),'Festive dates'!$A$2:$J$5,4,FALSE),1,0)</f>
        <v>0</v>
      </c>
      <c r="V280" s="9">
        <f>IF(AND($A280&gt;=VLOOKUP(YEAR($A280),'Festive dates'!$A$2:$J$5,9,FALSE),$A280&lt;=VLOOKUP(YEAR($A280),'Festive dates'!$A$2:$J$5,10,FALSE)),1,0)</f>
        <v>0</v>
      </c>
      <c r="W280" s="9">
        <f>IF($A280=VLOOKUP(YEAR($A280),'Festive dates'!$A$2:$J$5,7,FALSE),1,0)</f>
        <v>0</v>
      </c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>
      <c r="A281" s="8">
        <v>45296</v>
      </c>
      <c r="B281" s="9">
        <v>0</v>
      </c>
      <c r="C281" s="9">
        <v>0</v>
      </c>
      <c r="D281" s="9">
        <v>0</v>
      </c>
      <c r="E281" s="9">
        <v>0</v>
      </c>
      <c r="F281" s="9">
        <v>0</v>
      </c>
      <c r="G281" s="9">
        <v>0</v>
      </c>
      <c r="H281" s="9">
        <v>0</v>
      </c>
      <c r="I281" s="9">
        <v>0</v>
      </c>
      <c r="J281" s="9">
        <v>0</v>
      </c>
      <c r="K281" s="9">
        <v>0</v>
      </c>
      <c r="L281" s="9">
        <v>0</v>
      </c>
      <c r="M281" s="9">
        <v>0</v>
      </c>
      <c r="N281" s="9">
        <v>0</v>
      </c>
      <c r="O281" s="9">
        <v>0</v>
      </c>
      <c r="P281" s="9">
        <v>0</v>
      </c>
      <c r="Q281" s="9">
        <f>MAX(-20,MIN(10,$A281-VLOOKUP(YEAR($A281),'Festive dates'!$A$2:$J$5,8,FALSE)))</f>
        <v>-20</v>
      </c>
      <c r="R281" s="9">
        <f>IF(AND($A281&gt;VLOOKUP(YEAR($A281),'Festive dates'!$A$2:$J$5,2,FALSE),$A281&lt;VLOOKUP(YEAR($A281),'Festive dates'!$A$2:$J$5,3,FALSE)),1,0)</f>
        <v>0</v>
      </c>
      <c r="S281" s="9">
        <f>IF($A281=VLOOKUP(YEAR($A281),'Festive dates'!$A$2:$J$5,2,FALSE),1,0)</f>
        <v>0</v>
      </c>
      <c r="T281" s="9">
        <f>IF($A281=VLOOKUP(YEAR($A281),'Festive dates'!$A$2:$J$5,3,FALSE),1,0)</f>
        <v>0</v>
      </c>
      <c r="U281" s="9">
        <f>IF($A281=VLOOKUP(YEAR($A281),'Festive dates'!$A$2:$J$5,4,FALSE),1,0)</f>
        <v>0</v>
      </c>
      <c r="V281" s="9">
        <f>IF(AND($A281&gt;=VLOOKUP(YEAR($A281),'Festive dates'!$A$2:$J$5,9,FALSE),$A281&lt;=VLOOKUP(YEAR($A281),'Festive dates'!$A$2:$J$5,10,FALSE)),1,0)</f>
        <v>0</v>
      </c>
      <c r="W281" s="9">
        <f>IF($A281=VLOOKUP(YEAR($A281),'Festive dates'!$A$2:$J$5,7,FALSE),1,0)</f>
        <v>0</v>
      </c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>
      <c r="A282" s="8">
        <v>45297</v>
      </c>
      <c r="B282" s="9">
        <v>0</v>
      </c>
      <c r="C282" s="9">
        <v>0</v>
      </c>
      <c r="D282" s="9">
        <v>0</v>
      </c>
      <c r="E282" s="9">
        <v>0</v>
      </c>
      <c r="F282" s="9">
        <v>0</v>
      </c>
      <c r="G282" s="9">
        <v>0</v>
      </c>
      <c r="H282" s="9">
        <v>0</v>
      </c>
      <c r="I282" s="9">
        <v>0</v>
      </c>
      <c r="J282" s="9">
        <v>0</v>
      </c>
      <c r="K282" s="9">
        <v>0</v>
      </c>
      <c r="L282" s="9">
        <v>0</v>
      </c>
      <c r="M282" s="9">
        <v>0</v>
      </c>
      <c r="N282" s="9">
        <v>0</v>
      </c>
      <c r="O282" s="9">
        <v>0</v>
      </c>
      <c r="P282" s="9">
        <v>0</v>
      </c>
      <c r="Q282" s="9">
        <f>MAX(-20,MIN(10,$A282-VLOOKUP(YEAR($A282),'Festive dates'!$A$2:$J$5,8,FALSE)))</f>
        <v>-20</v>
      </c>
      <c r="R282" s="9">
        <f>IF(AND($A282&gt;VLOOKUP(YEAR($A282),'Festive dates'!$A$2:$J$5,2,FALSE),$A282&lt;VLOOKUP(YEAR($A282),'Festive dates'!$A$2:$J$5,3,FALSE)),1,0)</f>
        <v>0</v>
      </c>
      <c r="S282" s="9">
        <f>IF($A282=VLOOKUP(YEAR($A282),'Festive dates'!$A$2:$J$5,2,FALSE),1,0)</f>
        <v>0</v>
      </c>
      <c r="T282" s="9">
        <f>IF($A282=VLOOKUP(YEAR($A282),'Festive dates'!$A$2:$J$5,3,FALSE),1,0)</f>
        <v>0</v>
      </c>
      <c r="U282" s="9">
        <f>IF($A282=VLOOKUP(YEAR($A282),'Festive dates'!$A$2:$J$5,4,FALSE),1,0)</f>
        <v>0</v>
      </c>
      <c r="V282" s="9">
        <f>IF(AND($A282&gt;=VLOOKUP(YEAR($A282),'Festive dates'!$A$2:$J$5,9,FALSE),$A282&lt;=VLOOKUP(YEAR($A282),'Festive dates'!$A$2:$J$5,10,FALSE)),1,0)</f>
        <v>0</v>
      </c>
      <c r="W282" s="9">
        <f>IF($A282=VLOOKUP(YEAR($A282),'Festive dates'!$A$2:$J$5,7,FALSE),1,0)</f>
        <v>0</v>
      </c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>
      <c r="A283" s="8">
        <v>45298</v>
      </c>
      <c r="B283" s="9">
        <v>0</v>
      </c>
      <c r="C283" s="9">
        <v>0</v>
      </c>
      <c r="D283" s="9">
        <v>0</v>
      </c>
      <c r="E283" s="9">
        <v>0</v>
      </c>
      <c r="F283" s="9">
        <v>0</v>
      </c>
      <c r="G283" s="9">
        <v>0</v>
      </c>
      <c r="H283" s="9">
        <v>0</v>
      </c>
      <c r="I283" s="9">
        <v>0</v>
      </c>
      <c r="J283" s="9">
        <v>0</v>
      </c>
      <c r="K283" s="9">
        <v>0</v>
      </c>
      <c r="L283" s="9">
        <v>0</v>
      </c>
      <c r="M283" s="9">
        <v>0</v>
      </c>
      <c r="N283" s="9">
        <v>0</v>
      </c>
      <c r="O283" s="9">
        <v>0</v>
      </c>
      <c r="P283" s="9">
        <v>0</v>
      </c>
      <c r="Q283" s="9">
        <f>MAX(-20,MIN(10,$A283-VLOOKUP(YEAR($A283),'Festive dates'!$A$2:$J$5,8,FALSE)))</f>
        <v>-20</v>
      </c>
      <c r="R283" s="9">
        <f>IF(AND($A283&gt;VLOOKUP(YEAR($A283),'Festive dates'!$A$2:$J$5,2,FALSE),$A283&lt;VLOOKUP(YEAR($A283),'Festive dates'!$A$2:$J$5,3,FALSE)),1,0)</f>
        <v>0</v>
      </c>
      <c r="S283" s="9">
        <f>IF($A283=VLOOKUP(YEAR($A283),'Festive dates'!$A$2:$J$5,2,FALSE),1,0)</f>
        <v>0</v>
      </c>
      <c r="T283" s="9">
        <f>IF($A283=VLOOKUP(YEAR($A283),'Festive dates'!$A$2:$J$5,3,FALSE),1,0)</f>
        <v>0</v>
      </c>
      <c r="U283" s="9">
        <f>IF($A283=VLOOKUP(YEAR($A283),'Festive dates'!$A$2:$J$5,4,FALSE),1,0)</f>
        <v>0</v>
      </c>
      <c r="V283" s="9">
        <f>IF(AND($A283&gt;=VLOOKUP(YEAR($A283),'Festive dates'!$A$2:$J$5,9,FALSE),$A283&lt;=VLOOKUP(YEAR($A283),'Festive dates'!$A$2:$J$5,10,FALSE)),1,0)</f>
        <v>0</v>
      </c>
      <c r="W283" s="9">
        <f>IF($A283=VLOOKUP(YEAR($A283),'Festive dates'!$A$2:$J$5,7,FALSE),1,0)</f>
        <v>0</v>
      </c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>
      <c r="A284" s="8">
        <v>45299</v>
      </c>
      <c r="B284" s="9">
        <v>0</v>
      </c>
      <c r="C284" s="9">
        <v>0</v>
      </c>
      <c r="D284" s="9">
        <v>0</v>
      </c>
      <c r="E284" s="9">
        <v>0</v>
      </c>
      <c r="F284" s="9">
        <v>0</v>
      </c>
      <c r="G284" s="9">
        <v>0</v>
      </c>
      <c r="H284" s="9">
        <v>0</v>
      </c>
      <c r="I284" s="9">
        <v>0</v>
      </c>
      <c r="J284" s="9">
        <v>0</v>
      </c>
      <c r="K284" s="9">
        <v>0</v>
      </c>
      <c r="L284" s="9">
        <v>0</v>
      </c>
      <c r="M284" s="9">
        <v>0</v>
      </c>
      <c r="N284" s="9">
        <v>0</v>
      </c>
      <c r="O284" s="9">
        <v>0</v>
      </c>
      <c r="P284" s="9">
        <v>0</v>
      </c>
      <c r="Q284" s="9">
        <f>MAX(-20,MIN(10,$A284-VLOOKUP(YEAR($A284),'Festive dates'!$A$2:$J$5,8,FALSE)))</f>
        <v>-20</v>
      </c>
      <c r="R284" s="9">
        <f>IF(AND($A284&gt;VLOOKUP(YEAR($A284),'Festive dates'!$A$2:$J$5,2,FALSE),$A284&lt;VLOOKUP(YEAR($A284),'Festive dates'!$A$2:$J$5,3,FALSE)),1,0)</f>
        <v>0</v>
      </c>
      <c r="S284" s="9">
        <f>IF($A284=VLOOKUP(YEAR($A284),'Festive dates'!$A$2:$J$5,2,FALSE),1,0)</f>
        <v>0</v>
      </c>
      <c r="T284" s="9">
        <f>IF($A284=VLOOKUP(YEAR($A284),'Festive dates'!$A$2:$J$5,3,FALSE),1,0)</f>
        <v>0</v>
      </c>
      <c r="U284" s="9">
        <f>IF($A284=VLOOKUP(YEAR($A284),'Festive dates'!$A$2:$J$5,4,FALSE),1,0)</f>
        <v>0</v>
      </c>
      <c r="V284" s="9">
        <f>IF(AND($A284&gt;=VLOOKUP(YEAR($A284),'Festive dates'!$A$2:$J$5,9,FALSE),$A284&lt;=VLOOKUP(YEAR($A284),'Festive dates'!$A$2:$J$5,10,FALSE)),1,0)</f>
        <v>0</v>
      </c>
      <c r="W284" s="9">
        <f>IF($A284=VLOOKUP(YEAR($A284),'Festive dates'!$A$2:$J$5,7,FALSE),1,0)</f>
        <v>0</v>
      </c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>
      <c r="A285" s="8">
        <v>45300</v>
      </c>
      <c r="B285" s="9">
        <v>0</v>
      </c>
      <c r="C285" s="9">
        <v>0</v>
      </c>
      <c r="D285" s="9">
        <v>0</v>
      </c>
      <c r="E285" s="9">
        <v>0</v>
      </c>
      <c r="F285" s="9">
        <v>0</v>
      </c>
      <c r="G285" s="9">
        <v>0</v>
      </c>
      <c r="H285" s="9">
        <v>0</v>
      </c>
      <c r="I285" s="9">
        <v>0</v>
      </c>
      <c r="J285" s="9">
        <v>0</v>
      </c>
      <c r="K285" s="9">
        <v>0</v>
      </c>
      <c r="L285" s="9">
        <v>0</v>
      </c>
      <c r="M285" s="9">
        <v>0</v>
      </c>
      <c r="N285" s="9">
        <v>0</v>
      </c>
      <c r="O285" s="9">
        <v>0</v>
      </c>
      <c r="P285" s="9">
        <v>1</v>
      </c>
      <c r="Q285" s="9">
        <f>MAX(-20,MIN(10,$A285-VLOOKUP(YEAR($A285),'Festive dates'!$A$2:$J$5,8,FALSE)))</f>
        <v>-20</v>
      </c>
      <c r="R285" s="9">
        <f>IF(AND($A285&gt;VLOOKUP(YEAR($A285),'Festive dates'!$A$2:$J$5,2,FALSE),$A285&lt;VLOOKUP(YEAR($A285),'Festive dates'!$A$2:$J$5,3,FALSE)),1,0)</f>
        <v>0</v>
      </c>
      <c r="S285" s="9">
        <f>IF($A285=VLOOKUP(YEAR($A285),'Festive dates'!$A$2:$J$5,2,FALSE),1,0)</f>
        <v>0</v>
      </c>
      <c r="T285" s="9">
        <f>IF($A285=VLOOKUP(YEAR($A285),'Festive dates'!$A$2:$J$5,3,FALSE),1,0)</f>
        <v>0</v>
      </c>
      <c r="U285" s="9">
        <f>IF($A285=VLOOKUP(YEAR($A285),'Festive dates'!$A$2:$J$5,4,FALSE),1,0)</f>
        <v>0</v>
      </c>
      <c r="V285" s="9">
        <f>IF(AND($A285&gt;=VLOOKUP(YEAR($A285),'Festive dates'!$A$2:$J$5,9,FALSE),$A285&lt;=VLOOKUP(YEAR($A285),'Festive dates'!$A$2:$J$5,10,FALSE)),1,0)</f>
        <v>0</v>
      </c>
      <c r="W285" s="9">
        <f>IF($A285=VLOOKUP(YEAR($A285),'Festive dates'!$A$2:$J$5,7,FALSE),1,0)</f>
        <v>0</v>
      </c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>
      <c r="A286" s="8">
        <v>45301</v>
      </c>
      <c r="B286" s="9">
        <v>0</v>
      </c>
      <c r="C286" s="9">
        <v>0</v>
      </c>
      <c r="D286" s="9">
        <v>0</v>
      </c>
      <c r="E286" s="9">
        <v>0</v>
      </c>
      <c r="F286" s="9">
        <v>0</v>
      </c>
      <c r="G286" s="9">
        <v>0</v>
      </c>
      <c r="H286" s="9">
        <v>0</v>
      </c>
      <c r="I286" s="9">
        <v>0</v>
      </c>
      <c r="J286" s="9">
        <v>0</v>
      </c>
      <c r="K286" s="9">
        <v>0</v>
      </c>
      <c r="L286" s="9">
        <v>0</v>
      </c>
      <c r="M286" s="9">
        <v>0</v>
      </c>
      <c r="N286" s="9">
        <v>0</v>
      </c>
      <c r="O286" s="9">
        <v>0</v>
      </c>
      <c r="P286" s="9">
        <v>1</v>
      </c>
      <c r="Q286" s="9">
        <f>MAX(-20,MIN(10,$A286-VLOOKUP(YEAR($A286),'Festive dates'!$A$2:$J$5,8,FALSE)))</f>
        <v>-20</v>
      </c>
      <c r="R286" s="9">
        <f>IF(AND($A286&gt;VLOOKUP(YEAR($A286),'Festive dates'!$A$2:$J$5,2,FALSE),$A286&lt;VLOOKUP(YEAR($A286),'Festive dates'!$A$2:$J$5,3,FALSE)),1,0)</f>
        <v>0</v>
      </c>
      <c r="S286" s="9">
        <f>IF($A286=VLOOKUP(YEAR($A286),'Festive dates'!$A$2:$J$5,2,FALSE),1,0)</f>
        <v>0</v>
      </c>
      <c r="T286" s="9">
        <f>IF($A286=VLOOKUP(YEAR($A286),'Festive dates'!$A$2:$J$5,3,FALSE),1,0)</f>
        <v>0</v>
      </c>
      <c r="U286" s="9">
        <f>IF($A286=VLOOKUP(YEAR($A286),'Festive dates'!$A$2:$J$5,4,FALSE),1,0)</f>
        <v>0</v>
      </c>
      <c r="V286" s="9">
        <f>IF(AND($A286&gt;=VLOOKUP(YEAR($A286),'Festive dates'!$A$2:$J$5,9,FALSE),$A286&lt;=VLOOKUP(YEAR($A286),'Festive dates'!$A$2:$J$5,10,FALSE)),1,0)</f>
        <v>0</v>
      </c>
      <c r="W286" s="9">
        <f>IF($A286=VLOOKUP(YEAR($A286),'Festive dates'!$A$2:$J$5,7,FALSE),1,0)</f>
        <v>0</v>
      </c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>
      <c r="A287" s="8">
        <v>45302</v>
      </c>
      <c r="B287" s="9">
        <v>0</v>
      </c>
      <c r="C287" s="9">
        <v>0</v>
      </c>
      <c r="D287" s="9">
        <v>0</v>
      </c>
      <c r="E287" s="9">
        <v>0</v>
      </c>
      <c r="F287" s="9">
        <v>0</v>
      </c>
      <c r="G287" s="9">
        <v>0</v>
      </c>
      <c r="H287" s="9">
        <v>0</v>
      </c>
      <c r="I287" s="9">
        <v>0</v>
      </c>
      <c r="J287" s="9">
        <v>0</v>
      </c>
      <c r="K287" s="9">
        <v>0</v>
      </c>
      <c r="L287" s="9">
        <v>0</v>
      </c>
      <c r="M287" s="9">
        <v>0</v>
      </c>
      <c r="N287" s="9">
        <v>0</v>
      </c>
      <c r="O287" s="9">
        <v>0</v>
      </c>
      <c r="P287" s="9">
        <v>0</v>
      </c>
      <c r="Q287" s="9">
        <f>MAX(-20,MIN(10,$A287-VLOOKUP(YEAR($A287),'Festive dates'!$A$2:$J$5,8,FALSE)))</f>
        <v>-20</v>
      </c>
      <c r="R287" s="9">
        <f>IF(AND($A287&gt;VLOOKUP(YEAR($A287),'Festive dates'!$A$2:$J$5,2,FALSE),$A287&lt;VLOOKUP(YEAR($A287),'Festive dates'!$A$2:$J$5,3,FALSE)),1,0)</f>
        <v>0</v>
      </c>
      <c r="S287" s="9">
        <f>IF($A287=VLOOKUP(YEAR($A287),'Festive dates'!$A$2:$J$5,2,FALSE),1,0)</f>
        <v>0</v>
      </c>
      <c r="T287" s="9">
        <f>IF($A287=VLOOKUP(YEAR($A287),'Festive dates'!$A$2:$J$5,3,FALSE),1,0)</f>
        <v>0</v>
      </c>
      <c r="U287" s="9">
        <f>IF($A287=VLOOKUP(YEAR($A287),'Festive dates'!$A$2:$J$5,4,FALSE),1,0)</f>
        <v>0</v>
      </c>
      <c r="V287" s="9">
        <f>IF(AND($A287&gt;=VLOOKUP(YEAR($A287),'Festive dates'!$A$2:$J$5,9,FALSE),$A287&lt;=VLOOKUP(YEAR($A287),'Festive dates'!$A$2:$J$5,10,FALSE)),1,0)</f>
        <v>0</v>
      </c>
      <c r="W287" s="9">
        <f>IF($A287=VLOOKUP(YEAR($A287),'Festive dates'!$A$2:$J$5,7,FALSE),1,0)</f>
        <v>0</v>
      </c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>
      <c r="A288" s="8">
        <v>45303</v>
      </c>
      <c r="B288" s="9">
        <v>0</v>
      </c>
      <c r="C288" s="9">
        <v>0</v>
      </c>
      <c r="D288" s="9">
        <v>0</v>
      </c>
      <c r="E288" s="9">
        <v>0</v>
      </c>
      <c r="F288" s="9">
        <v>0</v>
      </c>
      <c r="G288" s="9">
        <v>0</v>
      </c>
      <c r="H288" s="9">
        <v>0</v>
      </c>
      <c r="I288" s="9">
        <v>0</v>
      </c>
      <c r="J288" s="9">
        <v>0</v>
      </c>
      <c r="K288" s="9">
        <v>0</v>
      </c>
      <c r="L288" s="9">
        <v>0</v>
      </c>
      <c r="M288" s="9">
        <v>0</v>
      </c>
      <c r="N288" s="9">
        <v>0</v>
      </c>
      <c r="O288" s="9">
        <v>0</v>
      </c>
      <c r="P288" s="9">
        <v>0</v>
      </c>
      <c r="Q288" s="9">
        <f>MAX(-20,MIN(10,$A288-VLOOKUP(YEAR($A288),'Festive dates'!$A$2:$J$5,8,FALSE)))</f>
        <v>-20</v>
      </c>
      <c r="R288" s="9">
        <f>IF(AND($A288&gt;VLOOKUP(YEAR($A288),'Festive dates'!$A$2:$J$5,2,FALSE),$A288&lt;VLOOKUP(YEAR($A288),'Festive dates'!$A$2:$J$5,3,FALSE)),1,0)</f>
        <v>0</v>
      </c>
      <c r="S288" s="9">
        <f>IF($A288=VLOOKUP(YEAR($A288),'Festive dates'!$A$2:$J$5,2,FALSE),1,0)</f>
        <v>0</v>
      </c>
      <c r="T288" s="9">
        <f>IF($A288=VLOOKUP(YEAR($A288),'Festive dates'!$A$2:$J$5,3,FALSE),1,0)</f>
        <v>0</v>
      </c>
      <c r="U288" s="9">
        <f>IF($A288=VLOOKUP(YEAR($A288),'Festive dates'!$A$2:$J$5,4,FALSE),1,0)</f>
        <v>0</v>
      </c>
      <c r="V288" s="9">
        <f>IF(AND($A288&gt;=VLOOKUP(YEAR($A288),'Festive dates'!$A$2:$J$5,9,FALSE),$A288&lt;=VLOOKUP(YEAR($A288),'Festive dates'!$A$2:$J$5,10,FALSE)),1,0)</f>
        <v>0</v>
      </c>
      <c r="W288" s="9">
        <f>IF($A288=VLOOKUP(YEAR($A288),'Festive dates'!$A$2:$J$5,7,FALSE),1,0)</f>
        <v>0</v>
      </c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>
      <c r="A289" s="8">
        <v>45304</v>
      </c>
      <c r="B289" s="9">
        <v>0</v>
      </c>
      <c r="C289" s="9">
        <v>0</v>
      </c>
      <c r="D289" s="9">
        <v>0</v>
      </c>
      <c r="E289" s="9">
        <v>0</v>
      </c>
      <c r="F289" s="9">
        <v>0</v>
      </c>
      <c r="G289" s="9">
        <v>0</v>
      </c>
      <c r="H289" s="9">
        <v>0</v>
      </c>
      <c r="I289" s="9">
        <v>0</v>
      </c>
      <c r="J289" s="9">
        <v>0</v>
      </c>
      <c r="K289" s="9">
        <v>0</v>
      </c>
      <c r="L289" s="9">
        <v>0</v>
      </c>
      <c r="M289" s="9">
        <v>0</v>
      </c>
      <c r="N289" s="9">
        <v>0</v>
      </c>
      <c r="O289" s="9">
        <v>0</v>
      </c>
      <c r="P289" s="9">
        <v>1</v>
      </c>
      <c r="Q289" s="9">
        <f>MAX(-20,MIN(10,$A289-VLOOKUP(YEAR($A289),'Festive dates'!$A$2:$J$5,8,FALSE)))</f>
        <v>-20</v>
      </c>
      <c r="R289" s="9">
        <f>IF(AND($A289&gt;VLOOKUP(YEAR($A289),'Festive dates'!$A$2:$J$5,2,FALSE),$A289&lt;VLOOKUP(YEAR($A289),'Festive dates'!$A$2:$J$5,3,FALSE)),1,0)</f>
        <v>0</v>
      </c>
      <c r="S289" s="9">
        <f>IF($A289=VLOOKUP(YEAR($A289),'Festive dates'!$A$2:$J$5,2,FALSE),1,0)</f>
        <v>0</v>
      </c>
      <c r="T289" s="9">
        <f>IF($A289=VLOOKUP(YEAR($A289),'Festive dates'!$A$2:$J$5,3,FALSE),1,0)</f>
        <v>0</v>
      </c>
      <c r="U289" s="9">
        <f>IF($A289=VLOOKUP(YEAR($A289),'Festive dates'!$A$2:$J$5,4,FALSE),1,0)</f>
        <v>0</v>
      </c>
      <c r="V289" s="9">
        <f>IF(AND($A289&gt;=VLOOKUP(YEAR($A289),'Festive dates'!$A$2:$J$5,9,FALSE),$A289&lt;=VLOOKUP(YEAR($A289),'Festive dates'!$A$2:$J$5,10,FALSE)),1,0)</f>
        <v>0</v>
      </c>
      <c r="W289" s="9">
        <f>IF($A289=VLOOKUP(YEAR($A289),'Festive dates'!$A$2:$J$5,7,FALSE),1,0)</f>
        <v>0</v>
      </c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>
      <c r="A290" s="8">
        <v>45305</v>
      </c>
      <c r="B290" s="9">
        <v>0</v>
      </c>
      <c r="C290" s="9">
        <v>0</v>
      </c>
      <c r="D290" s="9">
        <v>0</v>
      </c>
      <c r="E290" s="9">
        <v>0</v>
      </c>
      <c r="F290" s="9">
        <v>0</v>
      </c>
      <c r="G290" s="9">
        <v>0</v>
      </c>
      <c r="H290" s="9">
        <v>0</v>
      </c>
      <c r="I290" s="9">
        <v>0</v>
      </c>
      <c r="J290" s="9">
        <v>0</v>
      </c>
      <c r="K290" s="9">
        <v>0</v>
      </c>
      <c r="L290" s="9">
        <v>0</v>
      </c>
      <c r="M290" s="9">
        <v>0</v>
      </c>
      <c r="N290" s="9">
        <v>0</v>
      </c>
      <c r="O290" s="9">
        <v>0</v>
      </c>
      <c r="P290" s="9">
        <v>1</v>
      </c>
      <c r="Q290" s="9">
        <f>MAX(-20,MIN(10,$A290-VLOOKUP(YEAR($A290),'Festive dates'!$A$2:$J$5,8,FALSE)))</f>
        <v>-20</v>
      </c>
      <c r="R290" s="9">
        <f>IF(AND($A290&gt;VLOOKUP(YEAR($A290),'Festive dates'!$A$2:$J$5,2,FALSE),$A290&lt;VLOOKUP(YEAR($A290),'Festive dates'!$A$2:$J$5,3,FALSE)),1,0)</f>
        <v>0</v>
      </c>
      <c r="S290" s="9">
        <f>IF($A290=VLOOKUP(YEAR($A290),'Festive dates'!$A$2:$J$5,2,FALSE),1,0)</f>
        <v>0</v>
      </c>
      <c r="T290" s="9">
        <f>IF($A290=VLOOKUP(YEAR($A290),'Festive dates'!$A$2:$J$5,3,FALSE),1,0)</f>
        <v>0</v>
      </c>
      <c r="U290" s="9">
        <f>IF($A290=VLOOKUP(YEAR($A290),'Festive dates'!$A$2:$J$5,4,FALSE),1,0)</f>
        <v>0</v>
      </c>
      <c r="V290" s="9">
        <f>IF(AND($A290&gt;=VLOOKUP(YEAR($A290),'Festive dates'!$A$2:$J$5,9,FALSE),$A290&lt;=VLOOKUP(YEAR($A290),'Festive dates'!$A$2:$J$5,10,FALSE)),1,0)</f>
        <v>0</v>
      </c>
      <c r="W290" s="9">
        <f>IF($A290=VLOOKUP(YEAR($A290),'Festive dates'!$A$2:$J$5,7,FALSE),1,0)</f>
        <v>0</v>
      </c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>
      <c r="A291" s="8">
        <v>45306</v>
      </c>
      <c r="B291" s="9">
        <v>0</v>
      </c>
      <c r="C291" s="9">
        <v>0</v>
      </c>
      <c r="D291" s="9">
        <v>0</v>
      </c>
      <c r="E291" s="9">
        <v>0</v>
      </c>
      <c r="F291" s="9">
        <v>0</v>
      </c>
      <c r="G291" s="9">
        <v>0</v>
      </c>
      <c r="H291" s="9">
        <v>0</v>
      </c>
      <c r="I291" s="9">
        <v>0</v>
      </c>
      <c r="J291" s="9">
        <v>0</v>
      </c>
      <c r="K291" s="9">
        <v>0</v>
      </c>
      <c r="L291" s="9">
        <v>0</v>
      </c>
      <c r="M291" s="9">
        <v>0</v>
      </c>
      <c r="N291" s="9">
        <v>0</v>
      </c>
      <c r="O291" s="9">
        <v>0</v>
      </c>
      <c r="P291" s="9">
        <v>1</v>
      </c>
      <c r="Q291" s="9">
        <f>MAX(-20,MIN(10,$A291-VLOOKUP(YEAR($A291),'Festive dates'!$A$2:$J$5,8,FALSE)))</f>
        <v>-20</v>
      </c>
      <c r="R291" s="9">
        <f>IF(AND($A291&gt;VLOOKUP(YEAR($A291),'Festive dates'!$A$2:$J$5,2,FALSE),$A291&lt;VLOOKUP(YEAR($A291),'Festive dates'!$A$2:$J$5,3,FALSE)),1,0)</f>
        <v>0</v>
      </c>
      <c r="S291" s="9">
        <f>IF($A291=VLOOKUP(YEAR($A291),'Festive dates'!$A$2:$J$5,2,FALSE),1,0)</f>
        <v>0</v>
      </c>
      <c r="T291" s="9">
        <f>IF($A291=VLOOKUP(YEAR($A291),'Festive dates'!$A$2:$J$5,3,FALSE),1,0)</f>
        <v>0</v>
      </c>
      <c r="U291" s="9">
        <f>IF($A291=VLOOKUP(YEAR($A291),'Festive dates'!$A$2:$J$5,4,FALSE),1,0)</f>
        <v>0</v>
      </c>
      <c r="V291" s="9">
        <f>IF(AND($A291&gt;=VLOOKUP(YEAR($A291),'Festive dates'!$A$2:$J$5,9,FALSE),$A291&lt;=VLOOKUP(YEAR($A291),'Festive dates'!$A$2:$J$5,10,FALSE)),1,0)</f>
        <v>0</v>
      </c>
      <c r="W291" s="9">
        <f>IF($A291=VLOOKUP(YEAR($A291),'Festive dates'!$A$2:$J$5,7,FALSE),1,0)</f>
        <v>0</v>
      </c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>
      <c r="A292" s="8">
        <v>45307</v>
      </c>
      <c r="B292" s="9">
        <v>0</v>
      </c>
      <c r="C292" s="9">
        <v>0</v>
      </c>
      <c r="D292" s="9">
        <v>0</v>
      </c>
      <c r="E292" s="9">
        <v>0</v>
      </c>
      <c r="F292" s="9">
        <v>0</v>
      </c>
      <c r="G292" s="9">
        <v>0</v>
      </c>
      <c r="H292" s="9">
        <v>0</v>
      </c>
      <c r="I292" s="9">
        <v>0</v>
      </c>
      <c r="J292" s="9">
        <v>0</v>
      </c>
      <c r="K292" s="9">
        <v>0</v>
      </c>
      <c r="L292" s="9">
        <v>0</v>
      </c>
      <c r="M292" s="9">
        <v>0</v>
      </c>
      <c r="N292" s="9">
        <v>0</v>
      </c>
      <c r="O292" s="9">
        <v>0</v>
      </c>
      <c r="P292" s="9">
        <v>0</v>
      </c>
      <c r="Q292" s="9">
        <f>MAX(-20,MIN(10,$A292-VLOOKUP(YEAR($A292),'Festive dates'!$A$2:$J$5,8,FALSE)))</f>
        <v>-20</v>
      </c>
      <c r="R292" s="9">
        <f>IF(AND($A292&gt;VLOOKUP(YEAR($A292),'Festive dates'!$A$2:$J$5,2,FALSE),$A292&lt;VLOOKUP(YEAR($A292),'Festive dates'!$A$2:$J$5,3,FALSE)),1,0)</f>
        <v>0</v>
      </c>
      <c r="S292" s="9">
        <f>IF($A292=VLOOKUP(YEAR($A292),'Festive dates'!$A$2:$J$5,2,FALSE),1,0)</f>
        <v>0</v>
      </c>
      <c r="T292" s="9">
        <f>IF($A292=VLOOKUP(YEAR($A292),'Festive dates'!$A$2:$J$5,3,FALSE),1,0)</f>
        <v>0</v>
      </c>
      <c r="U292" s="9">
        <f>IF($A292=VLOOKUP(YEAR($A292),'Festive dates'!$A$2:$J$5,4,FALSE),1,0)</f>
        <v>0</v>
      </c>
      <c r="V292" s="9">
        <f>IF(AND($A292&gt;=VLOOKUP(YEAR($A292),'Festive dates'!$A$2:$J$5,9,FALSE),$A292&lt;=VLOOKUP(YEAR($A292),'Festive dates'!$A$2:$J$5,10,FALSE)),1,0)</f>
        <v>0</v>
      </c>
      <c r="W292" s="9">
        <f>IF($A292=VLOOKUP(YEAR($A292),'Festive dates'!$A$2:$J$5,7,FALSE),1,0)</f>
        <v>0</v>
      </c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>
      <c r="A293" s="8">
        <v>45308</v>
      </c>
      <c r="B293" s="9">
        <v>0</v>
      </c>
      <c r="C293" s="9">
        <v>0</v>
      </c>
      <c r="D293" s="9">
        <v>0</v>
      </c>
      <c r="E293" s="9">
        <v>0</v>
      </c>
      <c r="F293" s="9">
        <v>0</v>
      </c>
      <c r="G293" s="9">
        <v>0</v>
      </c>
      <c r="H293" s="9">
        <v>0</v>
      </c>
      <c r="I293" s="9">
        <v>0</v>
      </c>
      <c r="J293" s="9">
        <v>0</v>
      </c>
      <c r="K293" s="9">
        <v>0</v>
      </c>
      <c r="L293" s="9">
        <v>0</v>
      </c>
      <c r="M293" s="9">
        <v>0</v>
      </c>
      <c r="N293" s="9">
        <v>0</v>
      </c>
      <c r="O293" s="9">
        <v>0</v>
      </c>
      <c r="P293" s="9">
        <v>0</v>
      </c>
      <c r="Q293" s="9">
        <f>MAX(-20,MIN(10,$A293-VLOOKUP(YEAR($A293),'Festive dates'!$A$2:$J$5,8,FALSE)))</f>
        <v>-20</v>
      </c>
      <c r="R293" s="9">
        <f>IF(AND($A293&gt;VLOOKUP(YEAR($A293),'Festive dates'!$A$2:$J$5,2,FALSE),$A293&lt;VLOOKUP(YEAR($A293),'Festive dates'!$A$2:$J$5,3,FALSE)),1,0)</f>
        <v>0</v>
      </c>
      <c r="S293" s="9">
        <f>IF($A293=VLOOKUP(YEAR($A293),'Festive dates'!$A$2:$J$5,2,FALSE),1,0)</f>
        <v>0</v>
      </c>
      <c r="T293" s="9">
        <f>IF($A293=VLOOKUP(YEAR($A293),'Festive dates'!$A$2:$J$5,3,FALSE),1,0)</f>
        <v>0</v>
      </c>
      <c r="U293" s="9">
        <f>IF($A293=VLOOKUP(YEAR($A293),'Festive dates'!$A$2:$J$5,4,FALSE),1,0)</f>
        <v>0</v>
      </c>
      <c r="V293" s="9">
        <f>IF(AND($A293&gt;=VLOOKUP(YEAR($A293),'Festive dates'!$A$2:$J$5,9,FALSE),$A293&lt;=VLOOKUP(YEAR($A293),'Festive dates'!$A$2:$J$5,10,FALSE)),1,0)</f>
        <v>0</v>
      </c>
      <c r="W293" s="9">
        <f>IF($A293=VLOOKUP(YEAR($A293),'Festive dates'!$A$2:$J$5,7,FALSE),1,0)</f>
        <v>0</v>
      </c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>
      <c r="A294" s="8">
        <v>45309</v>
      </c>
      <c r="B294" s="9">
        <v>0</v>
      </c>
      <c r="C294" s="9">
        <v>0</v>
      </c>
      <c r="D294" s="9">
        <v>0</v>
      </c>
      <c r="E294" s="9">
        <v>0</v>
      </c>
      <c r="F294" s="9">
        <v>0</v>
      </c>
      <c r="G294" s="9">
        <v>0</v>
      </c>
      <c r="H294" s="9">
        <v>0</v>
      </c>
      <c r="I294" s="9">
        <v>0</v>
      </c>
      <c r="J294" s="9">
        <v>0</v>
      </c>
      <c r="K294" s="9">
        <v>0</v>
      </c>
      <c r="L294" s="9">
        <v>0</v>
      </c>
      <c r="M294" s="9">
        <v>0</v>
      </c>
      <c r="N294" s="9">
        <v>0</v>
      </c>
      <c r="O294" s="9">
        <v>0</v>
      </c>
      <c r="P294" s="9">
        <v>0</v>
      </c>
      <c r="Q294" s="9">
        <f>MAX(-20,MIN(10,$A294-VLOOKUP(YEAR($A294),'Festive dates'!$A$2:$J$5,8,FALSE)))</f>
        <v>-20</v>
      </c>
      <c r="R294" s="9">
        <f>IF(AND($A294&gt;VLOOKUP(YEAR($A294),'Festive dates'!$A$2:$J$5,2,FALSE),$A294&lt;VLOOKUP(YEAR($A294),'Festive dates'!$A$2:$J$5,3,FALSE)),1,0)</f>
        <v>0</v>
      </c>
      <c r="S294" s="9">
        <f>IF($A294=VLOOKUP(YEAR($A294),'Festive dates'!$A$2:$J$5,2,FALSE),1,0)</f>
        <v>0</v>
      </c>
      <c r="T294" s="9">
        <f>IF($A294=VLOOKUP(YEAR($A294),'Festive dates'!$A$2:$J$5,3,FALSE),1,0)</f>
        <v>0</v>
      </c>
      <c r="U294" s="9">
        <f>IF($A294=VLOOKUP(YEAR($A294),'Festive dates'!$A$2:$J$5,4,FALSE),1,0)</f>
        <v>0</v>
      </c>
      <c r="V294" s="9">
        <f>IF(AND($A294&gt;=VLOOKUP(YEAR($A294),'Festive dates'!$A$2:$J$5,9,FALSE),$A294&lt;=VLOOKUP(YEAR($A294),'Festive dates'!$A$2:$J$5,10,FALSE)),1,0)</f>
        <v>0</v>
      </c>
      <c r="W294" s="9">
        <f>IF($A294=VLOOKUP(YEAR($A294),'Festive dates'!$A$2:$J$5,7,FALSE),1,0)</f>
        <v>0</v>
      </c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>
      <c r="A295" s="8">
        <v>45310</v>
      </c>
      <c r="B295" s="9">
        <v>0</v>
      </c>
      <c r="C295" s="9">
        <v>0</v>
      </c>
      <c r="D295" s="9">
        <v>0</v>
      </c>
      <c r="E295" s="9">
        <v>0</v>
      </c>
      <c r="F295" s="9">
        <v>0</v>
      </c>
      <c r="G295" s="9">
        <v>0</v>
      </c>
      <c r="H295" s="9">
        <v>0</v>
      </c>
      <c r="I295" s="9">
        <v>0</v>
      </c>
      <c r="J295" s="9">
        <v>0</v>
      </c>
      <c r="K295" s="9">
        <v>0</v>
      </c>
      <c r="L295" s="9">
        <v>0</v>
      </c>
      <c r="M295" s="9">
        <v>0</v>
      </c>
      <c r="N295" s="9">
        <v>0</v>
      </c>
      <c r="O295" s="9">
        <v>0</v>
      </c>
      <c r="P295" s="9">
        <v>0</v>
      </c>
      <c r="Q295" s="9">
        <f>MAX(-20,MIN(10,$A295-VLOOKUP(YEAR($A295),'Festive dates'!$A$2:$J$5,8,FALSE)))</f>
        <v>-20</v>
      </c>
      <c r="R295" s="9">
        <f>IF(AND($A295&gt;VLOOKUP(YEAR($A295),'Festive dates'!$A$2:$J$5,2,FALSE),$A295&lt;VLOOKUP(YEAR($A295),'Festive dates'!$A$2:$J$5,3,FALSE)),1,0)</f>
        <v>0</v>
      </c>
      <c r="S295" s="9">
        <f>IF($A295=VLOOKUP(YEAR($A295),'Festive dates'!$A$2:$J$5,2,FALSE),1,0)</f>
        <v>0</v>
      </c>
      <c r="T295" s="9">
        <f>IF($A295=VLOOKUP(YEAR($A295),'Festive dates'!$A$2:$J$5,3,FALSE),1,0)</f>
        <v>0</v>
      </c>
      <c r="U295" s="9">
        <f>IF($A295=VLOOKUP(YEAR($A295),'Festive dates'!$A$2:$J$5,4,FALSE),1,0)</f>
        <v>0</v>
      </c>
      <c r="V295" s="9">
        <f>IF(AND($A295&gt;=VLOOKUP(YEAR($A295),'Festive dates'!$A$2:$J$5,9,FALSE),$A295&lt;=VLOOKUP(YEAR($A295),'Festive dates'!$A$2:$J$5,10,FALSE)),1,0)</f>
        <v>0</v>
      </c>
      <c r="W295" s="9">
        <f>IF($A295=VLOOKUP(YEAR($A295),'Festive dates'!$A$2:$J$5,7,FALSE),1,0)</f>
        <v>0</v>
      </c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>
      <c r="A296" s="8">
        <v>45311</v>
      </c>
      <c r="B296" s="9">
        <v>0</v>
      </c>
      <c r="C296" s="9">
        <v>0</v>
      </c>
      <c r="D296" s="9">
        <v>0</v>
      </c>
      <c r="E296" s="9">
        <v>0</v>
      </c>
      <c r="F296" s="9">
        <v>0</v>
      </c>
      <c r="G296" s="9">
        <v>0</v>
      </c>
      <c r="H296" s="9">
        <v>0</v>
      </c>
      <c r="I296" s="9">
        <v>0</v>
      </c>
      <c r="J296" s="9">
        <v>0</v>
      </c>
      <c r="K296" s="9">
        <v>0</v>
      </c>
      <c r="L296" s="9">
        <v>0</v>
      </c>
      <c r="M296" s="9">
        <v>0</v>
      </c>
      <c r="N296" s="9">
        <v>0</v>
      </c>
      <c r="O296" s="9">
        <v>0</v>
      </c>
      <c r="P296" s="9">
        <v>1</v>
      </c>
      <c r="Q296" s="9">
        <f>MAX(-20,MIN(10,$A296-VLOOKUP(YEAR($A296),'Festive dates'!$A$2:$J$5,8,FALSE)))</f>
        <v>-20</v>
      </c>
      <c r="R296" s="9">
        <f>IF(AND($A296&gt;VLOOKUP(YEAR($A296),'Festive dates'!$A$2:$J$5,2,FALSE),$A296&lt;VLOOKUP(YEAR($A296),'Festive dates'!$A$2:$J$5,3,FALSE)),1,0)</f>
        <v>0</v>
      </c>
      <c r="S296" s="9">
        <f>IF($A296=VLOOKUP(YEAR($A296),'Festive dates'!$A$2:$J$5,2,FALSE),1,0)</f>
        <v>0</v>
      </c>
      <c r="T296" s="9">
        <f>IF($A296=VLOOKUP(YEAR($A296),'Festive dates'!$A$2:$J$5,3,FALSE),1,0)</f>
        <v>0</v>
      </c>
      <c r="U296" s="9">
        <f>IF($A296=VLOOKUP(YEAR($A296),'Festive dates'!$A$2:$J$5,4,FALSE),1,0)</f>
        <v>0</v>
      </c>
      <c r="V296" s="9">
        <f>IF(AND($A296&gt;=VLOOKUP(YEAR($A296),'Festive dates'!$A$2:$J$5,9,FALSE),$A296&lt;=VLOOKUP(YEAR($A296),'Festive dates'!$A$2:$J$5,10,FALSE)),1,0)</f>
        <v>0</v>
      </c>
      <c r="W296" s="9">
        <f>IF($A296=VLOOKUP(YEAR($A296),'Festive dates'!$A$2:$J$5,7,FALSE),1,0)</f>
        <v>0</v>
      </c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>
      <c r="A297" s="8">
        <v>45312</v>
      </c>
      <c r="B297" s="9">
        <v>0</v>
      </c>
      <c r="C297" s="9">
        <v>0</v>
      </c>
      <c r="D297" s="9">
        <v>0</v>
      </c>
      <c r="E297" s="9">
        <v>0</v>
      </c>
      <c r="F297" s="9">
        <v>0</v>
      </c>
      <c r="G297" s="9">
        <v>0</v>
      </c>
      <c r="H297" s="9">
        <v>0</v>
      </c>
      <c r="I297" s="9">
        <v>0</v>
      </c>
      <c r="J297" s="9">
        <v>0</v>
      </c>
      <c r="K297" s="9">
        <v>0</v>
      </c>
      <c r="L297" s="9">
        <v>0</v>
      </c>
      <c r="M297" s="9">
        <v>0</v>
      </c>
      <c r="N297" s="9">
        <v>0</v>
      </c>
      <c r="O297" s="9">
        <v>0</v>
      </c>
      <c r="P297" s="9">
        <v>1</v>
      </c>
      <c r="Q297" s="9">
        <f>MAX(-20,MIN(10,$A297-VLOOKUP(YEAR($A297),'Festive dates'!$A$2:$J$5,8,FALSE)))</f>
        <v>-20</v>
      </c>
      <c r="R297" s="9">
        <f>IF(AND($A297&gt;VLOOKUP(YEAR($A297),'Festive dates'!$A$2:$J$5,2,FALSE),$A297&lt;VLOOKUP(YEAR($A297),'Festive dates'!$A$2:$J$5,3,FALSE)),1,0)</f>
        <v>0</v>
      </c>
      <c r="S297" s="9">
        <f>IF($A297=VLOOKUP(YEAR($A297),'Festive dates'!$A$2:$J$5,2,FALSE),1,0)</f>
        <v>0</v>
      </c>
      <c r="T297" s="9">
        <f>IF($A297=VLOOKUP(YEAR($A297),'Festive dates'!$A$2:$J$5,3,FALSE),1,0)</f>
        <v>0</v>
      </c>
      <c r="U297" s="9">
        <f>IF($A297=VLOOKUP(YEAR($A297),'Festive dates'!$A$2:$J$5,4,FALSE),1,0)</f>
        <v>0</v>
      </c>
      <c r="V297" s="9">
        <f>IF(AND($A297&gt;=VLOOKUP(YEAR($A297),'Festive dates'!$A$2:$J$5,9,FALSE),$A297&lt;=VLOOKUP(YEAR($A297),'Festive dates'!$A$2:$J$5,10,FALSE)),1,0)</f>
        <v>0</v>
      </c>
      <c r="W297" s="9">
        <f>IF($A297=VLOOKUP(YEAR($A297),'Festive dates'!$A$2:$J$5,7,FALSE),1,0)</f>
        <v>0</v>
      </c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>
      <c r="A298" s="8">
        <v>45313</v>
      </c>
      <c r="B298" s="9">
        <v>0</v>
      </c>
      <c r="C298" s="9">
        <v>0</v>
      </c>
      <c r="D298" s="9">
        <v>0</v>
      </c>
      <c r="E298" s="9">
        <v>0</v>
      </c>
      <c r="F298" s="9">
        <v>0</v>
      </c>
      <c r="G298" s="9">
        <v>0</v>
      </c>
      <c r="H298" s="9">
        <v>0</v>
      </c>
      <c r="I298" s="9">
        <v>0</v>
      </c>
      <c r="J298" s="9">
        <v>0</v>
      </c>
      <c r="K298" s="9">
        <v>0</v>
      </c>
      <c r="L298" s="9">
        <v>0</v>
      </c>
      <c r="M298" s="9">
        <v>0</v>
      </c>
      <c r="N298" s="9">
        <v>0</v>
      </c>
      <c r="O298" s="9">
        <v>0</v>
      </c>
      <c r="P298" s="9">
        <v>0</v>
      </c>
      <c r="Q298" s="9">
        <f>MAX(-20,MIN(10,$A298-VLOOKUP(YEAR($A298),'Festive dates'!$A$2:$J$5,8,FALSE)))</f>
        <v>-20</v>
      </c>
      <c r="R298" s="9">
        <f>IF(AND($A298&gt;VLOOKUP(YEAR($A298),'Festive dates'!$A$2:$J$5,2,FALSE),$A298&lt;VLOOKUP(YEAR($A298),'Festive dates'!$A$2:$J$5,3,FALSE)),1,0)</f>
        <v>0</v>
      </c>
      <c r="S298" s="9">
        <f>IF($A298=VLOOKUP(YEAR($A298),'Festive dates'!$A$2:$J$5,2,FALSE),1,0)</f>
        <v>0</v>
      </c>
      <c r="T298" s="9">
        <f>IF($A298=VLOOKUP(YEAR($A298),'Festive dates'!$A$2:$J$5,3,FALSE),1,0)</f>
        <v>0</v>
      </c>
      <c r="U298" s="9">
        <f>IF($A298=VLOOKUP(YEAR($A298),'Festive dates'!$A$2:$J$5,4,FALSE),1,0)</f>
        <v>0</v>
      </c>
      <c r="V298" s="9">
        <f>IF(AND($A298&gt;=VLOOKUP(YEAR($A298),'Festive dates'!$A$2:$J$5,9,FALSE),$A298&lt;=VLOOKUP(YEAR($A298),'Festive dates'!$A$2:$J$5,10,FALSE)),1,0)</f>
        <v>0</v>
      </c>
      <c r="W298" s="9">
        <f>IF($A298=VLOOKUP(YEAR($A298),'Festive dates'!$A$2:$J$5,7,FALSE),1,0)</f>
        <v>0</v>
      </c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>
      <c r="A299" s="8">
        <v>45314</v>
      </c>
      <c r="B299" s="9">
        <v>0</v>
      </c>
      <c r="C299" s="9">
        <v>0</v>
      </c>
      <c r="D299" s="9">
        <v>0</v>
      </c>
      <c r="E299" s="9">
        <v>0</v>
      </c>
      <c r="F299" s="9">
        <v>0</v>
      </c>
      <c r="G299" s="9">
        <v>0</v>
      </c>
      <c r="H299" s="9">
        <v>0</v>
      </c>
      <c r="I299" s="9">
        <v>0</v>
      </c>
      <c r="J299" s="9">
        <v>0</v>
      </c>
      <c r="K299" s="9">
        <v>0</v>
      </c>
      <c r="L299" s="9">
        <v>0</v>
      </c>
      <c r="M299" s="9">
        <v>0</v>
      </c>
      <c r="N299" s="9">
        <v>0</v>
      </c>
      <c r="O299" s="9">
        <v>0</v>
      </c>
      <c r="P299" s="9">
        <v>1</v>
      </c>
      <c r="Q299" s="9">
        <f>MAX(-20,MIN(10,$A299-VLOOKUP(YEAR($A299),'Festive dates'!$A$2:$J$5,8,FALSE)))</f>
        <v>-20</v>
      </c>
      <c r="R299" s="9">
        <f>IF(AND($A299&gt;VLOOKUP(YEAR($A299),'Festive dates'!$A$2:$J$5,2,FALSE),$A299&lt;VLOOKUP(YEAR($A299),'Festive dates'!$A$2:$J$5,3,FALSE)),1,0)</f>
        <v>0</v>
      </c>
      <c r="S299" s="9">
        <f>IF($A299=VLOOKUP(YEAR($A299),'Festive dates'!$A$2:$J$5,2,FALSE),1,0)</f>
        <v>0</v>
      </c>
      <c r="T299" s="9">
        <f>IF($A299=VLOOKUP(YEAR($A299),'Festive dates'!$A$2:$J$5,3,FALSE),1,0)</f>
        <v>0</v>
      </c>
      <c r="U299" s="9">
        <f>IF($A299=VLOOKUP(YEAR($A299),'Festive dates'!$A$2:$J$5,4,FALSE),1,0)</f>
        <v>0</v>
      </c>
      <c r="V299" s="9">
        <f>IF(AND($A299&gt;=VLOOKUP(YEAR($A299),'Festive dates'!$A$2:$J$5,9,FALSE),$A299&lt;=VLOOKUP(YEAR($A299),'Festive dates'!$A$2:$J$5,10,FALSE)),1,0)</f>
        <v>0</v>
      </c>
      <c r="W299" s="9">
        <f>IF($A299=VLOOKUP(YEAR($A299),'Festive dates'!$A$2:$J$5,7,FALSE),1,0)</f>
        <v>0</v>
      </c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>
      <c r="A300" s="8">
        <v>45315</v>
      </c>
      <c r="B300" s="9">
        <v>0</v>
      </c>
      <c r="C300" s="9">
        <v>0</v>
      </c>
      <c r="D300" s="9">
        <v>0</v>
      </c>
      <c r="E300" s="9">
        <v>0</v>
      </c>
      <c r="F300" s="9">
        <v>0</v>
      </c>
      <c r="G300" s="9">
        <v>0</v>
      </c>
      <c r="H300" s="9">
        <v>0</v>
      </c>
      <c r="I300" s="9">
        <v>0</v>
      </c>
      <c r="J300" s="9">
        <v>0</v>
      </c>
      <c r="K300" s="9">
        <v>0</v>
      </c>
      <c r="L300" s="9">
        <v>0</v>
      </c>
      <c r="M300" s="9">
        <v>0</v>
      </c>
      <c r="N300" s="9">
        <v>0</v>
      </c>
      <c r="O300" s="9">
        <v>0</v>
      </c>
      <c r="P300" s="9">
        <v>1</v>
      </c>
      <c r="Q300" s="9">
        <f>MAX(-20,MIN(10,$A300-VLOOKUP(YEAR($A300),'Festive dates'!$A$2:$J$5,8,FALSE)))</f>
        <v>-20</v>
      </c>
      <c r="R300" s="9">
        <f>IF(AND($A300&gt;VLOOKUP(YEAR($A300),'Festive dates'!$A$2:$J$5,2,FALSE),$A300&lt;VLOOKUP(YEAR($A300),'Festive dates'!$A$2:$J$5,3,FALSE)),1,0)</f>
        <v>0</v>
      </c>
      <c r="S300" s="9">
        <f>IF($A300=VLOOKUP(YEAR($A300),'Festive dates'!$A$2:$J$5,2,FALSE),1,0)</f>
        <v>0</v>
      </c>
      <c r="T300" s="9">
        <f>IF($A300=VLOOKUP(YEAR($A300),'Festive dates'!$A$2:$J$5,3,FALSE),1,0)</f>
        <v>0</v>
      </c>
      <c r="U300" s="9">
        <f>IF($A300=VLOOKUP(YEAR($A300),'Festive dates'!$A$2:$J$5,4,FALSE),1,0)</f>
        <v>0</v>
      </c>
      <c r="V300" s="9">
        <f>IF(AND($A300&gt;=VLOOKUP(YEAR($A300),'Festive dates'!$A$2:$J$5,9,FALSE),$A300&lt;=VLOOKUP(YEAR($A300),'Festive dates'!$A$2:$J$5,10,FALSE)),1,0)</f>
        <v>0</v>
      </c>
      <c r="W300" s="9">
        <f>IF($A300=VLOOKUP(YEAR($A300),'Festive dates'!$A$2:$J$5,7,FALSE),1,0)</f>
        <v>0</v>
      </c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>
      <c r="A301" s="8">
        <v>45316</v>
      </c>
      <c r="B301" s="9">
        <v>0</v>
      </c>
      <c r="C301" s="9">
        <v>0</v>
      </c>
      <c r="D301" s="9">
        <v>0</v>
      </c>
      <c r="E301" s="9">
        <v>0</v>
      </c>
      <c r="F301" s="9">
        <v>0</v>
      </c>
      <c r="G301" s="9">
        <v>0</v>
      </c>
      <c r="H301" s="9">
        <v>0</v>
      </c>
      <c r="I301" s="9">
        <v>0</v>
      </c>
      <c r="J301" s="9">
        <v>0</v>
      </c>
      <c r="K301" s="9">
        <v>0</v>
      </c>
      <c r="L301" s="9">
        <v>0</v>
      </c>
      <c r="M301" s="9">
        <v>0</v>
      </c>
      <c r="N301" s="9">
        <v>0</v>
      </c>
      <c r="O301" s="9">
        <v>0</v>
      </c>
      <c r="P301" s="9">
        <v>0</v>
      </c>
      <c r="Q301" s="9">
        <f>MAX(-20,MIN(10,$A301-VLOOKUP(YEAR($A301),'Festive dates'!$A$2:$J$5,8,FALSE)))</f>
        <v>-20</v>
      </c>
      <c r="R301" s="9">
        <f>IF(AND($A301&gt;VLOOKUP(YEAR($A301),'Festive dates'!$A$2:$J$5,2,FALSE),$A301&lt;VLOOKUP(YEAR($A301),'Festive dates'!$A$2:$J$5,3,FALSE)),1,0)</f>
        <v>0</v>
      </c>
      <c r="S301" s="9">
        <f>IF($A301=VLOOKUP(YEAR($A301),'Festive dates'!$A$2:$J$5,2,FALSE),1,0)</f>
        <v>0</v>
      </c>
      <c r="T301" s="9">
        <f>IF($A301=VLOOKUP(YEAR($A301),'Festive dates'!$A$2:$J$5,3,FALSE),1,0)</f>
        <v>0</v>
      </c>
      <c r="U301" s="9">
        <f>IF($A301=VLOOKUP(YEAR($A301),'Festive dates'!$A$2:$J$5,4,FALSE),1,0)</f>
        <v>0</v>
      </c>
      <c r="V301" s="9">
        <f>IF(AND($A301&gt;=VLOOKUP(YEAR($A301),'Festive dates'!$A$2:$J$5,9,FALSE),$A301&lt;=VLOOKUP(YEAR($A301),'Festive dates'!$A$2:$J$5,10,FALSE)),1,0)</f>
        <v>0</v>
      </c>
      <c r="W301" s="9">
        <f>IF($A301=VLOOKUP(YEAR($A301),'Festive dates'!$A$2:$J$5,7,FALSE),1,0)</f>
        <v>0</v>
      </c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>
      <c r="A302" s="8">
        <v>45317</v>
      </c>
      <c r="B302" s="9">
        <v>0</v>
      </c>
      <c r="C302" s="9">
        <v>0</v>
      </c>
      <c r="D302" s="9">
        <v>0</v>
      </c>
      <c r="E302" s="9">
        <v>0</v>
      </c>
      <c r="F302" s="9">
        <v>0</v>
      </c>
      <c r="G302" s="9">
        <v>0</v>
      </c>
      <c r="H302" s="9">
        <v>0</v>
      </c>
      <c r="I302" s="9">
        <v>0</v>
      </c>
      <c r="J302" s="9">
        <v>0</v>
      </c>
      <c r="K302" s="9">
        <v>0</v>
      </c>
      <c r="L302" s="9">
        <v>0</v>
      </c>
      <c r="M302" s="9">
        <v>0</v>
      </c>
      <c r="N302" s="9">
        <v>0</v>
      </c>
      <c r="O302" s="9">
        <v>0</v>
      </c>
      <c r="P302" s="9">
        <v>0</v>
      </c>
      <c r="Q302" s="9">
        <f>MAX(-20,MIN(10,$A302-VLOOKUP(YEAR($A302),'Festive dates'!$A$2:$J$5,8,FALSE)))</f>
        <v>-20</v>
      </c>
      <c r="R302" s="9">
        <f>IF(AND($A302&gt;VLOOKUP(YEAR($A302),'Festive dates'!$A$2:$J$5,2,FALSE),$A302&lt;VLOOKUP(YEAR($A302),'Festive dates'!$A$2:$J$5,3,FALSE)),1,0)</f>
        <v>0</v>
      </c>
      <c r="S302" s="9">
        <f>IF($A302=VLOOKUP(YEAR($A302),'Festive dates'!$A$2:$J$5,2,FALSE),1,0)</f>
        <v>0</v>
      </c>
      <c r="T302" s="9">
        <f>IF($A302=VLOOKUP(YEAR($A302),'Festive dates'!$A$2:$J$5,3,FALSE),1,0)</f>
        <v>0</v>
      </c>
      <c r="U302" s="9">
        <f>IF($A302=VLOOKUP(YEAR($A302),'Festive dates'!$A$2:$J$5,4,FALSE),1,0)</f>
        <v>0</v>
      </c>
      <c r="V302" s="9">
        <f>IF(AND($A302&gt;=VLOOKUP(YEAR($A302),'Festive dates'!$A$2:$J$5,9,FALSE),$A302&lt;=VLOOKUP(YEAR($A302),'Festive dates'!$A$2:$J$5,10,FALSE)),1,0)</f>
        <v>0</v>
      </c>
      <c r="W302" s="9">
        <f>IF($A302=VLOOKUP(YEAR($A302),'Festive dates'!$A$2:$J$5,7,FALSE),1,0)</f>
        <v>0</v>
      </c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>
      <c r="A303" s="8">
        <v>45318</v>
      </c>
      <c r="B303" s="9">
        <v>0</v>
      </c>
      <c r="C303" s="9">
        <v>0</v>
      </c>
      <c r="D303" s="9">
        <v>0</v>
      </c>
      <c r="E303" s="9">
        <v>0</v>
      </c>
      <c r="F303" s="9">
        <v>0</v>
      </c>
      <c r="G303" s="9">
        <v>0</v>
      </c>
      <c r="H303" s="9">
        <v>0</v>
      </c>
      <c r="I303" s="9">
        <v>0</v>
      </c>
      <c r="J303" s="9">
        <v>0</v>
      </c>
      <c r="K303" s="9">
        <v>0</v>
      </c>
      <c r="L303" s="9">
        <v>0</v>
      </c>
      <c r="M303" s="9">
        <v>0</v>
      </c>
      <c r="N303" s="9">
        <v>0</v>
      </c>
      <c r="O303" s="9">
        <v>0</v>
      </c>
      <c r="P303" s="9">
        <v>0</v>
      </c>
      <c r="Q303" s="9">
        <f>MAX(-20,MIN(10,$A303-VLOOKUP(YEAR($A303),'Festive dates'!$A$2:$J$5,8,FALSE)))</f>
        <v>-20</v>
      </c>
      <c r="R303" s="9">
        <f>IF(AND($A303&gt;VLOOKUP(YEAR($A303),'Festive dates'!$A$2:$J$5,2,FALSE),$A303&lt;VLOOKUP(YEAR($A303),'Festive dates'!$A$2:$J$5,3,FALSE)),1,0)</f>
        <v>0</v>
      </c>
      <c r="S303" s="9">
        <f>IF($A303=VLOOKUP(YEAR($A303),'Festive dates'!$A$2:$J$5,2,FALSE),1,0)</f>
        <v>0</v>
      </c>
      <c r="T303" s="9">
        <f>IF($A303=VLOOKUP(YEAR($A303),'Festive dates'!$A$2:$J$5,3,FALSE),1,0)</f>
        <v>0</v>
      </c>
      <c r="U303" s="9">
        <f>IF($A303=VLOOKUP(YEAR($A303),'Festive dates'!$A$2:$J$5,4,FALSE),1,0)</f>
        <v>0</v>
      </c>
      <c r="V303" s="9">
        <f>IF(AND($A303&gt;=VLOOKUP(YEAR($A303),'Festive dates'!$A$2:$J$5,9,FALSE),$A303&lt;=VLOOKUP(YEAR($A303),'Festive dates'!$A$2:$J$5,10,FALSE)),1,0)</f>
        <v>0</v>
      </c>
      <c r="W303" s="9">
        <f>IF($A303=VLOOKUP(YEAR($A303),'Festive dates'!$A$2:$J$5,7,FALSE),1,0)</f>
        <v>0</v>
      </c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>
      <c r="A304" s="8">
        <v>45319</v>
      </c>
      <c r="B304" s="9">
        <v>0</v>
      </c>
      <c r="C304" s="9">
        <v>0</v>
      </c>
      <c r="D304" s="9">
        <v>0</v>
      </c>
      <c r="E304" s="9">
        <v>0</v>
      </c>
      <c r="F304" s="9">
        <v>0</v>
      </c>
      <c r="G304" s="9">
        <v>0</v>
      </c>
      <c r="H304" s="9">
        <v>0</v>
      </c>
      <c r="I304" s="9">
        <v>0</v>
      </c>
      <c r="J304" s="9">
        <v>0</v>
      </c>
      <c r="K304" s="9">
        <v>0</v>
      </c>
      <c r="L304" s="9">
        <v>0</v>
      </c>
      <c r="M304" s="9">
        <v>0</v>
      </c>
      <c r="N304" s="9">
        <v>0</v>
      </c>
      <c r="O304" s="9">
        <v>0</v>
      </c>
      <c r="P304" s="9">
        <v>1</v>
      </c>
      <c r="Q304" s="9">
        <f>MAX(-20,MIN(10,$A304-VLOOKUP(YEAR($A304),'Festive dates'!$A$2:$J$5,8,FALSE)))</f>
        <v>-20</v>
      </c>
      <c r="R304" s="9">
        <f>IF(AND($A304&gt;VLOOKUP(YEAR($A304),'Festive dates'!$A$2:$J$5,2,FALSE),$A304&lt;VLOOKUP(YEAR($A304),'Festive dates'!$A$2:$J$5,3,FALSE)),1,0)</f>
        <v>0</v>
      </c>
      <c r="S304" s="9">
        <f>IF($A304=VLOOKUP(YEAR($A304),'Festive dates'!$A$2:$J$5,2,FALSE),1,0)</f>
        <v>0</v>
      </c>
      <c r="T304" s="9">
        <f>IF($A304=VLOOKUP(YEAR($A304),'Festive dates'!$A$2:$J$5,3,FALSE),1,0)</f>
        <v>0</v>
      </c>
      <c r="U304" s="9">
        <f>IF($A304=VLOOKUP(YEAR($A304),'Festive dates'!$A$2:$J$5,4,FALSE),1,0)</f>
        <v>0</v>
      </c>
      <c r="V304" s="9">
        <f>IF(AND($A304&gt;=VLOOKUP(YEAR($A304),'Festive dates'!$A$2:$J$5,9,FALSE),$A304&lt;=VLOOKUP(YEAR($A304),'Festive dates'!$A$2:$J$5,10,FALSE)),1,0)</f>
        <v>0</v>
      </c>
      <c r="W304" s="9">
        <f>IF($A304=VLOOKUP(YEAR($A304),'Festive dates'!$A$2:$J$5,7,FALSE),1,0)</f>
        <v>0</v>
      </c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>
      <c r="A305" s="8">
        <v>45320</v>
      </c>
      <c r="B305" s="9">
        <v>0</v>
      </c>
      <c r="C305" s="9">
        <v>0</v>
      </c>
      <c r="D305" s="9">
        <v>0</v>
      </c>
      <c r="E305" s="9">
        <v>0</v>
      </c>
      <c r="F305" s="9">
        <v>0</v>
      </c>
      <c r="G305" s="9">
        <v>0</v>
      </c>
      <c r="H305" s="9">
        <v>0</v>
      </c>
      <c r="I305" s="9">
        <v>0</v>
      </c>
      <c r="J305" s="9">
        <v>0</v>
      </c>
      <c r="K305" s="9">
        <v>0</v>
      </c>
      <c r="L305" s="9">
        <v>0</v>
      </c>
      <c r="M305" s="9">
        <v>0</v>
      </c>
      <c r="N305" s="9">
        <v>0</v>
      </c>
      <c r="O305" s="9">
        <v>0</v>
      </c>
      <c r="P305" s="9">
        <v>0</v>
      </c>
      <c r="Q305" s="9">
        <f>MAX(-20,MIN(10,$A305-VLOOKUP(YEAR($A305),'Festive dates'!$A$2:$J$5,8,FALSE)))</f>
        <v>-20</v>
      </c>
      <c r="R305" s="9">
        <f>IF(AND($A305&gt;VLOOKUP(YEAR($A305),'Festive dates'!$A$2:$J$5,2,FALSE),$A305&lt;VLOOKUP(YEAR($A305),'Festive dates'!$A$2:$J$5,3,FALSE)),1,0)</f>
        <v>0</v>
      </c>
      <c r="S305" s="9">
        <f>IF($A305=VLOOKUP(YEAR($A305),'Festive dates'!$A$2:$J$5,2,FALSE),1,0)</f>
        <v>0</v>
      </c>
      <c r="T305" s="9">
        <f>IF($A305=VLOOKUP(YEAR($A305),'Festive dates'!$A$2:$J$5,3,FALSE),1,0)</f>
        <v>0</v>
      </c>
      <c r="U305" s="9">
        <f>IF($A305=VLOOKUP(YEAR($A305),'Festive dates'!$A$2:$J$5,4,FALSE),1,0)</f>
        <v>0</v>
      </c>
      <c r="V305" s="9">
        <f>IF(AND($A305&gt;=VLOOKUP(YEAR($A305),'Festive dates'!$A$2:$J$5,9,FALSE),$A305&lt;=VLOOKUP(YEAR($A305),'Festive dates'!$A$2:$J$5,10,FALSE)),1,0)</f>
        <v>0</v>
      </c>
      <c r="W305" s="9">
        <f>IF($A305=VLOOKUP(YEAR($A305),'Festive dates'!$A$2:$J$5,7,FALSE),1,0)</f>
        <v>0</v>
      </c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>
      <c r="A306" s="8">
        <v>45321</v>
      </c>
      <c r="B306" s="9">
        <v>0</v>
      </c>
      <c r="C306" s="9">
        <v>0</v>
      </c>
      <c r="D306" s="9">
        <v>0</v>
      </c>
      <c r="E306" s="9">
        <v>0</v>
      </c>
      <c r="F306" s="9">
        <v>0</v>
      </c>
      <c r="G306" s="9">
        <v>0</v>
      </c>
      <c r="H306" s="9">
        <v>0</v>
      </c>
      <c r="I306" s="9">
        <v>0</v>
      </c>
      <c r="J306" s="9">
        <v>0</v>
      </c>
      <c r="K306" s="9">
        <v>0</v>
      </c>
      <c r="L306" s="9">
        <v>0</v>
      </c>
      <c r="M306" s="9">
        <v>0</v>
      </c>
      <c r="N306" s="9">
        <v>0</v>
      </c>
      <c r="O306" s="9">
        <v>0</v>
      </c>
      <c r="P306" s="9">
        <v>1</v>
      </c>
      <c r="Q306" s="9">
        <f>MAX(-20,MIN(10,$A306-VLOOKUP(YEAR($A306),'Festive dates'!$A$2:$J$5,8,FALSE)))</f>
        <v>-20</v>
      </c>
      <c r="R306" s="9">
        <f>IF(AND($A306&gt;VLOOKUP(YEAR($A306),'Festive dates'!$A$2:$J$5,2,FALSE),$A306&lt;VLOOKUP(YEAR($A306),'Festive dates'!$A$2:$J$5,3,FALSE)),1,0)</f>
        <v>0</v>
      </c>
      <c r="S306" s="9">
        <f>IF($A306=VLOOKUP(YEAR($A306),'Festive dates'!$A$2:$J$5,2,FALSE),1,0)</f>
        <v>0</v>
      </c>
      <c r="T306" s="9">
        <f>IF($A306=VLOOKUP(YEAR($A306),'Festive dates'!$A$2:$J$5,3,FALSE),1,0)</f>
        <v>0</v>
      </c>
      <c r="U306" s="9">
        <f>IF($A306=VLOOKUP(YEAR($A306),'Festive dates'!$A$2:$J$5,4,FALSE),1,0)</f>
        <v>0</v>
      </c>
      <c r="V306" s="9">
        <f>IF(AND($A306&gt;=VLOOKUP(YEAR($A306),'Festive dates'!$A$2:$J$5,9,FALSE),$A306&lt;=VLOOKUP(YEAR($A306),'Festive dates'!$A$2:$J$5,10,FALSE)),1,0)</f>
        <v>0</v>
      </c>
      <c r="W306" s="9">
        <f>IF($A306=VLOOKUP(YEAR($A306),'Festive dates'!$A$2:$J$5,7,FALSE),1,0)</f>
        <v>0</v>
      </c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>
      <c r="A307" s="8">
        <v>45322</v>
      </c>
      <c r="B307" s="9">
        <v>0</v>
      </c>
      <c r="C307" s="9">
        <v>0</v>
      </c>
      <c r="D307" s="9">
        <v>0</v>
      </c>
      <c r="E307" s="9">
        <v>0</v>
      </c>
      <c r="F307" s="9">
        <v>0</v>
      </c>
      <c r="G307" s="9">
        <v>0</v>
      </c>
      <c r="H307" s="9">
        <v>0</v>
      </c>
      <c r="I307" s="9">
        <v>0</v>
      </c>
      <c r="J307" s="9">
        <v>0</v>
      </c>
      <c r="K307" s="9">
        <v>0</v>
      </c>
      <c r="L307" s="9">
        <v>0</v>
      </c>
      <c r="M307" s="9">
        <v>0</v>
      </c>
      <c r="N307" s="9">
        <v>0</v>
      </c>
      <c r="O307" s="9">
        <v>0</v>
      </c>
      <c r="P307" s="9">
        <v>1</v>
      </c>
      <c r="Q307" s="9">
        <f>MAX(-20,MIN(10,$A307-VLOOKUP(YEAR($A307),'Festive dates'!$A$2:$J$5,8,FALSE)))</f>
        <v>-20</v>
      </c>
      <c r="R307" s="9">
        <f>IF(AND($A307&gt;VLOOKUP(YEAR($A307),'Festive dates'!$A$2:$J$5,2,FALSE),$A307&lt;VLOOKUP(YEAR($A307),'Festive dates'!$A$2:$J$5,3,FALSE)),1,0)</f>
        <v>0</v>
      </c>
      <c r="S307" s="9">
        <f>IF($A307=VLOOKUP(YEAR($A307),'Festive dates'!$A$2:$J$5,2,FALSE),1,0)</f>
        <v>0</v>
      </c>
      <c r="T307" s="9">
        <f>IF($A307=VLOOKUP(YEAR($A307),'Festive dates'!$A$2:$J$5,3,FALSE),1,0)</f>
        <v>0</v>
      </c>
      <c r="U307" s="9">
        <f>IF($A307=VLOOKUP(YEAR($A307),'Festive dates'!$A$2:$J$5,4,FALSE),1,0)</f>
        <v>0</v>
      </c>
      <c r="V307" s="9">
        <f>IF(AND($A307&gt;=VLOOKUP(YEAR($A307),'Festive dates'!$A$2:$J$5,9,FALSE),$A307&lt;=VLOOKUP(YEAR($A307),'Festive dates'!$A$2:$J$5,10,FALSE)),1,0)</f>
        <v>0</v>
      </c>
      <c r="W307" s="9">
        <f>IF($A307=VLOOKUP(YEAR($A307),'Festive dates'!$A$2:$J$5,7,FALSE),1,0)</f>
        <v>0</v>
      </c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>
      <c r="A308" s="8">
        <v>45323</v>
      </c>
      <c r="B308" s="9">
        <v>0</v>
      </c>
      <c r="C308" s="9">
        <v>0</v>
      </c>
      <c r="D308" s="9">
        <v>0</v>
      </c>
      <c r="E308" s="9">
        <v>0</v>
      </c>
      <c r="F308" s="9">
        <v>0</v>
      </c>
      <c r="G308" s="9">
        <v>0</v>
      </c>
      <c r="H308" s="9">
        <v>0</v>
      </c>
      <c r="I308" s="9">
        <v>0</v>
      </c>
      <c r="J308" s="9">
        <v>0</v>
      </c>
      <c r="K308" s="9">
        <v>0</v>
      </c>
      <c r="L308" s="9">
        <v>0</v>
      </c>
      <c r="M308" s="9">
        <v>0</v>
      </c>
      <c r="N308" s="9">
        <v>0</v>
      </c>
      <c r="O308" s="9">
        <v>0</v>
      </c>
      <c r="P308" s="9">
        <v>1</v>
      </c>
      <c r="Q308" s="9">
        <f>MAX(-20,MIN(10,$A308-VLOOKUP(YEAR($A308),'Festive dates'!$A$2:$J$5,8,FALSE)))</f>
        <v>-20</v>
      </c>
      <c r="R308" s="9">
        <f>IF(AND($A308&gt;VLOOKUP(YEAR($A308),'Festive dates'!$A$2:$J$5,2,FALSE),$A308&lt;VLOOKUP(YEAR($A308),'Festive dates'!$A$2:$J$5,3,FALSE)),1,0)</f>
        <v>0</v>
      </c>
      <c r="S308" s="9">
        <f>IF($A308=VLOOKUP(YEAR($A308),'Festive dates'!$A$2:$J$5,2,FALSE),1,0)</f>
        <v>0</v>
      </c>
      <c r="T308" s="9">
        <f>IF($A308=VLOOKUP(YEAR($A308),'Festive dates'!$A$2:$J$5,3,FALSE),1,0)</f>
        <v>0</v>
      </c>
      <c r="U308" s="9">
        <f>IF($A308=VLOOKUP(YEAR($A308),'Festive dates'!$A$2:$J$5,4,FALSE),1,0)</f>
        <v>0</v>
      </c>
      <c r="V308" s="9">
        <f>IF(AND($A308&gt;=VLOOKUP(YEAR($A308),'Festive dates'!$A$2:$J$5,9,FALSE),$A308&lt;=VLOOKUP(YEAR($A308),'Festive dates'!$A$2:$J$5,10,FALSE)),1,0)</f>
        <v>0</v>
      </c>
      <c r="W308" s="9">
        <f>IF($A308=VLOOKUP(YEAR($A308),'Festive dates'!$A$2:$J$5,7,FALSE),1,0)</f>
        <v>0</v>
      </c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>
      <c r="A309" s="8">
        <v>45324</v>
      </c>
      <c r="B309" s="9">
        <v>0</v>
      </c>
      <c r="C309" s="9">
        <v>0</v>
      </c>
      <c r="D309" s="9">
        <v>0</v>
      </c>
      <c r="E309" s="9">
        <v>0</v>
      </c>
      <c r="F309" s="9">
        <v>0</v>
      </c>
      <c r="G309" s="9">
        <v>0</v>
      </c>
      <c r="H309" s="9">
        <v>0</v>
      </c>
      <c r="I309" s="9">
        <v>0</v>
      </c>
      <c r="J309" s="9">
        <v>0</v>
      </c>
      <c r="K309" s="9">
        <v>0</v>
      </c>
      <c r="L309" s="9">
        <v>0</v>
      </c>
      <c r="M309" s="9">
        <v>0</v>
      </c>
      <c r="N309" s="9">
        <v>0</v>
      </c>
      <c r="O309" s="9">
        <v>0</v>
      </c>
      <c r="P309" s="9">
        <v>0</v>
      </c>
      <c r="Q309" s="9">
        <f>MAX(-20,MIN(10,$A309-VLOOKUP(YEAR($A309),'Festive dates'!$A$2:$J$5,8,FALSE)))</f>
        <v>-20</v>
      </c>
      <c r="R309" s="9">
        <f>IF(AND($A309&gt;VLOOKUP(YEAR($A309),'Festive dates'!$A$2:$J$5,2,FALSE),$A309&lt;VLOOKUP(YEAR($A309),'Festive dates'!$A$2:$J$5,3,FALSE)),1,0)</f>
        <v>0</v>
      </c>
      <c r="S309" s="9">
        <f>IF($A309=VLOOKUP(YEAR($A309),'Festive dates'!$A$2:$J$5,2,FALSE),1,0)</f>
        <v>0</v>
      </c>
      <c r="T309" s="9">
        <f>IF($A309=VLOOKUP(YEAR($A309),'Festive dates'!$A$2:$J$5,3,FALSE),1,0)</f>
        <v>0</v>
      </c>
      <c r="U309" s="9">
        <f>IF($A309=VLOOKUP(YEAR($A309),'Festive dates'!$A$2:$J$5,4,FALSE),1,0)</f>
        <v>0</v>
      </c>
      <c r="V309" s="9">
        <f>IF(AND($A309&gt;=VLOOKUP(YEAR($A309),'Festive dates'!$A$2:$J$5,9,FALSE),$A309&lt;=VLOOKUP(YEAR($A309),'Festive dates'!$A$2:$J$5,10,FALSE)),1,0)</f>
        <v>0</v>
      </c>
      <c r="W309" s="9">
        <f>IF($A309=VLOOKUP(YEAR($A309),'Festive dates'!$A$2:$J$5,7,FALSE),1,0)</f>
        <v>0</v>
      </c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>
      <c r="A310" s="8">
        <v>45325</v>
      </c>
      <c r="B310" s="9">
        <v>0</v>
      </c>
      <c r="C310" s="9">
        <v>0</v>
      </c>
      <c r="D310" s="9">
        <v>0</v>
      </c>
      <c r="E310" s="9">
        <v>0</v>
      </c>
      <c r="F310" s="9">
        <v>0</v>
      </c>
      <c r="G310" s="9">
        <v>0</v>
      </c>
      <c r="H310" s="9">
        <v>0</v>
      </c>
      <c r="I310" s="9">
        <v>0</v>
      </c>
      <c r="J310" s="9">
        <v>0</v>
      </c>
      <c r="K310" s="9">
        <v>0</v>
      </c>
      <c r="L310" s="9">
        <v>0</v>
      </c>
      <c r="M310" s="9">
        <v>0</v>
      </c>
      <c r="N310" s="9">
        <v>0</v>
      </c>
      <c r="O310" s="9">
        <v>0</v>
      </c>
      <c r="P310" s="9">
        <v>0</v>
      </c>
      <c r="Q310" s="9">
        <f>MAX(-20,MIN(10,$A310-VLOOKUP(YEAR($A310),'Festive dates'!$A$2:$J$5,8,FALSE)))</f>
        <v>-20</v>
      </c>
      <c r="R310" s="9">
        <f>IF(AND($A310&gt;VLOOKUP(YEAR($A310),'Festive dates'!$A$2:$J$5,2,FALSE),$A310&lt;VLOOKUP(YEAR($A310),'Festive dates'!$A$2:$J$5,3,FALSE)),1,0)</f>
        <v>0</v>
      </c>
      <c r="S310" s="9">
        <f>IF($A310=VLOOKUP(YEAR($A310),'Festive dates'!$A$2:$J$5,2,FALSE),1,0)</f>
        <v>0</v>
      </c>
      <c r="T310" s="9">
        <f>IF($A310=VLOOKUP(YEAR($A310),'Festive dates'!$A$2:$J$5,3,FALSE),1,0)</f>
        <v>0</v>
      </c>
      <c r="U310" s="9">
        <f>IF($A310=VLOOKUP(YEAR($A310),'Festive dates'!$A$2:$J$5,4,FALSE),1,0)</f>
        <v>0</v>
      </c>
      <c r="V310" s="9">
        <f>IF(AND($A310&gt;=VLOOKUP(YEAR($A310),'Festive dates'!$A$2:$J$5,9,FALSE),$A310&lt;=VLOOKUP(YEAR($A310),'Festive dates'!$A$2:$J$5,10,FALSE)),1,0)</f>
        <v>0</v>
      </c>
      <c r="W310" s="9">
        <f>IF($A310=VLOOKUP(YEAR($A310),'Festive dates'!$A$2:$J$5,7,FALSE),1,0)</f>
        <v>0</v>
      </c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>
      <c r="A311" s="8">
        <v>45326</v>
      </c>
      <c r="B311" s="9">
        <v>0</v>
      </c>
      <c r="C311" s="9">
        <v>0</v>
      </c>
      <c r="D311" s="9">
        <v>0</v>
      </c>
      <c r="E311" s="9">
        <v>0</v>
      </c>
      <c r="F311" s="9">
        <v>0</v>
      </c>
      <c r="G311" s="9">
        <v>0</v>
      </c>
      <c r="H311" s="9">
        <v>0</v>
      </c>
      <c r="I311" s="9">
        <v>0</v>
      </c>
      <c r="J311" s="9">
        <v>0</v>
      </c>
      <c r="K311" s="9">
        <v>0</v>
      </c>
      <c r="L311" s="9">
        <v>0</v>
      </c>
      <c r="M311" s="9">
        <v>0</v>
      </c>
      <c r="N311" s="9">
        <v>0</v>
      </c>
      <c r="O311" s="9">
        <v>0</v>
      </c>
      <c r="P311" s="9">
        <v>0</v>
      </c>
      <c r="Q311" s="9">
        <f>MAX(-20,MIN(10,$A311-VLOOKUP(YEAR($A311),'Festive dates'!$A$2:$J$5,8,FALSE)))</f>
        <v>-20</v>
      </c>
      <c r="R311" s="9">
        <f>IF(AND($A311&gt;VLOOKUP(YEAR($A311),'Festive dates'!$A$2:$J$5,2,FALSE),$A311&lt;VLOOKUP(YEAR($A311),'Festive dates'!$A$2:$J$5,3,FALSE)),1,0)</f>
        <v>0</v>
      </c>
      <c r="S311" s="9">
        <f>IF($A311=VLOOKUP(YEAR($A311),'Festive dates'!$A$2:$J$5,2,FALSE),1,0)</f>
        <v>0</v>
      </c>
      <c r="T311" s="9">
        <f>IF($A311=VLOOKUP(YEAR($A311),'Festive dates'!$A$2:$J$5,3,FALSE),1,0)</f>
        <v>0</v>
      </c>
      <c r="U311" s="9">
        <f>IF($A311=VLOOKUP(YEAR($A311),'Festive dates'!$A$2:$J$5,4,FALSE),1,0)</f>
        <v>0</v>
      </c>
      <c r="V311" s="9">
        <f>IF(AND($A311&gt;=VLOOKUP(YEAR($A311),'Festive dates'!$A$2:$J$5,9,FALSE),$A311&lt;=VLOOKUP(YEAR($A311),'Festive dates'!$A$2:$J$5,10,FALSE)),1,0)</f>
        <v>0</v>
      </c>
      <c r="W311" s="9">
        <f>IF($A311=VLOOKUP(YEAR($A311),'Festive dates'!$A$2:$J$5,7,FALSE),1,0)</f>
        <v>0</v>
      </c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>
      <c r="A312" s="8">
        <v>45327</v>
      </c>
      <c r="B312" s="9">
        <v>0</v>
      </c>
      <c r="C312" s="9">
        <v>0</v>
      </c>
      <c r="D312" s="9">
        <v>0</v>
      </c>
      <c r="E312" s="9">
        <v>0</v>
      </c>
      <c r="F312" s="9">
        <v>0</v>
      </c>
      <c r="G312" s="9">
        <v>0</v>
      </c>
      <c r="H312" s="9">
        <v>0</v>
      </c>
      <c r="I312" s="9">
        <v>0</v>
      </c>
      <c r="J312" s="9">
        <v>0</v>
      </c>
      <c r="K312" s="9">
        <v>0</v>
      </c>
      <c r="L312" s="9">
        <v>0</v>
      </c>
      <c r="M312" s="9">
        <v>0</v>
      </c>
      <c r="N312" s="9">
        <v>0</v>
      </c>
      <c r="O312" s="9">
        <v>0</v>
      </c>
      <c r="P312" s="9">
        <v>1</v>
      </c>
      <c r="Q312" s="9">
        <f>MAX(-20,MIN(10,$A312-VLOOKUP(YEAR($A312),'Festive dates'!$A$2:$J$5,8,FALSE)))</f>
        <v>-20</v>
      </c>
      <c r="R312" s="9">
        <f>IF(AND($A312&gt;VLOOKUP(YEAR($A312),'Festive dates'!$A$2:$J$5,2,FALSE),$A312&lt;VLOOKUP(YEAR($A312),'Festive dates'!$A$2:$J$5,3,FALSE)),1,0)</f>
        <v>0</v>
      </c>
      <c r="S312" s="9">
        <f>IF($A312=VLOOKUP(YEAR($A312),'Festive dates'!$A$2:$J$5,2,FALSE),1,0)</f>
        <v>0</v>
      </c>
      <c r="T312" s="9">
        <f>IF($A312=VLOOKUP(YEAR($A312),'Festive dates'!$A$2:$J$5,3,FALSE),1,0)</f>
        <v>0</v>
      </c>
      <c r="U312" s="9">
        <f>IF($A312=VLOOKUP(YEAR($A312),'Festive dates'!$A$2:$J$5,4,FALSE),1,0)</f>
        <v>0</v>
      </c>
      <c r="V312" s="9">
        <f>IF(AND($A312&gt;=VLOOKUP(YEAR($A312),'Festive dates'!$A$2:$J$5,9,FALSE),$A312&lt;=VLOOKUP(YEAR($A312),'Festive dates'!$A$2:$J$5,10,FALSE)),1,0)</f>
        <v>0</v>
      </c>
      <c r="W312" s="9">
        <f>IF($A312=VLOOKUP(YEAR($A312),'Festive dates'!$A$2:$J$5,7,FALSE),1,0)</f>
        <v>0</v>
      </c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>
      <c r="A313" s="8">
        <v>45328</v>
      </c>
      <c r="B313" s="9">
        <v>0</v>
      </c>
      <c r="C313" s="9">
        <v>0</v>
      </c>
      <c r="D313" s="9">
        <v>0</v>
      </c>
      <c r="E313" s="9">
        <v>0</v>
      </c>
      <c r="F313" s="9">
        <v>0</v>
      </c>
      <c r="G313" s="9">
        <v>0</v>
      </c>
      <c r="H313" s="9">
        <v>0</v>
      </c>
      <c r="I313" s="9">
        <v>0</v>
      </c>
      <c r="J313" s="9">
        <v>0</v>
      </c>
      <c r="K313" s="9">
        <v>0</v>
      </c>
      <c r="L313" s="9">
        <v>0</v>
      </c>
      <c r="M313" s="9">
        <v>0</v>
      </c>
      <c r="N313" s="9">
        <v>0</v>
      </c>
      <c r="O313" s="9">
        <v>0</v>
      </c>
      <c r="P313" s="9">
        <v>1</v>
      </c>
      <c r="Q313" s="9">
        <f>MAX(-20,MIN(10,$A313-VLOOKUP(YEAR($A313),'Festive dates'!$A$2:$J$5,8,FALSE)))</f>
        <v>-20</v>
      </c>
      <c r="R313" s="9">
        <f>IF(AND($A313&gt;VLOOKUP(YEAR($A313),'Festive dates'!$A$2:$J$5,2,FALSE),$A313&lt;VLOOKUP(YEAR($A313),'Festive dates'!$A$2:$J$5,3,FALSE)),1,0)</f>
        <v>0</v>
      </c>
      <c r="S313" s="9">
        <f>IF($A313=VLOOKUP(YEAR($A313),'Festive dates'!$A$2:$J$5,2,FALSE),1,0)</f>
        <v>0</v>
      </c>
      <c r="T313" s="9">
        <f>IF($A313=VLOOKUP(YEAR($A313),'Festive dates'!$A$2:$J$5,3,FALSE),1,0)</f>
        <v>0</v>
      </c>
      <c r="U313" s="9">
        <f>IF($A313=VLOOKUP(YEAR($A313),'Festive dates'!$A$2:$J$5,4,FALSE),1,0)</f>
        <v>0</v>
      </c>
      <c r="V313" s="9">
        <f>IF(AND($A313&gt;=VLOOKUP(YEAR($A313),'Festive dates'!$A$2:$J$5,9,FALSE),$A313&lt;=VLOOKUP(YEAR($A313),'Festive dates'!$A$2:$J$5,10,FALSE)),1,0)</f>
        <v>0</v>
      </c>
      <c r="W313" s="9">
        <f>IF($A313=VLOOKUP(YEAR($A313),'Festive dates'!$A$2:$J$5,7,FALSE),1,0)</f>
        <v>0</v>
      </c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>
      <c r="A314" s="8">
        <v>45329</v>
      </c>
      <c r="B314" s="9">
        <v>0</v>
      </c>
      <c r="C314" s="9">
        <v>0</v>
      </c>
      <c r="D314" s="9">
        <v>0</v>
      </c>
      <c r="E314" s="9">
        <v>0</v>
      </c>
      <c r="F314" s="9">
        <v>0</v>
      </c>
      <c r="G314" s="9">
        <v>0</v>
      </c>
      <c r="H314" s="9">
        <v>0</v>
      </c>
      <c r="I314" s="9">
        <v>0</v>
      </c>
      <c r="J314" s="9">
        <v>0</v>
      </c>
      <c r="K314" s="9">
        <v>0</v>
      </c>
      <c r="L314" s="9">
        <v>0</v>
      </c>
      <c r="M314" s="9">
        <v>0</v>
      </c>
      <c r="N314" s="9">
        <v>0</v>
      </c>
      <c r="O314" s="9">
        <v>0</v>
      </c>
      <c r="P314" s="9">
        <v>0</v>
      </c>
      <c r="Q314" s="9">
        <f>MAX(-20,MIN(10,$A314-VLOOKUP(YEAR($A314),'Festive dates'!$A$2:$J$5,8,FALSE)))</f>
        <v>-20</v>
      </c>
      <c r="R314" s="9">
        <f>IF(AND($A314&gt;VLOOKUP(YEAR($A314),'Festive dates'!$A$2:$J$5,2,FALSE),$A314&lt;VLOOKUP(YEAR($A314),'Festive dates'!$A$2:$J$5,3,FALSE)),1,0)</f>
        <v>0</v>
      </c>
      <c r="S314" s="9">
        <f>IF($A314=VLOOKUP(YEAR($A314),'Festive dates'!$A$2:$J$5,2,FALSE),1,0)</f>
        <v>0</v>
      </c>
      <c r="T314" s="9">
        <f>IF($A314=VLOOKUP(YEAR($A314),'Festive dates'!$A$2:$J$5,3,FALSE),1,0)</f>
        <v>0</v>
      </c>
      <c r="U314" s="9">
        <f>IF($A314=VLOOKUP(YEAR($A314),'Festive dates'!$A$2:$J$5,4,FALSE),1,0)</f>
        <v>0</v>
      </c>
      <c r="V314" s="9">
        <f>IF(AND($A314&gt;=VLOOKUP(YEAR($A314),'Festive dates'!$A$2:$J$5,9,FALSE),$A314&lt;=VLOOKUP(YEAR($A314),'Festive dates'!$A$2:$J$5,10,FALSE)),1,0)</f>
        <v>0</v>
      </c>
      <c r="W314" s="9">
        <f>IF($A314=VLOOKUP(YEAR($A314),'Festive dates'!$A$2:$J$5,7,FALSE),1,0)</f>
        <v>0</v>
      </c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>
      <c r="A315" s="8">
        <v>45330</v>
      </c>
      <c r="B315" s="9">
        <v>0</v>
      </c>
      <c r="C315" s="9">
        <v>0</v>
      </c>
      <c r="D315" s="9">
        <v>0</v>
      </c>
      <c r="E315" s="9">
        <v>0</v>
      </c>
      <c r="F315" s="9">
        <v>0</v>
      </c>
      <c r="G315" s="9">
        <v>0</v>
      </c>
      <c r="H315" s="9">
        <v>0</v>
      </c>
      <c r="I315" s="9">
        <v>0</v>
      </c>
      <c r="J315" s="9">
        <v>0</v>
      </c>
      <c r="K315" s="9">
        <v>0</v>
      </c>
      <c r="L315" s="9">
        <v>0</v>
      </c>
      <c r="M315" s="9">
        <v>0</v>
      </c>
      <c r="N315" s="9">
        <v>0</v>
      </c>
      <c r="O315" s="9">
        <v>0</v>
      </c>
      <c r="P315" s="9">
        <v>0</v>
      </c>
      <c r="Q315" s="9">
        <f>MAX(-20,MIN(10,$A315-VLOOKUP(YEAR($A315),'Festive dates'!$A$2:$J$5,8,FALSE)))</f>
        <v>-20</v>
      </c>
      <c r="R315" s="9">
        <f>IF(AND($A315&gt;VLOOKUP(YEAR($A315),'Festive dates'!$A$2:$J$5,2,FALSE),$A315&lt;VLOOKUP(YEAR($A315),'Festive dates'!$A$2:$J$5,3,FALSE)),1,0)</f>
        <v>0</v>
      </c>
      <c r="S315" s="9">
        <f>IF($A315=VLOOKUP(YEAR($A315),'Festive dates'!$A$2:$J$5,2,FALSE),1,0)</f>
        <v>0</v>
      </c>
      <c r="T315" s="9">
        <f>IF($A315=VLOOKUP(YEAR($A315),'Festive dates'!$A$2:$J$5,3,FALSE),1,0)</f>
        <v>0</v>
      </c>
      <c r="U315" s="9">
        <f>IF($A315=VLOOKUP(YEAR($A315),'Festive dates'!$A$2:$J$5,4,FALSE),1,0)</f>
        <v>0</v>
      </c>
      <c r="V315" s="9">
        <f>IF(AND($A315&gt;=VLOOKUP(YEAR($A315),'Festive dates'!$A$2:$J$5,9,FALSE),$A315&lt;=VLOOKUP(YEAR($A315),'Festive dates'!$A$2:$J$5,10,FALSE)),1,0)</f>
        <v>0</v>
      </c>
      <c r="W315" s="9">
        <f>IF($A315=VLOOKUP(YEAR($A315),'Festive dates'!$A$2:$J$5,7,FALSE),1,0)</f>
        <v>0</v>
      </c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>
      <c r="A316" s="8">
        <v>45331</v>
      </c>
      <c r="B316" s="9">
        <v>0</v>
      </c>
      <c r="C316" s="9">
        <v>0</v>
      </c>
      <c r="D316" s="9">
        <v>0</v>
      </c>
      <c r="E316" s="9">
        <v>0</v>
      </c>
      <c r="F316" s="9">
        <v>0</v>
      </c>
      <c r="G316" s="9">
        <v>0</v>
      </c>
      <c r="H316" s="9">
        <v>0</v>
      </c>
      <c r="I316" s="9">
        <v>0</v>
      </c>
      <c r="J316" s="9">
        <v>0</v>
      </c>
      <c r="K316" s="9">
        <v>0</v>
      </c>
      <c r="L316" s="9">
        <v>0</v>
      </c>
      <c r="M316" s="9">
        <v>0</v>
      </c>
      <c r="N316" s="9">
        <v>0</v>
      </c>
      <c r="O316" s="9">
        <v>0</v>
      </c>
      <c r="P316" s="9">
        <v>0</v>
      </c>
      <c r="Q316" s="9">
        <f>MAX(-20,MIN(10,$A316-VLOOKUP(YEAR($A316),'Festive dates'!$A$2:$J$5,8,FALSE)))</f>
        <v>-20</v>
      </c>
      <c r="R316" s="9">
        <f>IF(AND($A316&gt;VLOOKUP(YEAR($A316),'Festive dates'!$A$2:$J$5,2,FALSE),$A316&lt;VLOOKUP(YEAR($A316),'Festive dates'!$A$2:$J$5,3,FALSE)),1,0)</f>
        <v>0</v>
      </c>
      <c r="S316" s="9">
        <f>IF($A316=VLOOKUP(YEAR($A316),'Festive dates'!$A$2:$J$5,2,FALSE),1,0)</f>
        <v>0</v>
      </c>
      <c r="T316" s="9">
        <f>IF($A316=VLOOKUP(YEAR($A316),'Festive dates'!$A$2:$J$5,3,FALSE),1,0)</f>
        <v>0</v>
      </c>
      <c r="U316" s="9">
        <f>IF($A316=VLOOKUP(YEAR($A316),'Festive dates'!$A$2:$J$5,4,FALSE),1,0)</f>
        <v>0</v>
      </c>
      <c r="V316" s="9">
        <f>IF(AND($A316&gt;=VLOOKUP(YEAR($A316),'Festive dates'!$A$2:$J$5,9,FALSE),$A316&lt;=VLOOKUP(YEAR($A316),'Festive dates'!$A$2:$J$5,10,FALSE)),1,0)</f>
        <v>0</v>
      </c>
      <c r="W316" s="9">
        <f>IF($A316=VLOOKUP(YEAR($A316),'Festive dates'!$A$2:$J$5,7,FALSE),1,0)</f>
        <v>0</v>
      </c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>
      <c r="A317" s="8">
        <v>45332</v>
      </c>
      <c r="B317" s="9">
        <v>0</v>
      </c>
      <c r="C317" s="9">
        <v>0</v>
      </c>
      <c r="D317" s="9">
        <v>0</v>
      </c>
      <c r="E317" s="9">
        <v>0</v>
      </c>
      <c r="F317" s="9">
        <v>0</v>
      </c>
      <c r="G317" s="9">
        <v>0</v>
      </c>
      <c r="H317" s="9">
        <v>0</v>
      </c>
      <c r="I317" s="9">
        <v>0</v>
      </c>
      <c r="J317" s="9">
        <v>0</v>
      </c>
      <c r="K317" s="9">
        <v>0</v>
      </c>
      <c r="L317" s="9">
        <v>0</v>
      </c>
      <c r="M317" s="9">
        <v>0</v>
      </c>
      <c r="N317" s="9">
        <v>0</v>
      </c>
      <c r="O317" s="9">
        <v>0</v>
      </c>
      <c r="P317" s="9">
        <v>1</v>
      </c>
      <c r="Q317" s="9">
        <f>MAX(-20,MIN(10,$A317-VLOOKUP(YEAR($A317),'Festive dates'!$A$2:$J$5,8,FALSE)))</f>
        <v>-20</v>
      </c>
      <c r="R317" s="9">
        <f>IF(AND($A317&gt;VLOOKUP(YEAR($A317),'Festive dates'!$A$2:$J$5,2,FALSE),$A317&lt;VLOOKUP(YEAR($A317),'Festive dates'!$A$2:$J$5,3,FALSE)),1,0)</f>
        <v>0</v>
      </c>
      <c r="S317" s="9">
        <f>IF($A317=VLOOKUP(YEAR($A317),'Festive dates'!$A$2:$J$5,2,FALSE),1,0)</f>
        <v>0</v>
      </c>
      <c r="T317" s="9">
        <f>IF($A317=VLOOKUP(YEAR($A317),'Festive dates'!$A$2:$J$5,3,FALSE),1,0)</f>
        <v>0</v>
      </c>
      <c r="U317" s="9">
        <f>IF($A317=VLOOKUP(YEAR($A317),'Festive dates'!$A$2:$J$5,4,FALSE),1,0)</f>
        <v>0</v>
      </c>
      <c r="V317" s="9">
        <f>IF(AND($A317&gt;=VLOOKUP(YEAR($A317),'Festive dates'!$A$2:$J$5,9,FALSE),$A317&lt;=VLOOKUP(YEAR($A317),'Festive dates'!$A$2:$J$5,10,FALSE)),1,0)</f>
        <v>0</v>
      </c>
      <c r="W317" s="9">
        <f>IF($A317=VLOOKUP(YEAR($A317),'Festive dates'!$A$2:$J$5,7,FALSE),1,0)</f>
        <v>0</v>
      </c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>
      <c r="A318" s="8">
        <v>45333</v>
      </c>
      <c r="B318" s="9">
        <v>0</v>
      </c>
      <c r="C318" s="9">
        <v>0</v>
      </c>
      <c r="D318" s="9">
        <v>0</v>
      </c>
      <c r="E318" s="9">
        <v>0</v>
      </c>
      <c r="F318" s="9">
        <v>0</v>
      </c>
      <c r="G318" s="9">
        <v>0</v>
      </c>
      <c r="H318" s="9">
        <v>0</v>
      </c>
      <c r="I318" s="9">
        <v>0</v>
      </c>
      <c r="J318" s="9">
        <v>0</v>
      </c>
      <c r="K318" s="9">
        <v>0</v>
      </c>
      <c r="L318" s="9">
        <v>0</v>
      </c>
      <c r="M318" s="9">
        <v>0</v>
      </c>
      <c r="N318" s="9">
        <v>0</v>
      </c>
      <c r="O318" s="9">
        <v>0</v>
      </c>
      <c r="P318" s="9">
        <v>0</v>
      </c>
      <c r="Q318" s="9">
        <f>MAX(-20,MIN(10,$A318-VLOOKUP(YEAR($A318),'Festive dates'!$A$2:$J$5,8,FALSE)))</f>
        <v>-20</v>
      </c>
      <c r="R318" s="9">
        <f>IF(AND($A318&gt;VLOOKUP(YEAR($A318),'Festive dates'!$A$2:$J$5,2,FALSE),$A318&lt;VLOOKUP(YEAR($A318),'Festive dates'!$A$2:$J$5,3,FALSE)),1,0)</f>
        <v>0</v>
      </c>
      <c r="S318" s="9">
        <f>IF($A318=VLOOKUP(YEAR($A318),'Festive dates'!$A$2:$J$5,2,FALSE),1,0)</f>
        <v>0</v>
      </c>
      <c r="T318" s="9">
        <f>IF($A318=VLOOKUP(YEAR($A318),'Festive dates'!$A$2:$J$5,3,FALSE),1,0)</f>
        <v>0</v>
      </c>
      <c r="U318" s="9">
        <f>IF($A318=VLOOKUP(YEAR($A318),'Festive dates'!$A$2:$J$5,4,FALSE),1,0)</f>
        <v>0</v>
      </c>
      <c r="V318" s="9">
        <f>IF(AND($A318&gt;=VLOOKUP(YEAR($A318),'Festive dates'!$A$2:$J$5,9,FALSE),$A318&lt;=VLOOKUP(YEAR($A318),'Festive dates'!$A$2:$J$5,10,FALSE)),1,0)</f>
        <v>0</v>
      </c>
      <c r="W318" s="9">
        <f>IF($A318=VLOOKUP(YEAR($A318),'Festive dates'!$A$2:$J$5,7,FALSE),1,0)</f>
        <v>0</v>
      </c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>
      <c r="A319" s="8">
        <v>45334</v>
      </c>
      <c r="B319" s="9">
        <v>0</v>
      </c>
      <c r="C319" s="9">
        <v>0</v>
      </c>
      <c r="D319" s="9">
        <v>0</v>
      </c>
      <c r="E319" s="9">
        <v>0</v>
      </c>
      <c r="F319" s="9">
        <v>0</v>
      </c>
      <c r="G319" s="9">
        <v>0</v>
      </c>
      <c r="H319" s="9">
        <v>0</v>
      </c>
      <c r="I319" s="9">
        <v>0</v>
      </c>
      <c r="J319" s="9">
        <v>0</v>
      </c>
      <c r="K319" s="9">
        <v>0</v>
      </c>
      <c r="L319" s="9">
        <v>0</v>
      </c>
      <c r="M319" s="9">
        <v>0</v>
      </c>
      <c r="N319" s="9">
        <v>0</v>
      </c>
      <c r="O319" s="9">
        <v>0</v>
      </c>
      <c r="P319" s="9">
        <v>0</v>
      </c>
      <c r="Q319" s="9">
        <f>MAX(-20,MIN(10,$A319-VLOOKUP(YEAR($A319),'Festive dates'!$A$2:$J$5,8,FALSE)))</f>
        <v>-20</v>
      </c>
      <c r="R319" s="9">
        <f>IF(AND($A319&gt;VLOOKUP(YEAR($A319),'Festive dates'!$A$2:$J$5,2,FALSE),$A319&lt;VLOOKUP(YEAR($A319),'Festive dates'!$A$2:$J$5,3,FALSE)),1,0)</f>
        <v>0</v>
      </c>
      <c r="S319" s="9">
        <f>IF($A319=VLOOKUP(YEAR($A319),'Festive dates'!$A$2:$J$5,2,FALSE),1,0)</f>
        <v>0</v>
      </c>
      <c r="T319" s="9">
        <f>IF($A319=VLOOKUP(YEAR($A319),'Festive dates'!$A$2:$J$5,3,FALSE),1,0)</f>
        <v>0</v>
      </c>
      <c r="U319" s="9">
        <f>IF($A319=VLOOKUP(YEAR($A319),'Festive dates'!$A$2:$J$5,4,FALSE),1,0)</f>
        <v>0</v>
      </c>
      <c r="V319" s="9">
        <f>IF(AND($A319&gt;=VLOOKUP(YEAR($A319),'Festive dates'!$A$2:$J$5,9,FALSE),$A319&lt;=VLOOKUP(YEAR($A319),'Festive dates'!$A$2:$J$5,10,FALSE)),1,0)</f>
        <v>0</v>
      </c>
      <c r="W319" s="9">
        <f>IF($A319=VLOOKUP(YEAR($A319),'Festive dates'!$A$2:$J$5,7,FALSE),1,0)</f>
        <v>0</v>
      </c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>
      <c r="A320" s="8">
        <v>45335</v>
      </c>
      <c r="B320" s="9">
        <v>0</v>
      </c>
      <c r="C320" s="9">
        <v>0</v>
      </c>
      <c r="D320" s="9">
        <v>0</v>
      </c>
      <c r="E320" s="9">
        <v>0</v>
      </c>
      <c r="F320" s="9">
        <v>0</v>
      </c>
      <c r="G320" s="9">
        <v>0</v>
      </c>
      <c r="H320" s="9">
        <v>0</v>
      </c>
      <c r="I320" s="9">
        <v>0</v>
      </c>
      <c r="J320" s="9">
        <v>0</v>
      </c>
      <c r="K320" s="9">
        <v>0</v>
      </c>
      <c r="L320" s="9">
        <v>0</v>
      </c>
      <c r="M320" s="9">
        <v>0</v>
      </c>
      <c r="N320" s="9">
        <v>0</v>
      </c>
      <c r="O320" s="9">
        <v>0</v>
      </c>
      <c r="P320" s="9">
        <v>0</v>
      </c>
      <c r="Q320" s="9">
        <f>MAX(-20,MIN(10,$A320-VLOOKUP(YEAR($A320),'Festive dates'!$A$2:$J$5,8,FALSE)))</f>
        <v>-20</v>
      </c>
      <c r="R320" s="9">
        <f>IF(AND($A320&gt;VLOOKUP(YEAR($A320),'Festive dates'!$A$2:$J$5,2,FALSE),$A320&lt;VLOOKUP(YEAR($A320),'Festive dates'!$A$2:$J$5,3,FALSE)),1,0)</f>
        <v>0</v>
      </c>
      <c r="S320" s="9">
        <f>IF($A320=VLOOKUP(YEAR($A320),'Festive dates'!$A$2:$J$5,2,FALSE),1,0)</f>
        <v>0</v>
      </c>
      <c r="T320" s="9">
        <f>IF($A320=VLOOKUP(YEAR($A320),'Festive dates'!$A$2:$J$5,3,FALSE),1,0)</f>
        <v>0</v>
      </c>
      <c r="U320" s="9">
        <f>IF($A320=VLOOKUP(YEAR($A320),'Festive dates'!$A$2:$J$5,4,FALSE),1,0)</f>
        <v>0</v>
      </c>
      <c r="V320" s="9">
        <f>IF(AND($A320&gt;=VLOOKUP(YEAR($A320),'Festive dates'!$A$2:$J$5,9,FALSE),$A320&lt;=VLOOKUP(YEAR($A320),'Festive dates'!$A$2:$J$5,10,FALSE)),1,0)</f>
        <v>0</v>
      </c>
      <c r="W320" s="9">
        <f>IF($A320=VLOOKUP(YEAR($A320),'Festive dates'!$A$2:$J$5,7,FALSE),1,0)</f>
        <v>0</v>
      </c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>
      <c r="A321" s="8">
        <v>45336</v>
      </c>
      <c r="B321" s="9">
        <v>0</v>
      </c>
      <c r="C321" s="9">
        <v>0</v>
      </c>
      <c r="D321" s="9">
        <v>0</v>
      </c>
      <c r="E321" s="9">
        <v>0</v>
      </c>
      <c r="F321" s="9">
        <v>0</v>
      </c>
      <c r="G321" s="9">
        <v>0</v>
      </c>
      <c r="H321" s="9">
        <v>0</v>
      </c>
      <c r="I321" s="9">
        <v>0</v>
      </c>
      <c r="J321" s="9">
        <v>0</v>
      </c>
      <c r="K321" s="9">
        <v>0</v>
      </c>
      <c r="L321" s="9">
        <v>0</v>
      </c>
      <c r="M321" s="9">
        <v>0</v>
      </c>
      <c r="N321" s="9">
        <v>0</v>
      </c>
      <c r="O321" s="9">
        <v>0</v>
      </c>
      <c r="P321" s="9">
        <v>0</v>
      </c>
      <c r="Q321" s="9">
        <f>MAX(-20,MIN(10,$A321-VLOOKUP(YEAR($A321),'Festive dates'!$A$2:$J$5,8,FALSE)))</f>
        <v>-20</v>
      </c>
      <c r="R321" s="9">
        <f>IF(AND($A321&gt;VLOOKUP(YEAR($A321),'Festive dates'!$A$2:$J$5,2,FALSE),$A321&lt;VLOOKUP(YEAR($A321),'Festive dates'!$A$2:$J$5,3,FALSE)),1,0)</f>
        <v>0</v>
      </c>
      <c r="S321" s="9">
        <f>IF($A321=VLOOKUP(YEAR($A321),'Festive dates'!$A$2:$J$5,2,FALSE),1,0)</f>
        <v>0</v>
      </c>
      <c r="T321" s="9">
        <f>IF($A321=VLOOKUP(YEAR($A321),'Festive dates'!$A$2:$J$5,3,FALSE),1,0)</f>
        <v>0</v>
      </c>
      <c r="U321" s="9">
        <f>IF($A321=VLOOKUP(YEAR($A321),'Festive dates'!$A$2:$J$5,4,FALSE),1,0)</f>
        <v>0</v>
      </c>
      <c r="V321" s="9">
        <f>IF(AND($A321&gt;=VLOOKUP(YEAR($A321),'Festive dates'!$A$2:$J$5,9,FALSE),$A321&lt;=VLOOKUP(YEAR($A321),'Festive dates'!$A$2:$J$5,10,FALSE)),1,0)</f>
        <v>0</v>
      </c>
      <c r="W321" s="9">
        <f>IF($A321=VLOOKUP(YEAR($A321),'Festive dates'!$A$2:$J$5,7,FALSE),1,0)</f>
        <v>0</v>
      </c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>
      <c r="A322" s="8">
        <v>45337</v>
      </c>
      <c r="B322" s="9">
        <v>0</v>
      </c>
      <c r="C322" s="9">
        <v>0</v>
      </c>
      <c r="D322" s="9">
        <v>0</v>
      </c>
      <c r="E322" s="9">
        <v>0</v>
      </c>
      <c r="F322" s="9">
        <v>0</v>
      </c>
      <c r="G322" s="9">
        <v>0</v>
      </c>
      <c r="H322" s="9">
        <v>0</v>
      </c>
      <c r="I322" s="9">
        <v>0</v>
      </c>
      <c r="J322" s="9">
        <v>0</v>
      </c>
      <c r="K322" s="9">
        <v>0</v>
      </c>
      <c r="L322" s="9">
        <v>0</v>
      </c>
      <c r="M322" s="9">
        <v>0</v>
      </c>
      <c r="N322" s="9">
        <v>0</v>
      </c>
      <c r="O322" s="9">
        <v>0</v>
      </c>
      <c r="P322" s="9">
        <v>0</v>
      </c>
      <c r="Q322" s="9">
        <f>MAX(-20,MIN(10,$A322-VLOOKUP(YEAR($A322),'Festive dates'!$A$2:$J$5,8,FALSE)))</f>
        <v>-20</v>
      </c>
      <c r="R322" s="9">
        <f>IF(AND($A322&gt;VLOOKUP(YEAR($A322),'Festive dates'!$A$2:$J$5,2,FALSE),$A322&lt;VLOOKUP(YEAR($A322),'Festive dates'!$A$2:$J$5,3,FALSE)),1,0)</f>
        <v>0</v>
      </c>
      <c r="S322" s="9">
        <f>IF($A322=VLOOKUP(YEAR($A322),'Festive dates'!$A$2:$J$5,2,FALSE),1,0)</f>
        <v>0</v>
      </c>
      <c r="T322" s="9">
        <f>IF($A322=VLOOKUP(YEAR($A322),'Festive dates'!$A$2:$J$5,3,FALSE),1,0)</f>
        <v>0</v>
      </c>
      <c r="U322" s="9">
        <f>IF($A322=VLOOKUP(YEAR($A322),'Festive dates'!$A$2:$J$5,4,FALSE),1,0)</f>
        <v>0</v>
      </c>
      <c r="V322" s="9">
        <f>IF(AND($A322&gt;=VLOOKUP(YEAR($A322),'Festive dates'!$A$2:$J$5,9,FALSE),$A322&lt;=VLOOKUP(YEAR($A322),'Festive dates'!$A$2:$J$5,10,FALSE)),1,0)</f>
        <v>0</v>
      </c>
      <c r="W322" s="9">
        <f>IF($A322=VLOOKUP(YEAR($A322),'Festive dates'!$A$2:$J$5,7,FALSE),1,0)</f>
        <v>0</v>
      </c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>
      <c r="A323" s="8">
        <v>45338</v>
      </c>
      <c r="B323" s="9">
        <v>0</v>
      </c>
      <c r="C323" s="9">
        <v>0</v>
      </c>
      <c r="D323" s="9">
        <v>0</v>
      </c>
      <c r="E323" s="9">
        <v>0</v>
      </c>
      <c r="F323" s="9">
        <v>0</v>
      </c>
      <c r="G323" s="9">
        <v>0</v>
      </c>
      <c r="H323" s="9">
        <v>0</v>
      </c>
      <c r="I323" s="9">
        <v>0</v>
      </c>
      <c r="J323" s="9">
        <v>0</v>
      </c>
      <c r="K323" s="9">
        <v>0</v>
      </c>
      <c r="L323" s="9">
        <v>0</v>
      </c>
      <c r="M323" s="9">
        <v>0</v>
      </c>
      <c r="N323" s="9">
        <v>0</v>
      </c>
      <c r="O323" s="9">
        <v>0</v>
      </c>
      <c r="P323" s="9">
        <v>0</v>
      </c>
      <c r="Q323" s="9">
        <f>MAX(-20,MIN(10,$A323-VLOOKUP(YEAR($A323),'Festive dates'!$A$2:$J$5,8,FALSE)))</f>
        <v>-20</v>
      </c>
      <c r="R323" s="9">
        <f>IF(AND($A323&gt;VLOOKUP(YEAR($A323),'Festive dates'!$A$2:$J$5,2,FALSE),$A323&lt;VLOOKUP(YEAR($A323),'Festive dates'!$A$2:$J$5,3,FALSE)),1,0)</f>
        <v>0</v>
      </c>
      <c r="S323" s="9">
        <f>IF($A323=VLOOKUP(YEAR($A323),'Festive dates'!$A$2:$J$5,2,FALSE),1,0)</f>
        <v>0</v>
      </c>
      <c r="T323" s="9">
        <f>IF($A323=VLOOKUP(YEAR($A323),'Festive dates'!$A$2:$J$5,3,FALSE),1,0)</f>
        <v>0</v>
      </c>
      <c r="U323" s="9">
        <f>IF($A323=VLOOKUP(YEAR($A323),'Festive dates'!$A$2:$J$5,4,FALSE),1,0)</f>
        <v>0</v>
      </c>
      <c r="V323" s="9">
        <f>IF(AND($A323&gt;=VLOOKUP(YEAR($A323),'Festive dates'!$A$2:$J$5,9,FALSE),$A323&lt;=VLOOKUP(YEAR($A323),'Festive dates'!$A$2:$J$5,10,FALSE)),1,0)</f>
        <v>0</v>
      </c>
      <c r="W323" s="9">
        <f>IF($A323=VLOOKUP(YEAR($A323),'Festive dates'!$A$2:$J$5,7,FALSE),1,0)</f>
        <v>0</v>
      </c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>
      <c r="A324" s="8">
        <v>45339</v>
      </c>
      <c r="B324" s="9">
        <v>0</v>
      </c>
      <c r="C324" s="9">
        <v>0</v>
      </c>
      <c r="D324" s="9">
        <v>0</v>
      </c>
      <c r="E324" s="9">
        <v>0</v>
      </c>
      <c r="F324" s="9">
        <v>0</v>
      </c>
      <c r="G324" s="9">
        <v>0</v>
      </c>
      <c r="H324" s="9">
        <v>0</v>
      </c>
      <c r="I324" s="9">
        <v>0</v>
      </c>
      <c r="J324" s="9">
        <v>0</v>
      </c>
      <c r="K324" s="9">
        <v>0</v>
      </c>
      <c r="L324" s="9">
        <v>0</v>
      </c>
      <c r="M324" s="9">
        <v>0</v>
      </c>
      <c r="N324" s="9">
        <v>0</v>
      </c>
      <c r="O324" s="9">
        <v>0</v>
      </c>
      <c r="P324" s="9">
        <v>1</v>
      </c>
      <c r="Q324" s="9">
        <f>MAX(-20,MIN(10,$A324-VLOOKUP(YEAR($A324),'Festive dates'!$A$2:$J$5,8,FALSE)))</f>
        <v>-20</v>
      </c>
      <c r="R324" s="9">
        <f>IF(AND($A324&gt;VLOOKUP(YEAR($A324),'Festive dates'!$A$2:$J$5,2,FALSE),$A324&lt;VLOOKUP(YEAR($A324),'Festive dates'!$A$2:$J$5,3,FALSE)),1,0)</f>
        <v>0</v>
      </c>
      <c r="S324" s="9">
        <f>IF($A324=VLOOKUP(YEAR($A324),'Festive dates'!$A$2:$J$5,2,FALSE),1,0)</f>
        <v>0</v>
      </c>
      <c r="T324" s="9">
        <f>IF($A324=VLOOKUP(YEAR($A324),'Festive dates'!$A$2:$J$5,3,FALSE),1,0)</f>
        <v>0</v>
      </c>
      <c r="U324" s="9">
        <f>IF($A324=VLOOKUP(YEAR($A324),'Festive dates'!$A$2:$J$5,4,FALSE),1,0)</f>
        <v>0</v>
      </c>
      <c r="V324" s="9">
        <f>IF(AND($A324&gt;=VLOOKUP(YEAR($A324),'Festive dates'!$A$2:$J$5,9,FALSE),$A324&lt;=VLOOKUP(YEAR($A324),'Festive dates'!$A$2:$J$5,10,FALSE)),1,0)</f>
        <v>0</v>
      </c>
      <c r="W324" s="9">
        <f>IF($A324=VLOOKUP(YEAR($A324),'Festive dates'!$A$2:$J$5,7,FALSE),1,0)</f>
        <v>0</v>
      </c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>
      <c r="A325" s="8">
        <v>45340</v>
      </c>
      <c r="B325" s="9">
        <v>0</v>
      </c>
      <c r="C325" s="9">
        <v>0</v>
      </c>
      <c r="D325" s="9">
        <v>0</v>
      </c>
      <c r="E325" s="9">
        <v>0</v>
      </c>
      <c r="F325" s="9">
        <v>0</v>
      </c>
      <c r="G325" s="9">
        <v>0</v>
      </c>
      <c r="H325" s="9">
        <v>0</v>
      </c>
      <c r="I325" s="9">
        <v>0</v>
      </c>
      <c r="J325" s="9">
        <v>0</v>
      </c>
      <c r="K325" s="9">
        <v>0</v>
      </c>
      <c r="L325" s="9">
        <v>0</v>
      </c>
      <c r="M325" s="9">
        <v>0</v>
      </c>
      <c r="N325" s="9">
        <v>0</v>
      </c>
      <c r="O325" s="9">
        <v>0</v>
      </c>
      <c r="P325" s="9">
        <v>1</v>
      </c>
      <c r="Q325" s="9">
        <f>MAX(-20,MIN(10,$A325-VLOOKUP(YEAR($A325),'Festive dates'!$A$2:$J$5,8,FALSE)))</f>
        <v>-20</v>
      </c>
      <c r="R325" s="9">
        <f>IF(AND($A325&gt;VLOOKUP(YEAR($A325),'Festive dates'!$A$2:$J$5,2,FALSE),$A325&lt;VLOOKUP(YEAR($A325),'Festive dates'!$A$2:$J$5,3,FALSE)),1,0)</f>
        <v>0</v>
      </c>
      <c r="S325" s="9">
        <f>IF($A325=VLOOKUP(YEAR($A325),'Festive dates'!$A$2:$J$5,2,FALSE),1,0)</f>
        <v>0</v>
      </c>
      <c r="T325" s="9">
        <f>IF($A325=VLOOKUP(YEAR($A325),'Festive dates'!$A$2:$J$5,3,FALSE),1,0)</f>
        <v>0</v>
      </c>
      <c r="U325" s="9">
        <f>IF($A325=VLOOKUP(YEAR($A325),'Festive dates'!$A$2:$J$5,4,FALSE),1,0)</f>
        <v>0</v>
      </c>
      <c r="V325" s="9">
        <f>IF(AND($A325&gt;=VLOOKUP(YEAR($A325),'Festive dates'!$A$2:$J$5,9,FALSE),$A325&lt;=VLOOKUP(YEAR($A325),'Festive dates'!$A$2:$J$5,10,FALSE)),1,0)</f>
        <v>0</v>
      </c>
      <c r="W325" s="9">
        <f>IF($A325=VLOOKUP(YEAR($A325),'Festive dates'!$A$2:$J$5,7,FALSE),1,0)</f>
        <v>0</v>
      </c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>
      <c r="A326" s="8">
        <v>45341</v>
      </c>
      <c r="B326" s="9">
        <v>0</v>
      </c>
      <c r="C326" s="9">
        <v>0</v>
      </c>
      <c r="D326" s="9">
        <v>0</v>
      </c>
      <c r="E326" s="9">
        <v>0</v>
      </c>
      <c r="F326" s="9">
        <v>0</v>
      </c>
      <c r="G326" s="9">
        <v>0</v>
      </c>
      <c r="H326" s="9">
        <v>0</v>
      </c>
      <c r="I326" s="9">
        <v>0</v>
      </c>
      <c r="J326" s="9">
        <v>0</v>
      </c>
      <c r="K326" s="9">
        <v>0</v>
      </c>
      <c r="L326" s="9">
        <v>0</v>
      </c>
      <c r="M326" s="9">
        <v>0</v>
      </c>
      <c r="N326" s="9">
        <v>0</v>
      </c>
      <c r="O326" s="9">
        <v>0</v>
      </c>
      <c r="P326" s="9">
        <v>1</v>
      </c>
      <c r="Q326" s="9">
        <f>MAX(-20,MIN(10,$A326-VLOOKUP(YEAR($A326),'Festive dates'!$A$2:$J$5,8,FALSE)))</f>
        <v>-20</v>
      </c>
      <c r="R326" s="9">
        <f>IF(AND($A326&gt;VLOOKUP(YEAR($A326),'Festive dates'!$A$2:$J$5,2,FALSE),$A326&lt;VLOOKUP(YEAR($A326),'Festive dates'!$A$2:$J$5,3,FALSE)),1,0)</f>
        <v>0</v>
      </c>
      <c r="S326" s="9">
        <f>IF($A326=VLOOKUP(YEAR($A326),'Festive dates'!$A$2:$J$5,2,FALSE),1,0)</f>
        <v>0</v>
      </c>
      <c r="T326" s="9">
        <f>IF($A326=VLOOKUP(YEAR($A326),'Festive dates'!$A$2:$J$5,3,FALSE),1,0)</f>
        <v>0</v>
      </c>
      <c r="U326" s="9">
        <f>IF($A326=VLOOKUP(YEAR($A326),'Festive dates'!$A$2:$J$5,4,FALSE),1,0)</f>
        <v>0</v>
      </c>
      <c r="V326" s="9">
        <f>IF(AND($A326&gt;=VLOOKUP(YEAR($A326),'Festive dates'!$A$2:$J$5,9,FALSE),$A326&lt;=VLOOKUP(YEAR($A326),'Festive dates'!$A$2:$J$5,10,FALSE)),1,0)</f>
        <v>0</v>
      </c>
      <c r="W326" s="9">
        <f>IF($A326=VLOOKUP(YEAR($A326),'Festive dates'!$A$2:$J$5,7,FALSE),1,0)</f>
        <v>0</v>
      </c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>
      <c r="A327" s="8">
        <v>45342</v>
      </c>
      <c r="B327" s="9">
        <v>0</v>
      </c>
      <c r="C327" s="9">
        <v>0</v>
      </c>
      <c r="D327" s="9">
        <v>0</v>
      </c>
      <c r="E327" s="9">
        <v>0</v>
      </c>
      <c r="F327" s="9">
        <v>0</v>
      </c>
      <c r="G327" s="9">
        <v>0</v>
      </c>
      <c r="H327" s="9">
        <v>0</v>
      </c>
      <c r="I327" s="9">
        <v>0</v>
      </c>
      <c r="J327" s="9">
        <v>0</v>
      </c>
      <c r="K327" s="9">
        <v>0</v>
      </c>
      <c r="L327" s="9">
        <v>0</v>
      </c>
      <c r="M327" s="9">
        <v>0</v>
      </c>
      <c r="N327" s="9">
        <v>0</v>
      </c>
      <c r="O327" s="9">
        <v>0</v>
      </c>
      <c r="P327" s="9">
        <v>0</v>
      </c>
      <c r="Q327" s="9">
        <f>MAX(-20,MIN(10,$A327-VLOOKUP(YEAR($A327),'Festive dates'!$A$2:$J$5,8,FALSE)))</f>
        <v>-20</v>
      </c>
      <c r="R327" s="9">
        <f>IF(AND($A327&gt;VLOOKUP(YEAR($A327),'Festive dates'!$A$2:$J$5,2,FALSE),$A327&lt;VLOOKUP(YEAR($A327),'Festive dates'!$A$2:$J$5,3,FALSE)),1,0)</f>
        <v>0</v>
      </c>
      <c r="S327" s="9">
        <f>IF($A327=VLOOKUP(YEAR($A327),'Festive dates'!$A$2:$J$5,2,FALSE),1,0)</f>
        <v>0</v>
      </c>
      <c r="T327" s="9">
        <f>IF($A327=VLOOKUP(YEAR($A327),'Festive dates'!$A$2:$J$5,3,FALSE),1,0)</f>
        <v>0</v>
      </c>
      <c r="U327" s="9">
        <f>IF($A327=VLOOKUP(YEAR($A327),'Festive dates'!$A$2:$J$5,4,FALSE),1,0)</f>
        <v>0</v>
      </c>
      <c r="V327" s="9">
        <f>IF(AND($A327&gt;=VLOOKUP(YEAR($A327),'Festive dates'!$A$2:$J$5,9,FALSE),$A327&lt;=VLOOKUP(YEAR($A327),'Festive dates'!$A$2:$J$5,10,FALSE)),1,0)</f>
        <v>0</v>
      </c>
      <c r="W327" s="9">
        <f>IF($A327=VLOOKUP(YEAR($A327),'Festive dates'!$A$2:$J$5,7,FALSE),1,0)</f>
        <v>0</v>
      </c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>
      <c r="A328" s="8">
        <v>45343</v>
      </c>
      <c r="B328" s="9">
        <v>0</v>
      </c>
      <c r="C328" s="9">
        <v>0</v>
      </c>
      <c r="D328" s="9">
        <v>0</v>
      </c>
      <c r="E328" s="9">
        <v>0</v>
      </c>
      <c r="F328" s="9">
        <v>0</v>
      </c>
      <c r="G328" s="9">
        <v>0</v>
      </c>
      <c r="H328" s="9">
        <v>0</v>
      </c>
      <c r="I328" s="9">
        <v>0</v>
      </c>
      <c r="J328" s="9">
        <v>0</v>
      </c>
      <c r="K328" s="9">
        <v>0</v>
      </c>
      <c r="L328" s="9">
        <v>0</v>
      </c>
      <c r="M328" s="9">
        <v>0</v>
      </c>
      <c r="N328" s="9">
        <v>0</v>
      </c>
      <c r="O328" s="9">
        <v>0</v>
      </c>
      <c r="P328" s="9">
        <v>0</v>
      </c>
      <c r="Q328" s="9">
        <f>MAX(-20,MIN(10,$A328-VLOOKUP(YEAR($A328),'Festive dates'!$A$2:$J$5,8,FALSE)))</f>
        <v>-20</v>
      </c>
      <c r="R328" s="9">
        <f>IF(AND($A328&gt;VLOOKUP(YEAR($A328),'Festive dates'!$A$2:$J$5,2,FALSE),$A328&lt;VLOOKUP(YEAR($A328),'Festive dates'!$A$2:$J$5,3,FALSE)),1,0)</f>
        <v>0</v>
      </c>
      <c r="S328" s="9">
        <f>IF($A328=VLOOKUP(YEAR($A328),'Festive dates'!$A$2:$J$5,2,FALSE),1,0)</f>
        <v>0</v>
      </c>
      <c r="T328" s="9">
        <f>IF($A328=VLOOKUP(YEAR($A328),'Festive dates'!$A$2:$J$5,3,FALSE),1,0)</f>
        <v>0</v>
      </c>
      <c r="U328" s="9">
        <f>IF($A328=VLOOKUP(YEAR($A328),'Festive dates'!$A$2:$J$5,4,FALSE),1,0)</f>
        <v>0</v>
      </c>
      <c r="V328" s="9">
        <f>IF(AND($A328&gt;=VLOOKUP(YEAR($A328),'Festive dates'!$A$2:$J$5,9,FALSE),$A328&lt;=VLOOKUP(YEAR($A328),'Festive dates'!$A$2:$J$5,10,FALSE)),1,0)</f>
        <v>0</v>
      </c>
      <c r="W328" s="9">
        <f>IF($A328=VLOOKUP(YEAR($A328),'Festive dates'!$A$2:$J$5,7,FALSE),1,0)</f>
        <v>0</v>
      </c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>
      <c r="A329" s="8">
        <v>45344</v>
      </c>
      <c r="B329" s="9">
        <v>0</v>
      </c>
      <c r="C329" s="9">
        <v>0</v>
      </c>
      <c r="D329" s="9">
        <v>0</v>
      </c>
      <c r="E329" s="9">
        <v>0</v>
      </c>
      <c r="F329" s="9">
        <v>0</v>
      </c>
      <c r="G329" s="9">
        <v>0</v>
      </c>
      <c r="H329" s="9">
        <v>0</v>
      </c>
      <c r="I329" s="9">
        <v>0</v>
      </c>
      <c r="J329" s="9">
        <v>0</v>
      </c>
      <c r="K329" s="9">
        <v>0</v>
      </c>
      <c r="L329" s="9">
        <v>0</v>
      </c>
      <c r="M329" s="9">
        <v>0</v>
      </c>
      <c r="N329" s="9">
        <v>0</v>
      </c>
      <c r="O329" s="9">
        <v>0</v>
      </c>
      <c r="P329" s="9">
        <v>1</v>
      </c>
      <c r="Q329" s="9">
        <f>MAX(-20,MIN(10,$A329-VLOOKUP(YEAR($A329),'Festive dates'!$A$2:$J$5,8,FALSE)))</f>
        <v>-20</v>
      </c>
      <c r="R329" s="9">
        <f>IF(AND($A329&gt;VLOOKUP(YEAR($A329),'Festive dates'!$A$2:$J$5,2,FALSE),$A329&lt;VLOOKUP(YEAR($A329),'Festive dates'!$A$2:$J$5,3,FALSE)),1,0)</f>
        <v>0</v>
      </c>
      <c r="S329" s="9">
        <f>IF($A329=VLOOKUP(YEAR($A329),'Festive dates'!$A$2:$J$5,2,FALSE),1,0)</f>
        <v>0</v>
      </c>
      <c r="T329" s="9">
        <f>IF($A329=VLOOKUP(YEAR($A329),'Festive dates'!$A$2:$J$5,3,FALSE),1,0)</f>
        <v>0</v>
      </c>
      <c r="U329" s="9">
        <f>IF($A329=VLOOKUP(YEAR($A329),'Festive dates'!$A$2:$J$5,4,FALSE),1,0)</f>
        <v>0</v>
      </c>
      <c r="V329" s="9">
        <f>IF(AND($A329&gt;=VLOOKUP(YEAR($A329),'Festive dates'!$A$2:$J$5,9,FALSE),$A329&lt;=VLOOKUP(YEAR($A329),'Festive dates'!$A$2:$J$5,10,FALSE)),1,0)</f>
        <v>0</v>
      </c>
      <c r="W329" s="9">
        <f>IF($A329=VLOOKUP(YEAR($A329),'Festive dates'!$A$2:$J$5,7,FALSE),1,0)</f>
        <v>0</v>
      </c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>
      <c r="A330" s="8">
        <v>45345</v>
      </c>
      <c r="B330" s="9">
        <v>0</v>
      </c>
      <c r="C330" s="9">
        <v>0</v>
      </c>
      <c r="D330" s="9">
        <v>0</v>
      </c>
      <c r="E330" s="9">
        <v>0</v>
      </c>
      <c r="F330" s="9">
        <v>0</v>
      </c>
      <c r="G330" s="9">
        <v>0</v>
      </c>
      <c r="H330" s="9">
        <v>0</v>
      </c>
      <c r="I330" s="9">
        <v>0</v>
      </c>
      <c r="J330" s="9">
        <v>0</v>
      </c>
      <c r="K330" s="9">
        <v>0</v>
      </c>
      <c r="L330" s="9">
        <v>0</v>
      </c>
      <c r="M330" s="9">
        <v>0</v>
      </c>
      <c r="N330" s="9">
        <v>0</v>
      </c>
      <c r="O330" s="9">
        <v>0</v>
      </c>
      <c r="P330" s="9">
        <v>1</v>
      </c>
      <c r="Q330" s="9">
        <f>MAX(-20,MIN(10,$A330-VLOOKUP(YEAR($A330),'Festive dates'!$A$2:$J$5,8,FALSE)))</f>
        <v>-20</v>
      </c>
      <c r="R330" s="9">
        <f>IF(AND($A330&gt;VLOOKUP(YEAR($A330),'Festive dates'!$A$2:$J$5,2,FALSE),$A330&lt;VLOOKUP(YEAR($A330),'Festive dates'!$A$2:$J$5,3,FALSE)),1,0)</f>
        <v>0</v>
      </c>
      <c r="S330" s="9">
        <f>IF($A330=VLOOKUP(YEAR($A330),'Festive dates'!$A$2:$J$5,2,FALSE),1,0)</f>
        <v>0</v>
      </c>
      <c r="T330" s="9">
        <f>IF($A330=VLOOKUP(YEAR($A330),'Festive dates'!$A$2:$J$5,3,FALSE),1,0)</f>
        <v>0</v>
      </c>
      <c r="U330" s="9">
        <f>IF($A330=VLOOKUP(YEAR($A330),'Festive dates'!$A$2:$J$5,4,FALSE),1,0)</f>
        <v>0</v>
      </c>
      <c r="V330" s="9">
        <f>IF(AND($A330&gt;=VLOOKUP(YEAR($A330),'Festive dates'!$A$2:$J$5,9,FALSE),$A330&lt;=VLOOKUP(YEAR($A330),'Festive dates'!$A$2:$J$5,10,FALSE)),1,0)</f>
        <v>0</v>
      </c>
      <c r="W330" s="9">
        <f>IF($A330=VLOOKUP(YEAR($A330),'Festive dates'!$A$2:$J$5,7,FALSE),1,0)</f>
        <v>0</v>
      </c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>
      <c r="A331" s="8">
        <v>45346</v>
      </c>
      <c r="B331" s="9">
        <v>0</v>
      </c>
      <c r="C331" s="9">
        <v>0</v>
      </c>
      <c r="D331" s="9">
        <v>0</v>
      </c>
      <c r="E331" s="9">
        <v>0</v>
      </c>
      <c r="F331" s="9">
        <v>0</v>
      </c>
      <c r="G331" s="9">
        <v>0</v>
      </c>
      <c r="H331" s="9">
        <v>0</v>
      </c>
      <c r="I331" s="9">
        <v>0</v>
      </c>
      <c r="J331" s="9">
        <v>0</v>
      </c>
      <c r="K331" s="9">
        <v>0</v>
      </c>
      <c r="L331" s="9">
        <v>0</v>
      </c>
      <c r="M331" s="9">
        <v>0</v>
      </c>
      <c r="N331" s="9">
        <v>0</v>
      </c>
      <c r="O331" s="9">
        <v>0</v>
      </c>
      <c r="P331" s="9">
        <v>1</v>
      </c>
      <c r="Q331" s="9">
        <f>MAX(-20,MIN(10,$A331-VLOOKUP(YEAR($A331),'Festive dates'!$A$2:$J$5,8,FALSE)))</f>
        <v>-20</v>
      </c>
      <c r="R331" s="9">
        <f>IF(AND($A331&gt;VLOOKUP(YEAR($A331),'Festive dates'!$A$2:$J$5,2,FALSE),$A331&lt;VLOOKUP(YEAR($A331),'Festive dates'!$A$2:$J$5,3,FALSE)),1,0)</f>
        <v>0</v>
      </c>
      <c r="S331" s="9">
        <f>IF($A331=VLOOKUP(YEAR($A331),'Festive dates'!$A$2:$J$5,2,FALSE),1,0)</f>
        <v>0</v>
      </c>
      <c r="T331" s="9">
        <f>IF($A331=VLOOKUP(YEAR($A331),'Festive dates'!$A$2:$J$5,3,FALSE),1,0)</f>
        <v>0</v>
      </c>
      <c r="U331" s="9">
        <f>IF($A331=VLOOKUP(YEAR($A331),'Festive dates'!$A$2:$J$5,4,FALSE),1,0)</f>
        <v>0</v>
      </c>
      <c r="V331" s="9">
        <f>IF(AND($A331&gt;=VLOOKUP(YEAR($A331),'Festive dates'!$A$2:$J$5,9,FALSE),$A331&lt;=VLOOKUP(YEAR($A331),'Festive dates'!$A$2:$J$5,10,FALSE)),1,0)</f>
        <v>0</v>
      </c>
      <c r="W331" s="9">
        <f>IF($A331=VLOOKUP(YEAR($A331),'Festive dates'!$A$2:$J$5,7,FALSE),1,0)</f>
        <v>0</v>
      </c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>
      <c r="A332" s="8">
        <v>45347</v>
      </c>
      <c r="B332" s="9">
        <v>0</v>
      </c>
      <c r="C332" s="9">
        <v>0</v>
      </c>
      <c r="D332" s="9">
        <v>0</v>
      </c>
      <c r="E332" s="9">
        <v>0</v>
      </c>
      <c r="F332" s="9">
        <v>0</v>
      </c>
      <c r="G332" s="9">
        <v>0</v>
      </c>
      <c r="H332" s="9">
        <v>0</v>
      </c>
      <c r="I332" s="9">
        <v>0</v>
      </c>
      <c r="J332" s="9">
        <v>0</v>
      </c>
      <c r="K332" s="9">
        <v>0</v>
      </c>
      <c r="L332" s="9">
        <v>0</v>
      </c>
      <c r="M332" s="9">
        <v>0</v>
      </c>
      <c r="N332" s="9">
        <v>0</v>
      </c>
      <c r="O332" s="9">
        <v>0</v>
      </c>
      <c r="P332" s="9">
        <v>1</v>
      </c>
      <c r="Q332" s="9">
        <f>MAX(-20,MIN(10,$A332-VLOOKUP(YEAR($A332),'Festive dates'!$A$2:$J$5,8,FALSE)))</f>
        <v>-20</v>
      </c>
      <c r="R332" s="9">
        <f>IF(AND($A332&gt;VLOOKUP(YEAR($A332),'Festive dates'!$A$2:$J$5,2,FALSE),$A332&lt;VLOOKUP(YEAR($A332),'Festive dates'!$A$2:$J$5,3,FALSE)),1,0)</f>
        <v>0</v>
      </c>
      <c r="S332" s="9">
        <f>IF($A332=VLOOKUP(YEAR($A332),'Festive dates'!$A$2:$J$5,2,FALSE),1,0)</f>
        <v>0</v>
      </c>
      <c r="T332" s="9">
        <f>IF($A332=VLOOKUP(YEAR($A332),'Festive dates'!$A$2:$J$5,3,FALSE),1,0)</f>
        <v>0</v>
      </c>
      <c r="U332" s="9">
        <f>IF($A332=VLOOKUP(YEAR($A332),'Festive dates'!$A$2:$J$5,4,FALSE),1,0)</f>
        <v>0</v>
      </c>
      <c r="V332" s="9">
        <f>IF(AND($A332&gt;=VLOOKUP(YEAR($A332),'Festive dates'!$A$2:$J$5,9,FALSE),$A332&lt;=VLOOKUP(YEAR($A332),'Festive dates'!$A$2:$J$5,10,FALSE)),1,0)</f>
        <v>0</v>
      </c>
      <c r="W332" s="9">
        <f>IF($A332=VLOOKUP(YEAR($A332),'Festive dates'!$A$2:$J$5,7,FALSE),1,0)</f>
        <v>0</v>
      </c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>
      <c r="A333" s="8">
        <v>45348</v>
      </c>
      <c r="B333" s="9">
        <v>0</v>
      </c>
      <c r="C333" s="9">
        <v>0</v>
      </c>
      <c r="D333" s="9">
        <v>0</v>
      </c>
      <c r="E333" s="9">
        <v>0</v>
      </c>
      <c r="F333" s="9">
        <v>0</v>
      </c>
      <c r="G333" s="9">
        <v>0</v>
      </c>
      <c r="H333" s="9">
        <v>0</v>
      </c>
      <c r="I333" s="9">
        <v>0</v>
      </c>
      <c r="J333" s="9">
        <v>0</v>
      </c>
      <c r="K333" s="9">
        <v>0</v>
      </c>
      <c r="L333" s="9">
        <v>0</v>
      </c>
      <c r="M333" s="9">
        <v>0</v>
      </c>
      <c r="N333" s="9">
        <v>0</v>
      </c>
      <c r="O333" s="9">
        <v>0</v>
      </c>
      <c r="P333" s="9">
        <v>1</v>
      </c>
      <c r="Q333" s="9">
        <f>MAX(-20,MIN(10,$A333-VLOOKUP(YEAR($A333),'Festive dates'!$A$2:$J$5,8,FALSE)))</f>
        <v>-20</v>
      </c>
      <c r="R333" s="9">
        <f>IF(AND($A333&gt;VLOOKUP(YEAR($A333),'Festive dates'!$A$2:$J$5,2,FALSE),$A333&lt;VLOOKUP(YEAR($A333),'Festive dates'!$A$2:$J$5,3,FALSE)),1,0)</f>
        <v>0</v>
      </c>
      <c r="S333" s="9">
        <f>IF($A333=VLOOKUP(YEAR($A333),'Festive dates'!$A$2:$J$5,2,FALSE),1,0)</f>
        <v>0</v>
      </c>
      <c r="T333" s="9">
        <f>IF($A333=VLOOKUP(YEAR($A333),'Festive dates'!$A$2:$J$5,3,FALSE),1,0)</f>
        <v>0</v>
      </c>
      <c r="U333" s="9">
        <f>IF($A333=VLOOKUP(YEAR($A333),'Festive dates'!$A$2:$J$5,4,FALSE),1,0)</f>
        <v>0</v>
      </c>
      <c r="V333" s="9">
        <f>IF(AND($A333&gt;=VLOOKUP(YEAR($A333),'Festive dates'!$A$2:$J$5,9,FALSE),$A333&lt;=VLOOKUP(YEAR($A333),'Festive dates'!$A$2:$J$5,10,FALSE)),1,0)</f>
        <v>0</v>
      </c>
      <c r="W333" s="9">
        <f>IF($A333=VLOOKUP(YEAR($A333),'Festive dates'!$A$2:$J$5,7,FALSE),1,0)</f>
        <v>0</v>
      </c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>
      <c r="A334" s="8">
        <v>45349</v>
      </c>
      <c r="B334" s="9">
        <v>0</v>
      </c>
      <c r="C334" s="9">
        <v>0</v>
      </c>
      <c r="D334" s="9">
        <v>0</v>
      </c>
      <c r="E334" s="9">
        <v>0</v>
      </c>
      <c r="F334" s="9">
        <v>0</v>
      </c>
      <c r="G334" s="9">
        <v>0</v>
      </c>
      <c r="H334" s="9">
        <v>0</v>
      </c>
      <c r="I334" s="9">
        <v>0</v>
      </c>
      <c r="J334" s="9">
        <v>0</v>
      </c>
      <c r="K334" s="9">
        <v>0</v>
      </c>
      <c r="L334" s="9">
        <v>0</v>
      </c>
      <c r="M334" s="9">
        <v>0</v>
      </c>
      <c r="N334" s="9">
        <v>0</v>
      </c>
      <c r="O334" s="9">
        <v>0</v>
      </c>
      <c r="P334" s="9">
        <v>1</v>
      </c>
      <c r="Q334" s="9">
        <f>MAX(-20,MIN(10,$A334-VLOOKUP(YEAR($A334),'Festive dates'!$A$2:$J$5,8,FALSE)))</f>
        <v>-20</v>
      </c>
      <c r="R334" s="9">
        <f>IF(AND($A334&gt;VLOOKUP(YEAR($A334),'Festive dates'!$A$2:$J$5,2,FALSE),$A334&lt;VLOOKUP(YEAR($A334),'Festive dates'!$A$2:$J$5,3,FALSE)),1,0)</f>
        <v>0</v>
      </c>
      <c r="S334" s="9">
        <f>IF($A334=VLOOKUP(YEAR($A334),'Festive dates'!$A$2:$J$5,2,FALSE),1,0)</f>
        <v>0</v>
      </c>
      <c r="T334" s="9">
        <f>IF($A334=VLOOKUP(YEAR($A334),'Festive dates'!$A$2:$J$5,3,FALSE),1,0)</f>
        <v>0</v>
      </c>
      <c r="U334" s="9">
        <f>IF($A334=VLOOKUP(YEAR($A334),'Festive dates'!$A$2:$J$5,4,FALSE),1,0)</f>
        <v>0</v>
      </c>
      <c r="V334" s="9">
        <f>IF(AND($A334&gt;=VLOOKUP(YEAR($A334),'Festive dates'!$A$2:$J$5,9,FALSE),$A334&lt;=VLOOKUP(YEAR($A334),'Festive dates'!$A$2:$J$5,10,FALSE)),1,0)</f>
        <v>0</v>
      </c>
      <c r="W334" s="9">
        <f>IF($A334=VLOOKUP(YEAR($A334),'Festive dates'!$A$2:$J$5,7,FALSE),1,0)</f>
        <v>0</v>
      </c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>
      <c r="A335" s="8">
        <v>45350</v>
      </c>
      <c r="B335" s="9">
        <v>0</v>
      </c>
      <c r="C335" s="9">
        <v>0</v>
      </c>
      <c r="D335" s="9">
        <v>0</v>
      </c>
      <c r="E335" s="9">
        <v>0</v>
      </c>
      <c r="F335" s="9">
        <v>0</v>
      </c>
      <c r="G335" s="9">
        <v>0</v>
      </c>
      <c r="H335" s="9">
        <v>0</v>
      </c>
      <c r="I335" s="9">
        <v>0</v>
      </c>
      <c r="J335" s="9">
        <v>0</v>
      </c>
      <c r="K335" s="9">
        <v>0</v>
      </c>
      <c r="L335" s="9">
        <v>0</v>
      </c>
      <c r="M335" s="9">
        <v>0</v>
      </c>
      <c r="N335" s="9">
        <v>0</v>
      </c>
      <c r="O335" s="9">
        <v>0</v>
      </c>
      <c r="P335" s="9">
        <v>1</v>
      </c>
      <c r="Q335" s="9">
        <f>MAX(-20,MIN(10,$A335-VLOOKUP(YEAR($A335),'Festive dates'!$A$2:$J$5,8,FALSE)))</f>
        <v>-20</v>
      </c>
      <c r="R335" s="9">
        <f>IF(AND($A335&gt;VLOOKUP(YEAR($A335),'Festive dates'!$A$2:$J$5,2,FALSE),$A335&lt;VLOOKUP(YEAR($A335),'Festive dates'!$A$2:$J$5,3,FALSE)),1,0)</f>
        <v>0</v>
      </c>
      <c r="S335" s="9">
        <f>IF($A335=VLOOKUP(YEAR($A335),'Festive dates'!$A$2:$J$5,2,FALSE),1,0)</f>
        <v>0</v>
      </c>
      <c r="T335" s="9">
        <f>IF($A335=VLOOKUP(YEAR($A335),'Festive dates'!$A$2:$J$5,3,FALSE),1,0)</f>
        <v>0</v>
      </c>
      <c r="U335" s="9">
        <f>IF($A335=VLOOKUP(YEAR($A335),'Festive dates'!$A$2:$J$5,4,FALSE),1,0)</f>
        <v>0</v>
      </c>
      <c r="V335" s="9">
        <f>IF(AND($A335&gt;=VLOOKUP(YEAR($A335),'Festive dates'!$A$2:$J$5,9,FALSE),$A335&lt;=VLOOKUP(YEAR($A335),'Festive dates'!$A$2:$J$5,10,FALSE)),1,0)</f>
        <v>0</v>
      </c>
      <c r="W335" s="9">
        <f>IF($A335=VLOOKUP(YEAR($A335),'Festive dates'!$A$2:$J$5,7,FALSE),1,0)</f>
        <v>0</v>
      </c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>
      <c r="A336" s="8">
        <v>45351</v>
      </c>
      <c r="B336" s="9">
        <v>0</v>
      </c>
      <c r="C336" s="9">
        <v>0</v>
      </c>
      <c r="D336" s="9">
        <v>0</v>
      </c>
      <c r="E336" s="9">
        <v>0</v>
      </c>
      <c r="F336" s="9">
        <v>0</v>
      </c>
      <c r="G336" s="9">
        <v>0</v>
      </c>
      <c r="H336" s="9">
        <v>0</v>
      </c>
      <c r="I336" s="9">
        <v>0</v>
      </c>
      <c r="J336" s="9">
        <v>0</v>
      </c>
      <c r="K336" s="9">
        <v>0</v>
      </c>
      <c r="L336" s="9">
        <v>0</v>
      </c>
      <c r="M336" s="9">
        <v>0</v>
      </c>
      <c r="N336" s="9">
        <v>0</v>
      </c>
      <c r="O336" s="9">
        <v>0</v>
      </c>
      <c r="P336" s="9">
        <v>1</v>
      </c>
      <c r="Q336" s="9">
        <f>MAX(-20,MIN(10,$A336-VLOOKUP(YEAR($A336),'Festive dates'!$A$2:$J$5,8,FALSE)))</f>
        <v>-20</v>
      </c>
      <c r="R336" s="9">
        <f>IF(AND($A336&gt;VLOOKUP(YEAR($A336),'Festive dates'!$A$2:$J$5,2,FALSE),$A336&lt;VLOOKUP(YEAR($A336),'Festive dates'!$A$2:$J$5,3,FALSE)),1,0)</f>
        <v>0</v>
      </c>
      <c r="S336" s="9">
        <f>IF($A336=VLOOKUP(YEAR($A336),'Festive dates'!$A$2:$J$5,2,FALSE),1,0)</f>
        <v>0</v>
      </c>
      <c r="T336" s="9">
        <f>IF($A336=VLOOKUP(YEAR($A336),'Festive dates'!$A$2:$J$5,3,FALSE),1,0)</f>
        <v>0</v>
      </c>
      <c r="U336" s="9">
        <f>IF($A336=VLOOKUP(YEAR($A336),'Festive dates'!$A$2:$J$5,4,FALSE),1,0)</f>
        <v>0</v>
      </c>
      <c r="V336" s="9">
        <f>IF(AND($A336&gt;=VLOOKUP(YEAR($A336),'Festive dates'!$A$2:$J$5,9,FALSE),$A336&lt;=VLOOKUP(YEAR($A336),'Festive dates'!$A$2:$J$5,10,FALSE)),1,0)</f>
        <v>0</v>
      </c>
      <c r="W336" s="9">
        <f>IF($A336=VLOOKUP(YEAR($A336),'Festive dates'!$A$2:$J$5,7,FALSE),1,0)</f>
        <v>0</v>
      </c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>
      <c r="A337" s="8">
        <v>45352</v>
      </c>
      <c r="B337" s="9">
        <v>0</v>
      </c>
      <c r="C337" s="9">
        <v>0</v>
      </c>
      <c r="D337" s="9">
        <v>0</v>
      </c>
      <c r="E337" s="9">
        <v>0</v>
      </c>
      <c r="F337" s="9">
        <v>0</v>
      </c>
      <c r="G337" s="9">
        <v>0</v>
      </c>
      <c r="H337" s="9">
        <v>0</v>
      </c>
      <c r="I337" s="9">
        <v>0</v>
      </c>
      <c r="J337" s="9">
        <v>0</v>
      </c>
      <c r="K337" s="9">
        <v>0</v>
      </c>
      <c r="L337" s="9">
        <v>0</v>
      </c>
      <c r="M337" s="9">
        <v>0</v>
      </c>
      <c r="N337" s="9">
        <v>0</v>
      </c>
      <c r="O337" s="9">
        <v>0</v>
      </c>
      <c r="P337" s="9">
        <v>0</v>
      </c>
      <c r="Q337" s="9">
        <f>MAX(-20,MIN(10,$A337-VLOOKUP(YEAR($A337),'Festive dates'!$A$2:$J$5,8,FALSE)))</f>
        <v>-20</v>
      </c>
      <c r="R337" s="9">
        <f>IF(AND($A337&gt;VLOOKUP(YEAR($A337),'Festive dates'!$A$2:$J$5,2,FALSE),$A337&lt;VLOOKUP(YEAR($A337),'Festive dates'!$A$2:$J$5,3,FALSE)),1,0)</f>
        <v>0</v>
      </c>
      <c r="S337" s="9">
        <f>IF($A337=VLOOKUP(YEAR($A337),'Festive dates'!$A$2:$J$5,2,FALSE),1,0)</f>
        <v>0</v>
      </c>
      <c r="T337" s="9">
        <f>IF($A337=VLOOKUP(YEAR($A337),'Festive dates'!$A$2:$J$5,3,FALSE),1,0)</f>
        <v>0</v>
      </c>
      <c r="U337" s="9">
        <f>IF($A337=VLOOKUP(YEAR($A337),'Festive dates'!$A$2:$J$5,4,FALSE),1,0)</f>
        <v>0</v>
      </c>
      <c r="V337" s="9">
        <f>IF(AND($A337&gt;=VLOOKUP(YEAR($A337),'Festive dates'!$A$2:$J$5,9,FALSE),$A337&lt;=VLOOKUP(YEAR($A337),'Festive dates'!$A$2:$J$5,10,FALSE)),1,0)</f>
        <v>0</v>
      </c>
      <c r="W337" s="9">
        <f>IF($A337=VLOOKUP(YEAR($A337),'Festive dates'!$A$2:$J$5,7,FALSE),1,0)</f>
        <v>0</v>
      </c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>
      <c r="A338" s="8">
        <v>45353</v>
      </c>
      <c r="B338" s="9">
        <v>0</v>
      </c>
      <c r="C338" s="9">
        <v>0</v>
      </c>
      <c r="D338" s="9">
        <v>0</v>
      </c>
      <c r="E338" s="9">
        <v>0</v>
      </c>
      <c r="F338" s="9">
        <v>0</v>
      </c>
      <c r="G338" s="9">
        <v>0</v>
      </c>
      <c r="H338" s="9">
        <v>0</v>
      </c>
      <c r="I338" s="9">
        <v>0</v>
      </c>
      <c r="J338" s="9">
        <v>0</v>
      </c>
      <c r="K338" s="9">
        <v>0</v>
      </c>
      <c r="L338" s="9">
        <v>0</v>
      </c>
      <c r="M338" s="9">
        <v>0</v>
      </c>
      <c r="N338" s="9">
        <v>0</v>
      </c>
      <c r="O338" s="9">
        <v>0</v>
      </c>
      <c r="P338" s="9">
        <v>0</v>
      </c>
      <c r="Q338" s="9">
        <f>MAX(-20,MIN(10,$A338-VLOOKUP(YEAR($A338),'Festive dates'!$A$2:$J$5,8,FALSE)))</f>
        <v>-20</v>
      </c>
      <c r="R338" s="9">
        <f>IF(AND($A338&gt;VLOOKUP(YEAR($A338),'Festive dates'!$A$2:$J$5,2,FALSE),$A338&lt;VLOOKUP(YEAR($A338),'Festive dates'!$A$2:$J$5,3,FALSE)),1,0)</f>
        <v>0</v>
      </c>
      <c r="S338" s="9">
        <f>IF($A338=VLOOKUP(YEAR($A338),'Festive dates'!$A$2:$J$5,2,FALSE),1,0)</f>
        <v>0</v>
      </c>
      <c r="T338" s="9">
        <f>IF($A338=VLOOKUP(YEAR($A338),'Festive dates'!$A$2:$J$5,3,FALSE),1,0)</f>
        <v>0</v>
      </c>
      <c r="U338" s="9">
        <f>IF($A338=VLOOKUP(YEAR($A338),'Festive dates'!$A$2:$J$5,4,FALSE),1,0)</f>
        <v>0</v>
      </c>
      <c r="V338" s="9">
        <f>IF(AND($A338&gt;=VLOOKUP(YEAR($A338),'Festive dates'!$A$2:$J$5,9,FALSE),$A338&lt;=VLOOKUP(YEAR($A338),'Festive dates'!$A$2:$J$5,10,FALSE)),1,0)</f>
        <v>0</v>
      </c>
      <c r="W338" s="9">
        <f>IF($A338=VLOOKUP(YEAR($A338),'Festive dates'!$A$2:$J$5,7,FALSE),1,0)</f>
        <v>0</v>
      </c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>
      <c r="A339" s="8">
        <v>45354</v>
      </c>
      <c r="B339" s="9">
        <v>0</v>
      </c>
      <c r="C339" s="9">
        <v>0</v>
      </c>
      <c r="D339" s="9">
        <v>0</v>
      </c>
      <c r="E339" s="9">
        <v>0</v>
      </c>
      <c r="F339" s="9">
        <v>0</v>
      </c>
      <c r="G339" s="9">
        <v>0</v>
      </c>
      <c r="H339" s="9">
        <v>0</v>
      </c>
      <c r="I339" s="9">
        <v>0</v>
      </c>
      <c r="J339" s="9">
        <v>0</v>
      </c>
      <c r="K339" s="9">
        <v>0</v>
      </c>
      <c r="L339" s="9">
        <v>0</v>
      </c>
      <c r="M339" s="9">
        <v>0</v>
      </c>
      <c r="N339" s="9">
        <v>0</v>
      </c>
      <c r="O339" s="9">
        <v>0</v>
      </c>
      <c r="P339" s="9">
        <v>1</v>
      </c>
      <c r="Q339" s="9">
        <f>MAX(-20,MIN(10,$A339-VLOOKUP(YEAR($A339),'Festive dates'!$A$2:$J$5,8,FALSE)))</f>
        <v>-20</v>
      </c>
      <c r="R339" s="9">
        <f>IF(AND($A339&gt;VLOOKUP(YEAR($A339),'Festive dates'!$A$2:$J$5,2,FALSE),$A339&lt;VLOOKUP(YEAR($A339),'Festive dates'!$A$2:$J$5,3,FALSE)),1,0)</f>
        <v>0</v>
      </c>
      <c r="S339" s="9">
        <f>IF($A339=VLOOKUP(YEAR($A339),'Festive dates'!$A$2:$J$5,2,FALSE),1,0)</f>
        <v>0</v>
      </c>
      <c r="T339" s="9">
        <f>IF($A339=VLOOKUP(YEAR($A339),'Festive dates'!$A$2:$J$5,3,FALSE),1,0)</f>
        <v>0</v>
      </c>
      <c r="U339" s="9">
        <f>IF($A339=VLOOKUP(YEAR($A339),'Festive dates'!$A$2:$J$5,4,FALSE),1,0)</f>
        <v>0</v>
      </c>
      <c r="V339" s="9">
        <f>IF(AND($A339&gt;=VLOOKUP(YEAR($A339),'Festive dates'!$A$2:$J$5,9,FALSE),$A339&lt;=VLOOKUP(YEAR($A339),'Festive dates'!$A$2:$J$5,10,FALSE)),1,0)</f>
        <v>0</v>
      </c>
      <c r="W339" s="9">
        <f>IF($A339=VLOOKUP(YEAR($A339),'Festive dates'!$A$2:$J$5,7,FALSE),1,0)</f>
        <v>0</v>
      </c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>
      <c r="A340" s="8">
        <v>45355</v>
      </c>
      <c r="B340" s="9">
        <v>0</v>
      </c>
      <c r="C340" s="9">
        <v>0</v>
      </c>
      <c r="D340" s="9">
        <v>0</v>
      </c>
      <c r="E340" s="9">
        <v>0</v>
      </c>
      <c r="F340" s="9">
        <v>0</v>
      </c>
      <c r="G340" s="9">
        <v>0</v>
      </c>
      <c r="H340" s="9">
        <v>0</v>
      </c>
      <c r="I340" s="9">
        <v>0</v>
      </c>
      <c r="J340" s="9">
        <v>0</v>
      </c>
      <c r="K340" s="9">
        <v>0</v>
      </c>
      <c r="L340" s="9">
        <v>0</v>
      </c>
      <c r="M340" s="9">
        <v>0</v>
      </c>
      <c r="N340" s="9">
        <v>0</v>
      </c>
      <c r="O340" s="9">
        <v>0</v>
      </c>
      <c r="P340" s="9">
        <v>1</v>
      </c>
      <c r="Q340" s="9">
        <f>MAX(-20,MIN(10,$A340-VLOOKUP(YEAR($A340),'Festive dates'!$A$2:$J$5,8,FALSE)))</f>
        <v>-20</v>
      </c>
      <c r="R340" s="9">
        <f>IF(AND($A340&gt;VLOOKUP(YEAR($A340),'Festive dates'!$A$2:$J$5,2,FALSE),$A340&lt;VLOOKUP(YEAR($A340),'Festive dates'!$A$2:$J$5,3,FALSE)),1,0)</f>
        <v>0</v>
      </c>
      <c r="S340" s="9">
        <f>IF($A340=VLOOKUP(YEAR($A340),'Festive dates'!$A$2:$J$5,2,FALSE),1,0)</f>
        <v>0</v>
      </c>
      <c r="T340" s="9">
        <f>IF($A340=VLOOKUP(YEAR($A340),'Festive dates'!$A$2:$J$5,3,FALSE),1,0)</f>
        <v>0</v>
      </c>
      <c r="U340" s="9">
        <f>IF($A340=VLOOKUP(YEAR($A340),'Festive dates'!$A$2:$J$5,4,FALSE),1,0)</f>
        <v>0</v>
      </c>
      <c r="V340" s="9">
        <f>IF(AND($A340&gt;=VLOOKUP(YEAR($A340),'Festive dates'!$A$2:$J$5,9,FALSE),$A340&lt;=VLOOKUP(YEAR($A340),'Festive dates'!$A$2:$J$5,10,FALSE)),1,0)</f>
        <v>0</v>
      </c>
      <c r="W340" s="9">
        <f>IF($A340=VLOOKUP(YEAR($A340),'Festive dates'!$A$2:$J$5,7,FALSE),1,0)</f>
        <v>0</v>
      </c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>
      <c r="A341" s="8">
        <v>45356</v>
      </c>
      <c r="B341" s="9">
        <v>0</v>
      </c>
      <c r="C341" s="9">
        <v>0</v>
      </c>
      <c r="D341" s="9">
        <v>0</v>
      </c>
      <c r="E341" s="9">
        <v>0</v>
      </c>
      <c r="F341" s="9">
        <v>0</v>
      </c>
      <c r="G341" s="9">
        <v>0</v>
      </c>
      <c r="H341" s="9">
        <v>0</v>
      </c>
      <c r="I341" s="9">
        <v>0</v>
      </c>
      <c r="J341" s="9">
        <v>0</v>
      </c>
      <c r="K341" s="9">
        <v>0</v>
      </c>
      <c r="L341" s="9">
        <v>0</v>
      </c>
      <c r="M341" s="9">
        <v>0</v>
      </c>
      <c r="N341" s="9">
        <v>0</v>
      </c>
      <c r="O341" s="9">
        <v>0</v>
      </c>
      <c r="P341" s="9">
        <v>1</v>
      </c>
      <c r="Q341" s="9">
        <f>MAX(-20,MIN(10,$A341-VLOOKUP(YEAR($A341),'Festive dates'!$A$2:$J$5,8,FALSE)))</f>
        <v>-20</v>
      </c>
      <c r="R341" s="9">
        <f>IF(AND($A341&gt;VLOOKUP(YEAR($A341),'Festive dates'!$A$2:$J$5,2,FALSE),$A341&lt;VLOOKUP(YEAR($A341),'Festive dates'!$A$2:$J$5,3,FALSE)),1,0)</f>
        <v>0</v>
      </c>
      <c r="S341" s="9">
        <f>IF($A341=VLOOKUP(YEAR($A341),'Festive dates'!$A$2:$J$5,2,FALSE),1,0)</f>
        <v>0</v>
      </c>
      <c r="T341" s="9">
        <f>IF($A341=VLOOKUP(YEAR($A341),'Festive dates'!$A$2:$J$5,3,FALSE),1,0)</f>
        <v>0</v>
      </c>
      <c r="U341" s="9">
        <f>IF($A341=VLOOKUP(YEAR($A341),'Festive dates'!$A$2:$J$5,4,FALSE),1,0)</f>
        <v>0</v>
      </c>
      <c r="V341" s="9">
        <f>IF(AND($A341&gt;=VLOOKUP(YEAR($A341),'Festive dates'!$A$2:$J$5,9,FALSE),$A341&lt;=VLOOKUP(YEAR($A341),'Festive dates'!$A$2:$J$5,10,FALSE)),1,0)</f>
        <v>0</v>
      </c>
      <c r="W341" s="9">
        <f>IF($A341=VLOOKUP(YEAR($A341),'Festive dates'!$A$2:$J$5,7,FALSE),1,0)</f>
        <v>0</v>
      </c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>
      <c r="A342" s="8">
        <v>45357</v>
      </c>
      <c r="B342" s="9">
        <v>0</v>
      </c>
      <c r="C342" s="9">
        <v>0</v>
      </c>
      <c r="D342" s="9">
        <v>0</v>
      </c>
      <c r="E342" s="9">
        <v>0</v>
      </c>
      <c r="F342" s="9">
        <v>0</v>
      </c>
      <c r="G342" s="9">
        <v>0</v>
      </c>
      <c r="H342" s="9">
        <v>0</v>
      </c>
      <c r="I342" s="9">
        <v>0</v>
      </c>
      <c r="J342" s="9">
        <v>0</v>
      </c>
      <c r="K342" s="9">
        <v>0</v>
      </c>
      <c r="L342" s="9">
        <v>0</v>
      </c>
      <c r="M342" s="9">
        <v>0</v>
      </c>
      <c r="N342" s="9">
        <v>0</v>
      </c>
      <c r="O342" s="9">
        <v>0</v>
      </c>
      <c r="P342" s="9">
        <v>0</v>
      </c>
      <c r="Q342" s="9">
        <f>MAX(-20,MIN(10,$A342-VLOOKUP(YEAR($A342),'Festive dates'!$A$2:$J$5,8,FALSE)))</f>
        <v>-20</v>
      </c>
      <c r="R342" s="9">
        <f>IF(AND($A342&gt;VLOOKUP(YEAR($A342),'Festive dates'!$A$2:$J$5,2,FALSE),$A342&lt;VLOOKUP(YEAR($A342),'Festive dates'!$A$2:$J$5,3,FALSE)),1,0)</f>
        <v>0</v>
      </c>
      <c r="S342" s="9">
        <f>IF($A342=VLOOKUP(YEAR($A342),'Festive dates'!$A$2:$J$5,2,FALSE),1,0)</f>
        <v>0</v>
      </c>
      <c r="T342" s="9">
        <f>IF($A342=VLOOKUP(YEAR($A342),'Festive dates'!$A$2:$J$5,3,FALSE),1,0)</f>
        <v>0</v>
      </c>
      <c r="U342" s="9">
        <f>IF($A342=VLOOKUP(YEAR($A342),'Festive dates'!$A$2:$J$5,4,FALSE),1,0)</f>
        <v>0</v>
      </c>
      <c r="V342" s="9">
        <f>IF(AND($A342&gt;=VLOOKUP(YEAR($A342),'Festive dates'!$A$2:$J$5,9,FALSE),$A342&lt;=VLOOKUP(YEAR($A342),'Festive dates'!$A$2:$J$5,10,FALSE)),1,0)</f>
        <v>0</v>
      </c>
      <c r="W342" s="9">
        <f>IF($A342=VLOOKUP(YEAR($A342),'Festive dates'!$A$2:$J$5,7,FALSE),1,0)</f>
        <v>0</v>
      </c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>
      <c r="A343" s="8">
        <v>45358</v>
      </c>
      <c r="B343" s="9">
        <v>0</v>
      </c>
      <c r="C343" s="9">
        <v>0</v>
      </c>
      <c r="D343" s="9">
        <v>0</v>
      </c>
      <c r="E343" s="9">
        <v>0</v>
      </c>
      <c r="F343" s="9">
        <v>0</v>
      </c>
      <c r="G343" s="9">
        <v>0</v>
      </c>
      <c r="H343" s="9">
        <v>0</v>
      </c>
      <c r="I343" s="9">
        <v>0</v>
      </c>
      <c r="J343" s="9">
        <v>0</v>
      </c>
      <c r="K343" s="9">
        <v>0</v>
      </c>
      <c r="L343" s="9">
        <v>0</v>
      </c>
      <c r="M343" s="9">
        <v>0</v>
      </c>
      <c r="N343" s="9">
        <v>0</v>
      </c>
      <c r="O343" s="9">
        <v>0</v>
      </c>
      <c r="P343" s="9">
        <v>0</v>
      </c>
      <c r="Q343" s="9">
        <f>MAX(-20,MIN(10,$A343-VLOOKUP(YEAR($A343),'Festive dates'!$A$2:$J$5,8,FALSE)))</f>
        <v>-20</v>
      </c>
      <c r="R343" s="9">
        <f>IF(AND($A343&gt;VLOOKUP(YEAR($A343),'Festive dates'!$A$2:$J$5,2,FALSE),$A343&lt;VLOOKUP(YEAR($A343),'Festive dates'!$A$2:$J$5,3,FALSE)),1,0)</f>
        <v>0</v>
      </c>
      <c r="S343" s="9">
        <f>IF($A343=VLOOKUP(YEAR($A343),'Festive dates'!$A$2:$J$5,2,FALSE),1,0)</f>
        <v>0</v>
      </c>
      <c r="T343" s="9">
        <f>IF($A343=VLOOKUP(YEAR($A343),'Festive dates'!$A$2:$J$5,3,FALSE),1,0)</f>
        <v>0</v>
      </c>
      <c r="U343" s="9">
        <f>IF($A343=VLOOKUP(YEAR($A343),'Festive dates'!$A$2:$J$5,4,FALSE),1,0)</f>
        <v>0</v>
      </c>
      <c r="V343" s="9">
        <f>IF(AND($A343&gt;=VLOOKUP(YEAR($A343),'Festive dates'!$A$2:$J$5,9,FALSE),$A343&lt;=VLOOKUP(YEAR($A343),'Festive dates'!$A$2:$J$5,10,FALSE)),1,0)</f>
        <v>0</v>
      </c>
      <c r="W343" s="9">
        <f>IF($A343=VLOOKUP(YEAR($A343),'Festive dates'!$A$2:$J$5,7,FALSE),1,0)</f>
        <v>0</v>
      </c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>
      <c r="A344" s="8">
        <v>45359</v>
      </c>
      <c r="B344" s="9">
        <v>0</v>
      </c>
      <c r="C344" s="9">
        <v>0</v>
      </c>
      <c r="D344" s="9">
        <v>0</v>
      </c>
      <c r="E344" s="9">
        <v>0</v>
      </c>
      <c r="F344" s="9">
        <v>0</v>
      </c>
      <c r="G344" s="9">
        <v>0</v>
      </c>
      <c r="H344" s="9">
        <v>0</v>
      </c>
      <c r="I344" s="9">
        <v>0</v>
      </c>
      <c r="J344" s="9">
        <v>0</v>
      </c>
      <c r="K344" s="9">
        <v>0</v>
      </c>
      <c r="L344" s="9">
        <v>0</v>
      </c>
      <c r="M344" s="9">
        <v>0</v>
      </c>
      <c r="N344" s="9">
        <v>0</v>
      </c>
      <c r="O344" s="9">
        <v>0</v>
      </c>
      <c r="P344" s="9">
        <v>0</v>
      </c>
      <c r="Q344" s="9">
        <f>MAX(-20,MIN(10,$A344-VLOOKUP(YEAR($A344),'Festive dates'!$A$2:$J$5,8,FALSE)))</f>
        <v>-20</v>
      </c>
      <c r="R344" s="9">
        <f>IF(AND($A344&gt;VLOOKUP(YEAR($A344),'Festive dates'!$A$2:$J$5,2,FALSE),$A344&lt;VLOOKUP(YEAR($A344),'Festive dates'!$A$2:$J$5,3,FALSE)),1,0)</f>
        <v>0</v>
      </c>
      <c r="S344" s="9">
        <f>IF($A344=VLOOKUP(YEAR($A344),'Festive dates'!$A$2:$J$5,2,FALSE),1,0)</f>
        <v>0</v>
      </c>
      <c r="T344" s="9">
        <f>IF($A344=VLOOKUP(YEAR($A344),'Festive dates'!$A$2:$J$5,3,FALSE),1,0)</f>
        <v>0</v>
      </c>
      <c r="U344" s="9">
        <f>IF($A344=VLOOKUP(YEAR($A344),'Festive dates'!$A$2:$J$5,4,FALSE),1,0)</f>
        <v>0</v>
      </c>
      <c r="V344" s="9">
        <f>IF(AND($A344&gt;=VLOOKUP(YEAR($A344),'Festive dates'!$A$2:$J$5,9,FALSE),$A344&lt;=VLOOKUP(YEAR($A344),'Festive dates'!$A$2:$J$5,10,FALSE)),1,0)</f>
        <v>0</v>
      </c>
      <c r="W344" s="9">
        <f>IF($A344=VLOOKUP(YEAR($A344),'Festive dates'!$A$2:$J$5,7,FALSE),1,0)</f>
        <v>0</v>
      </c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>
      <c r="A345" s="8">
        <v>45360</v>
      </c>
      <c r="B345" s="9">
        <v>0</v>
      </c>
      <c r="C345" s="9">
        <v>0</v>
      </c>
      <c r="D345" s="9">
        <v>0</v>
      </c>
      <c r="E345" s="9">
        <v>0</v>
      </c>
      <c r="F345" s="9">
        <v>0</v>
      </c>
      <c r="G345" s="9">
        <v>0</v>
      </c>
      <c r="H345" s="9">
        <v>0</v>
      </c>
      <c r="I345" s="9">
        <v>0</v>
      </c>
      <c r="J345" s="9">
        <v>0</v>
      </c>
      <c r="K345" s="9">
        <v>0</v>
      </c>
      <c r="L345" s="9">
        <v>0</v>
      </c>
      <c r="M345" s="9">
        <v>0</v>
      </c>
      <c r="N345" s="9">
        <v>0</v>
      </c>
      <c r="O345" s="9">
        <v>0</v>
      </c>
      <c r="P345" s="9">
        <v>0</v>
      </c>
      <c r="Q345" s="9">
        <f>MAX(-20,MIN(10,$A345-VLOOKUP(YEAR($A345),'Festive dates'!$A$2:$J$5,8,FALSE)))</f>
        <v>-20</v>
      </c>
      <c r="R345" s="9">
        <f>IF(AND($A345&gt;VLOOKUP(YEAR($A345),'Festive dates'!$A$2:$J$5,2,FALSE),$A345&lt;VLOOKUP(YEAR($A345),'Festive dates'!$A$2:$J$5,3,FALSE)),1,0)</f>
        <v>0</v>
      </c>
      <c r="S345" s="9">
        <f>IF($A345=VLOOKUP(YEAR($A345),'Festive dates'!$A$2:$J$5,2,FALSE),1,0)</f>
        <v>0</v>
      </c>
      <c r="T345" s="9">
        <f>IF($A345=VLOOKUP(YEAR($A345),'Festive dates'!$A$2:$J$5,3,FALSE),1,0)</f>
        <v>0</v>
      </c>
      <c r="U345" s="9">
        <f>IF($A345=VLOOKUP(YEAR($A345),'Festive dates'!$A$2:$J$5,4,FALSE),1,0)</f>
        <v>0</v>
      </c>
      <c r="V345" s="9">
        <f>IF(AND($A345&gt;=VLOOKUP(YEAR($A345),'Festive dates'!$A$2:$J$5,9,FALSE),$A345&lt;=VLOOKUP(YEAR($A345),'Festive dates'!$A$2:$J$5,10,FALSE)),1,0)</f>
        <v>0</v>
      </c>
      <c r="W345" s="9">
        <f>IF($A345=VLOOKUP(YEAR($A345),'Festive dates'!$A$2:$J$5,7,FALSE),1,0)</f>
        <v>0</v>
      </c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>
      <c r="A346" s="8">
        <v>45361</v>
      </c>
      <c r="B346" s="9">
        <v>0</v>
      </c>
      <c r="C346" s="9">
        <v>0</v>
      </c>
      <c r="D346" s="9">
        <v>0</v>
      </c>
      <c r="E346" s="9">
        <v>0</v>
      </c>
      <c r="F346" s="9">
        <v>0</v>
      </c>
      <c r="G346" s="9">
        <v>0</v>
      </c>
      <c r="H346" s="9">
        <v>0</v>
      </c>
      <c r="I346" s="9">
        <v>0</v>
      </c>
      <c r="J346" s="9">
        <v>0</v>
      </c>
      <c r="K346" s="9">
        <v>0</v>
      </c>
      <c r="L346" s="9">
        <v>0</v>
      </c>
      <c r="M346" s="9">
        <v>0</v>
      </c>
      <c r="N346" s="9">
        <v>0</v>
      </c>
      <c r="O346" s="9">
        <v>0</v>
      </c>
      <c r="P346" s="9">
        <v>0</v>
      </c>
      <c r="Q346" s="9">
        <f>MAX(-20,MIN(10,$A346-VLOOKUP(YEAR($A346),'Festive dates'!$A$2:$J$5,8,FALSE)))</f>
        <v>-20</v>
      </c>
      <c r="R346" s="9">
        <f>IF(AND($A346&gt;VLOOKUP(YEAR($A346),'Festive dates'!$A$2:$J$5,2,FALSE),$A346&lt;VLOOKUP(YEAR($A346),'Festive dates'!$A$2:$J$5,3,FALSE)),1,0)</f>
        <v>0</v>
      </c>
      <c r="S346" s="9">
        <f>IF($A346=VLOOKUP(YEAR($A346),'Festive dates'!$A$2:$J$5,2,FALSE),1,0)</f>
        <v>0</v>
      </c>
      <c r="T346" s="9">
        <f>IF($A346=VLOOKUP(YEAR($A346),'Festive dates'!$A$2:$J$5,3,FALSE),1,0)</f>
        <v>0</v>
      </c>
      <c r="U346" s="9">
        <f>IF($A346=VLOOKUP(YEAR($A346),'Festive dates'!$A$2:$J$5,4,FALSE),1,0)</f>
        <v>0</v>
      </c>
      <c r="V346" s="9">
        <f>IF(AND($A346&gt;=VLOOKUP(YEAR($A346),'Festive dates'!$A$2:$J$5,9,FALSE),$A346&lt;=VLOOKUP(YEAR($A346),'Festive dates'!$A$2:$J$5,10,FALSE)),1,0)</f>
        <v>0</v>
      </c>
      <c r="W346" s="9">
        <f>IF($A346=VLOOKUP(YEAR($A346),'Festive dates'!$A$2:$J$5,7,FALSE),1,0)</f>
        <v>0</v>
      </c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>
      <c r="A347" s="8">
        <v>45362</v>
      </c>
      <c r="B347" s="9">
        <v>0</v>
      </c>
      <c r="C347" s="9">
        <v>0</v>
      </c>
      <c r="D347" s="9">
        <v>0</v>
      </c>
      <c r="E347" s="9">
        <v>0</v>
      </c>
      <c r="F347" s="9">
        <v>0</v>
      </c>
      <c r="G347" s="9">
        <v>0</v>
      </c>
      <c r="H347" s="9">
        <v>0</v>
      </c>
      <c r="I347" s="9">
        <v>0</v>
      </c>
      <c r="J347" s="9">
        <v>0</v>
      </c>
      <c r="K347" s="9">
        <v>0</v>
      </c>
      <c r="L347" s="9">
        <v>0</v>
      </c>
      <c r="M347" s="9">
        <v>0</v>
      </c>
      <c r="N347" s="9">
        <v>0</v>
      </c>
      <c r="O347" s="9">
        <v>0</v>
      </c>
      <c r="P347" s="9">
        <v>0</v>
      </c>
      <c r="Q347" s="9">
        <f>MAX(-20,MIN(10,$A347-VLOOKUP(YEAR($A347),'Festive dates'!$A$2:$J$5,8,FALSE)))</f>
        <v>-20</v>
      </c>
      <c r="R347" s="9">
        <f>IF(AND($A347&gt;VLOOKUP(YEAR($A347),'Festive dates'!$A$2:$J$5,2,FALSE),$A347&lt;VLOOKUP(YEAR($A347),'Festive dates'!$A$2:$J$5,3,FALSE)),1,0)</f>
        <v>0</v>
      </c>
      <c r="S347" s="9">
        <f>IF($A347=VLOOKUP(YEAR($A347),'Festive dates'!$A$2:$J$5,2,FALSE),1,0)</f>
        <v>0</v>
      </c>
      <c r="T347" s="9">
        <f>IF($A347=VLOOKUP(YEAR($A347),'Festive dates'!$A$2:$J$5,3,FALSE),1,0)</f>
        <v>0</v>
      </c>
      <c r="U347" s="9">
        <f>IF($A347=VLOOKUP(YEAR($A347),'Festive dates'!$A$2:$J$5,4,FALSE),1,0)</f>
        <v>0</v>
      </c>
      <c r="V347" s="9">
        <f>IF(AND($A347&gt;=VLOOKUP(YEAR($A347),'Festive dates'!$A$2:$J$5,9,FALSE),$A347&lt;=VLOOKUP(YEAR($A347),'Festive dates'!$A$2:$J$5,10,FALSE)),1,0)</f>
        <v>0</v>
      </c>
      <c r="W347" s="9">
        <f>IF($A347=VLOOKUP(YEAR($A347),'Festive dates'!$A$2:$J$5,7,FALSE),1,0)</f>
        <v>0</v>
      </c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>
      <c r="A348" s="8">
        <v>45363</v>
      </c>
      <c r="B348" s="9">
        <v>0</v>
      </c>
      <c r="C348" s="9">
        <v>0</v>
      </c>
      <c r="D348" s="9">
        <v>0</v>
      </c>
      <c r="E348" s="9">
        <v>0</v>
      </c>
      <c r="F348" s="9">
        <v>0</v>
      </c>
      <c r="G348" s="9">
        <v>0</v>
      </c>
      <c r="H348" s="9">
        <v>0</v>
      </c>
      <c r="I348" s="9">
        <v>0</v>
      </c>
      <c r="J348" s="9">
        <v>0</v>
      </c>
      <c r="K348" s="9">
        <v>0</v>
      </c>
      <c r="L348" s="9">
        <v>0</v>
      </c>
      <c r="M348" s="9">
        <v>0</v>
      </c>
      <c r="N348" s="9">
        <v>0</v>
      </c>
      <c r="O348" s="9">
        <v>0</v>
      </c>
      <c r="P348" s="9">
        <v>0</v>
      </c>
      <c r="Q348" s="9">
        <f>MAX(-20,MIN(10,$A348-VLOOKUP(YEAR($A348),'Festive dates'!$A$2:$J$5,8,FALSE)))</f>
        <v>-20</v>
      </c>
      <c r="R348" s="9">
        <f>IF(AND($A348&gt;VLOOKUP(YEAR($A348),'Festive dates'!$A$2:$J$5,2,FALSE),$A348&lt;VLOOKUP(YEAR($A348),'Festive dates'!$A$2:$J$5,3,FALSE)),1,0)</f>
        <v>0</v>
      </c>
      <c r="S348" s="9">
        <f>IF($A348=VLOOKUP(YEAR($A348),'Festive dates'!$A$2:$J$5,2,FALSE),1,0)</f>
        <v>0</v>
      </c>
      <c r="T348" s="9">
        <f>IF($A348=VLOOKUP(YEAR($A348),'Festive dates'!$A$2:$J$5,3,FALSE),1,0)</f>
        <v>0</v>
      </c>
      <c r="U348" s="9">
        <f>IF($A348=VLOOKUP(YEAR($A348),'Festive dates'!$A$2:$J$5,4,FALSE),1,0)</f>
        <v>0</v>
      </c>
      <c r="V348" s="9">
        <f>IF(AND($A348&gt;=VLOOKUP(YEAR($A348),'Festive dates'!$A$2:$J$5,9,FALSE),$A348&lt;=VLOOKUP(YEAR($A348),'Festive dates'!$A$2:$J$5,10,FALSE)),1,0)</f>
        <v>0</v>
      </c>
      <c r="W348" s="9">
        <f>IF($A348=VLOOKUP(YEAR($A348),'Festive dates'!$A$2:$J$5,7,FALSE),1,0)</f>
        <v>0</v>
      </c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>
      <c r="A349" s="8">
        <v>45364</v>
      </c>
      <c r="B349" s="9">
        <v>0</v>
      </c>
      <c r="C349" s="9">
        <v>0</v>
      </c>
      <c r="D349" s="9">
        <v>0</v>
      </c>
      <c r="E349" s="9">
        <v>0</v>
      </c>
      <c r="F349" s="9">
        <v>0</v>
      </c>
      <c r="G349" s="9">
        <v>0</v>
      </c>
      <c r="H349" s="9">
        <v>0</v>
      </c>
      <c r="I349" s="9">
        <v>0</v>
      </c>
      <c r="J349" s="9">
        <v>0</v>
      </c>
      <c r="K349" s="9">
        <v>0</v>
      </c>
      <c r="L349" s="9">
        <v>0</v>
      </c>
      <c r="M349" s="9">
        <v>0</v>
      </c>
      <c r="N349" s="9">
        <v>0</v>
      </c>
      <c r="O349" s="9">
        <v>0</v>
      </c>
      <c r="P349" s="9">
        <v>0</v>
      </c>
      <c r="Q349" s="9">
        <f>MAX(-20,MIN(10,$A349-VLOOKUP(YEAR($A349),'Festive dates'!$A$2:$J$5,8,FALSE)))</f>
        <v>-20</v>
      </c>
      <c r="R349" s="9">
        <f>IF(AND($A349&gt;VLOOKUP(YEAR($A349),'Festive dates'!$A$2:$J$5,2,FALSE),$A349&lt;VLOOKUP(YEAR($A349),'Festive dates'!$A$2:$J$5,3,FALSE)),1,0)</f>
        <v>0</v>
      </c>
      <c r="S349" s="9">
        <f>IF($A349=VLOOKUP(YEAR($A349),'Festive dates'!$A$2:$J$5,2,FALSE),1,0)</f>
        <v>0</v>
      </c>
      <c r="T349" s="9">
        <f>IF($A349=VLOOKUP(YEAR($A349),'Festive dates'!$A$2:$J$5,3,FALSE),1,0)</f>
        <v>0</v>
      </c>
      <c r="U349" s="9">
        <f>IF($A349=VLOOKUP(YEAR($A349),'Festive dates'!$A$2:$J$5,4,FALSE),1,0)</f>
        <v>0</v>
      </c>
      <c r="V349" s="9">
        <f>IF(AND($A349&gt;=VLOOKUP(YEAR($A349),'Festive dates'!$A$2:$J$5,9,FALSE),$A349&lt;=VLOOKUP(YEAR($A349),'Festive dates'!$A$2:$J$5,10,FALSE)),1,0)</f>
        <v>0</v>
      </c>
      <c r="W349" s="9">
        <f>IF($A349=VLOOKUP(YEAR($A349),'Festive dates'!$A$2:$J$5,7,FALSE),1,0)</f>
        <v>0</v>
      </c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>
      <c r="A350" s="8">
        <v>45365</v>
      </c>
      <c r="B350" s="9">
        <v>0</v>
      </c>
      <c r="C350" s="9">
        <v>0</v>
      </c>
      <c r="D350" s="9">
        <v>0</v>
      </c>
      <c r="E350" s="9">
        <v>0</v>
      </c>
      <c r="F350" s="9">
        <v>0</v>
      </c>
      <c r="G350" s="9">
        <v>0</v>
      </c>
      <c r="H350" s="9">
        <v>0</v>
      </c>
      <c r="I350" s="9">
        <v>0</v>
      </c>
      <c r="J350" s="9">
        <v>0</v>
      </c>
      <c r="K350" s="9">
        <v>0</v>
      </c>
      <c r="L350" s="9">
        <v>0</v>
      </c>
      <c r="M350" s="9">
        <v>0</v>
      </c>
      <c r="N350" s="9">
        <v>0</v>
      </c>
      <c r="O350" s="9">
        <v>0</v>
      </c>
      <c r="P350" s="9">
        <v>0</v>
      </c>
      <c r="Q350" s="9">
        <f>MAX(-20,MIN(10,$A350-VLOOKUP(YEAR($A350),'Festive dates'!$A$2:$J$5,8,FALSE)))</f>
        <v>-20</v>
      </c>
      <c r="R350" s="9">
        <f>IF(AND($A350&gt;VLOOKUP(YEAR($A350),'Festive dates'!$A$2:$J$5,2,FALSE),$A350&lt;VLOOKUP(YEAR($A350),'Festive dates'!$A$2:$J$5,3,FALSE)),1,0)</f>
        <v>0</v>
      </c>
      <c r="S350" s="9">
        <f>IF($A350=VLOOKUP(YEAR($A350),'Festive dates'!$A$2:$J$5,2,FALSE),1,0)</f>
        <v>0</v>
      </c>
      <c r="T350" s="9">
        <f>IF($A350=VLOOKUP(YEAR($A350),'Festive dates'!$A$2:$J$5,3,FALSE),1,0)</f>
        <v>0</v>
      </c>
      <c r="U350" s="9">
        <f>IF($A350=VLOOKUP(YEAR($A350),'Festive dates'!$A$2:$J$5,4,FALSE),1,0)</f>
        <v>0</v>
      </c>
      <c r="V350" s="9">
        <f>IF(AND($A350&gt;=VLOOKUP(YEAR($A350),'Festive dates'!$A$2:$J$5,9,FALSE),$A350&lt;=VLOOKUP(YEAR($A350),'Festive dates'!$A$2:$J$5,10,FALSE)),1,0)</f>
        <v>0</v>
      </c>
      <c r="W350" s="9">
        <f>IF($A350=VLOOKUP(YEAR($A350),'Festive dates'!$A$2:$J$5,7,FALSE),1,0)</f>
        <v>0</v>
      </c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>
      <c r="A351" s="8">
        <v>45366</v>
      </c>
      <c r="B351" s="9">
        <v>0</v>
      </c>
      <c r="C351" s="9">
        <v>0</v>
      </c>
      <c r="D351" s="9">
        <v>0</v>
      </c>
      <c r="E351" s="9">
        <v>0</v>
      </c>
      <c r="F351" s="9">
        <v>0</v>
      </c>
      <c r="G351" s="9">
        <v>0</v>
      </c>
      <c r="H351" s="9">
        <v>0</v>
      </c>
      <c r="I351" s="9">
        <v>0</v>
      </c>
      <c r="J351" s="9">
        <v>0</v>
      </c>
      <c r="K351" s="9">
        <v>0</v>
      </c>
      <c r="L351" s="9">
        <v>0</v>
      </c>
      <c r="M351" s="9">
        <v>0</v>
      </c>
      <c r="N351" s="9">
        <v>0</v>
      </c>
      <c r="O351" s="9">
        <v>0</v>
      </c>
      <c r="P351" s="9">
        <v>0</v>
      </c>
      <c r="Q351" s="9">
        <f>MAX(-20,MIN(10,$A351-VLOOKUP(YEAR($A351),'Festive dates'!$A$2:$J$5,8,FALSE)))</f>
        <v>-20</v>
      </c>
      <c r="R351" s="9">
        <f>IF(AND($A351&gt;VLOOKUP(YEAR($A351),'Festive dates'!$A$2:$J$5,2,FALSE),$A351&lt;VLOOKUP(YEAR($A351),'Festive dates'!$A$2:$J$5,3,FALSE)),1,0)</f>
        <v>0</v>
      </c>
      <c r="S351" s="9">
        <f>IF($A351=VLOOKUP(YEAR($A351),'Festive dates'!$A$2:$J$5,2,FALSE),1,0)</f>
        <v>0</v>
      </c>
      <c r="T351" s="9">
        <f>IF($A351=VLOOKUP(YEAR($A351),'Festive dates'!$A$2:$J$5,3,FALSE),1,0)</f>
        <v>0</v>
      </c>
      <c r="U351" s="9">
        <f>IF($A351=VLOOKUP(YEAR($A351),'Festive dates'!$A$2:$J$5,4,FALSE),1,0)</f>
        <v>0</v>
      </c>
      <c r="V351" s="9">
        <f>IF(AND($A351&gt;=VLOOKUP(YEAR($A351),'Festive dates'!$A$2:$J$5,9,FALSE),$A351&lt;=VLOOKUP(YEAR($A351),'Festive dates'!$A$2:$J$5,10,FALSE)),1,0)</f>
        <v>0</v>
      </c>
      <c r="W351" s="9">
        <f>IF($A351=VLOOKUP(YEAR($A351),'Festive dates'!$A$2:$J$5,7,FALSE),1,0)</f>
        <v>0</v>
      </c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>
      <c r="A352" s="8">
        <v>45367</v>
      </c>
      <c r="B352" s="9">
        <v>0</v>
      </c>
      <c r="C352" s="9">
        <v>0</v>
      </c>
      <c r="D352" s="9">
        <v>0</v>
      </c>
      <c r="E352" s="9">
        <v>0</v>
      </c>
      <c r="F352" s="9">
        <v>0</v>
      </c>
      <c r="G352" s="9">
        <v>0</v>
      </c>
      <c r="H352" s="9">
        <v>0</v>
      </c>
      <c r="I352" s="9">
        <v>0</v>
      </c>
      <c r="J352" s="9">
        <v>0</v>
      </c>
      <c r="K352" s="9">
        <v>0</v>
      </c>
      <c r="L352" s="9">
        <v>0</v>
      </c>
      <c r="M352" s="9">
        <v>0</v>
      </c>
      <c r="N352" s="9">
        <v>0</v>
      </c>
      <c r="O352" s="9">
        <v>0</v>
      </c>
      <c r="P352" s="9">
        <v>0</v>
      </c>
      <c r="Q352" s="9">
        <f>MAX(-20,MIN(10,$A352-VLOOKUP(YEAR($A352),'Festive dates'!$A$2:$J$5,8,FALSE)))</f>
        <v>-20</v>
      </c>
      <c r="R352" s="9">
        <f>IF(AND($A352&gt;VLOOKUP(YEAR($A352),'Festive dates'!$A$2:$J$5,2,FALSE),$A352&lt;VLOOKUP(YEAR($A352),'Festive dates'!$A$2:$J$5,3,FALSE)),1,0)</f>
        <v>0</v>
      </c>
      <c r="S352" s="9">
        <f>IF($A352=VLOOKUP(YEAR($A352),'Festive dates'!$A$2:$J$5,2,FALSE),1,0)</f>
        <v>0</v>
      </c>
      <c r="T352" s="9">
        <f>IF($A352=VLOOKUP(YEAR($A352),'Festive dates'!$A$2:$J$5,3,FALSE),1,0)</f>
        <v>0</v>
      </c>
      <c r="U352" s="9">
        <f>IF($A352=VLOOKUP(YEAR($A352),'Festive dates'!$A$2:$J$5,4,FALSE),1,0)</f>
        <v>0</v>
      </c>
      <c r="V352" s="9">
        <f>IF(AND($A352&gt;=VLOOKUP(YEAR($A352),'Festive dates'!$A$2:$J$5,9,FALSE),$A352&lt;=VLOOKUP(YEAR($A352),'Festive dates'!$A$2:$J$5,10,FALSE)),1,0)</f>
        <v>0</v>
      </c>
      <c r="W352" s="9">
        <f>IF($A352=VLOOKUP(YEAR($A352),'Festive dates'!$A$2:$J$5,7,FALSE),1,0)</f>
        <v>0</v>
      </c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>
      <c r="A353" s="8">
        <v>45368</v>
      </c>
      <c r="B353" s="9">
        <v>0</v>
      </c>
      <c r="C353" s="9">
        <v>0</v>
      </c>
      <c r="D353" s="9">
        <v>0</v>
      </c>
      <c r="E353" s="9">
        <v>0</v>
      </c>
      <c r="F353" s="9">
        <v>0</v>
      </c>
      <c r="G353" s="9">
        <v>0</v>
      </c>
      <c r="H353" s="9">
        <v>0</v>
      </c>
      <c r="I353" s="9">
        <v>0</v>
      </c>
      <c r="J353" s="9">
        <v>0</v>
      </c>
      <c r="K353" s="9">
        <v>0</v>
      </c>
      <c r="L353" s="9">
        <v>0</v>
      </c>
      <c r="M353" s="9">
        <v>0</v>
      </c>
      <c r="N353" s="9">
        <v>0</v>
      </c>
      <c r="O353" s="9">
        <v>0</v>
      </c>
      <c r="P353" s="9">
        <v>0</v>
      </c>
      <c r="Q353" s="9">
        <f>MAX(-20,MIN(10,$A353-VLOOKUP(YEAR($A353),'Festive dates'!$A$2:$J$5,8,FALSE)))</f>
        <v>-20</v>
      </c>
      <c r="R353" s="9">
        <f>IF(AND($A353&gt;VLOOKUP(YEAR($A353),'Festive dates'!$A$2:$J$5,2,FALSE),$A353&lt;VLOOKUP(YEAR($A353),'Festive dates'!$A$2:$J$5,3,FALSE)),1,0)</f>
        <v>0</v>
      </c>
      <c r="S353" s="9">
        <f>IF($A353=VLOOKUP(YEAR($A353),'Festive dates'!$A$2:$J$5,2,FALSE),1,0)</f>
        <v>0</v>
      </c>
      <c r="T353" s="9">
        <f>IF($A353=VLOOKUP(YEAR($A353),'Festive dates'!$A$2:$J$5,3,FALSE),1,0)</f>
        <v>0</v>
      </c>
      <c r="U353" s="9">
        <f>IF($A353=VLOOKUP(YEAR($A353),'Festive dates'!$A$2:$J$5,4,FALSE),1,0)</f>
        <v>0</v>
      </c>
      <c r="V353" s="9">
        <f>IF(AND($A353&gt;=VLOOKUP(YEAR($A353),'Festive dates'!$A$2:$J$5,9,FALSE),$A353&lt;=VLOOKUP(YEAR($A353),'Festive dates'!$A$2:$J$5,10,FALSE)),1,0)</f>
        <v>0</v>
      </c>
      <c r="W353" s="9">
        <f>IF($A353=VLOOKUP(YEAR($A353),'Festive dates'!$A$2:$J$5,7,FALSE),1,0)</f>
        <v>0</v>
      </c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>
      <c r="A354" s="8">
        <v>45369</v>
      </c>
      <c r="B354" s="9">
        <v>0</v>
      </c>
      <c r="C354" s="9">
        <v>0</v>
      </c>
      <c r="D354" s="9">
        <v>0</v>
      </c>
      <c r="E354" s="9">
        <v>0</v>
      </c>
      <c r="F354" s="9">
        <v>0</v>
      </c>
      <c r="G354" s="9">
        <v>0</v>
      </c>
      <c r="H354" s="9">
        <v>0</v>
      </c>
      <c r="I354" s="9">
        <v>0</v>
      </c>
      <c r="J354" s="9">
        <v>0</v>
      </c>
      <c r="K354" s="9">
        <v>0</v>
      </c>
      <c r="L354" s="9">
        <v>0</v>
      </c>
      <c r="M354" s="9">
        <v>0</v>
      </c>
      <c r="N354" s="9">
        <v>0</v>
      </c>
      <c r="O354" s="9">
        <v>0</v>
      </c>
      <c r="P354" s="9">
        <v>0</v>
      </c>
      <c r="Q354" s="9">
        <f>MAX(-20,MIN(10,$A354-VLOOKUP(YEAR($A354),'Festive dates'!$A$2:$J$5,8,FALSE)))</f>
        <v>-20</v>
      </c>
      <c r="R354" s="9">
        <f>IF(AND($A354&gt;VLOOKUP(YEAR($A354),'Festive dates'!$A$2:$J$5,2,FALSE),$A354&lt;VLOOKUP(YEAR($A354),'Festive dates'!$A$2:$J$5,3,FALSE)),1,0)</f>
        <v>0</v>
      </c>
      <c r="S354" s="9">
        <f>IF($A354=VLOOKUP(YEAR($A354),'Festive dates'!$A$2:$J$5,2,FALSE),1,0)</f>
        <v>0</v>
      </c>
      <c r="T354" s="9">
        <f>IF($A354=VLOOKUP(YEAR($A354),'Festive dates'!$A$2:$J$5,3,FALSE),1,0)</f>
        <v>0</v>
      </c>
      <c r="U354" s="9">
        <f>IF($A354=VLOOKUP(YEAR($A354),'Festive dates'!$A$2:$J$5,4,FALSE),1,0)</f>
        <v>0</v>
      </c>
      <c r="V354" s="9">
        <f>IF(AND($A354&gt;=VLOOKUP(YEAR($A354),'Festive dates'!$A$2:$J$5,9,FALSE),$A354&lt;=VLOOKUP(YEAR($A354),'Festive dates'!$A$2:$J$5,10,FALSE)),1,0)</f>
        <v>0</v>
      </c>
      <c r="W354" s="9">
        <f>IF($A354=VLOOKUP(YEAR($A354),'Festive dates'!$A$2:$J$5,7,FALSE),1,0)</f>
        <v>0</v>
      </c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>
      <c r="A355" s="8">
        <v>45370</v>
      </c>
      <c r="B355" s="9">
        <v>0</v>
      </c>
      <c r="C355" s="9">
        <v>0</v>
      </c>
      <c r="D355" s="9">
        <v>0</v>
      </c>
      <c r="E355" s="9">
        <v>0</v>
      </c>
      <c r="F355" s="9">
        <v>0</v>
      </c>
      <c r="G355" s="9">
        <v>0</v>
      </c>
      <c r="H355" s="9">
        <v>0</v>
      </c>
      <c r="I355" s="9">
        <v>0</v>
      </c>
      <c r="J355" s="9">
        <v>0</v>
      </c>
      <c r="K355" s="9">
        <v>0</v>
      </c>
      <c r="L355" s="9">
        <v>0</v>
      </c>
      <c r="M355" s="9">
        <v>0</v>
      </c>
      <c r="N355" s="9">
        <v>0</v>
      </c>
      <c r="O355" s="9">
        <v>0</v>
      </c>
      <c r="P355" s="9">
        <v>0</v>
      </c>
      <c r="Q355" s="9">
        <f>MAX(-20,MIN(10,$A355-VLOOKUP(YEAR($A355),'Festive dates'!$A$2:$J$5,8,FALSE)))</f>
        <v>-20</v>
      </c>
      <c r="R355" s="9">
        <f>IF(AND($A355&gt;VLOOKUP(YEAR($A355),'Festive dates'!$A$2:$J$5,2,FALSE),$A355&lt;VLOOKUP(YEAR($A355),'Festive dates'!$A$2:$J$5,3,FALSE)),1,0)</f>
        <v>0</v>
      </c>
      <c r="S355" s="9">
        <f>IF($A355=VLOOKUP(YEAR($A355),'Festive dates'!$A$2:$J$5,2,FALSE),1,0)</f>
        <v>0</v>
      </c>
      <c r="T355" s="9">
        <f>IF($A355=VLOOKUP(YEAR($A355),'Festive dates'!$A$2:$J$5,3,FALSE),1,0)</f>
        <v>0</v>
      </c>
      <c r="U355" s="9">
        <f>IF($A355=VLOOKUP(YEAR($A355),'Festive dates'!$A$2:$J$5,4,FALSE),1,0)</f>
        <v>0</v>
      </c>
      <c r="V355" s="9">
        <f>IF(AND($A355&gt;=VLOOKUP(YEAR($A355),'Festive dates'!$A$2:$J$5,9,FALSE),$A355&lt;=VLOOKUP(YEAR($A355),'Festive dates'!$A$2:$J$5,10,FALSE)),1,0)</f>
        <v>0</v>
      </c>
      <c r="W355" s="9">
        <f>IF($A355=VLOOKUP(YEAR($A355),'Festive dates'!$A$2:$J$5,7,FALSE),1,0)</f>
        <v>0</v>
      </c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>
      <c r="A356" s="8">
        <v>45371</v>
      </c>
      <c r="B356" s="9">
        <v>0</v>
      </c>
      <c r="C356" s="9">
        <v>0</v>
      </c>
      <c r="D356" s="9">
        <v>0</v>
      </c>
      <c r="E356" s="9">
        <v>0</v>
      </c>
      <c r="F356" s="9">
        <v>0</v>
      </c>
      <c r="G356" s="9">
        <v>0</v>
      </c>
      <c r="H356" s="9">
        <v>0</v>
      </c>
      <c r="I356" s="9">
        <v>0</v>
      </c>
      <c r="J356" s="9">
        <v>0</v>
      </c>
      <c r="K356" s="9">
        <v>0</v>
      </c>
      <c r="L356" s="9">
        <v>0</v>
      </c>
      <c r="M356" s="9">
        <v>0</v>
      </c>
      <c r="N356" s="9">
        <v>0</v>
      </c>
      <c r="O356" s="9">
        <v>0</v>
      </c>
      <c r="P356" s="9">
        <v>0</v>
      </c>
      <c r="Q356" s="9">
        <f>MAX(-20,MIN(10,$A356-VLOOKUP(YEAR($A356),'Festive dates'!$A$2:$J$5,8,FALSE)))</f>
        <v>-20</v>
      </c>
      <c r="R356" s="9">
        <f>IF(AND($A356&gt;VLOOKUP(YEAR($A356),'Festive dates'!$A$2:$J$5,2,FALSE),$A356&lt;VLOOKUP(YEAR($A356),'Festive dates'!$A$2:$J$5,3,FALSE)),1,0)</f>
        <v>0</v>
      </c>
      <c r="S356" s="9">
        <f>IF($A356=VLOOKUP(YEAR($A356),'Festive dates'!$A$2:$J$5,2,FALSE),1,0)</f>
        <v>0</v>
      </c>
      <c r="T356" s="9">
        <f>IF($A356=VLOOKUP(YEAR($A356),'Festive dates'!$A$2:$J$5,3,FALSE),1,0)</f>
        <v>0</v>
      </c>
      <c r="U356" s="9">
        <f>IF($A356=VLOOKUP(YEAR($A356),'Festive dates'!$A$2:$J$5,4,FALSE),1,0)</f>
        <v>0</v>
      </c>
      <c r="V356" s="9">
        <f>IF(AND($A356&gt;=VLOOKUP(YEAR($A356),'Festive dates'!$A$2:$J$5,9,FALSE),$A356&lt;=VLOOKUP(YEAR($A356),'Festive dates'!$A$2:$J$5,10,FALSE)),1,0)</f>
        <v>0</v>
      </c>
      <c r="W356" s="9">
        <f>IF($A356=VLOOKUP(YEAR($A356),'Festive dates'!$A$2:$J$5,7,FALSE),1,0)</f>
        <v>0</v>
      </c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>
      <c r="A357" s="8">
        <v>45372</v>
      </c>
      <c r="B357" s="9">
        <v>0</v>
      </c>
      <c r="C357" s="9">
        <v>0</v>
      </c>
      <c r="D357" s="9">
        <v>0</v>
      </c>
      <c r="E357" s="9">
        <v>0</v>
      </c>
      <c r="F357" s="9">
        <v>0</v>
      </c>
      <c r="G357" s="9">
        <v>0</v>
      </c>
      <c r="H357" s="9">
        <v>0</v>
      </c>
      <c r="I357" s="9">
        <v>0</v>
      </c>
      <c r="J357" s="9">
        <v>0</v>
      </c>
      <c r="K357" s="9">
        <v>0</v>
      </c>
      <c r="L357" s="9">
        <v>0</v>
      </c>
      <c r="M357" s="9">
        <v>0</v>
      </c>
      <c r="N357" s="9">
        <v>0</v>
      </c>
      <c r="O357" s="9">
        <v>0</v>
      </c>
      <c r="P357" s="9">
        <v>0</v>
      </c>
      <c r="Q357" s="9">
        <f>MAX(-20,MIN(10,$A357-VLOOKUP(YEAR($A357),'Festive dates'!$A$2:$J$5,8,FALSE)))</f>
        <v>-20</v>
      </c>
      <c r="R357" s="9">
        <f>IF(AND($A357&gt;VLOOKUP(YEAR($A357),'Festive dates'!$A$2:$J$5,2,FALSE),$A357&lt;VLOOKUP(YEAR($A357),'Festive dates'!$A$2:$J$5,3,FALSE)),1,0)</f>
        <v>0</v>
      </c>
      <c r="S357" s="9">
        <f>IF($A357=VLOOKUP(YEAR($A357),'Festive dates'!$A$2:$J$5,2,FALSE),1,0)</f>
        <v>0</v>
      </c>
      <c r="T357" s="9">
        <f>IF($A357=VLOOKUP(YEAR($A357),'Festive dates'!$A$2:$J$5,3,FALSE),1,0)</f>
        <v>0</v>
      </c>
      <c r="U357" s="9">
        <f>IF($A357=VLOOKUP(YEAR($A357),'Festive dates'!$A$2:$J$5,4,FALSE),1,0)</f>
        <v>0</v>
      </c>
      <c r="V357" s="9">
        <f>IF(AND($A357&gt;=VLOOKUP(YEAR($A357),'Festive dates'!$A$2:$J$5,9,FALSE),$A357&lt;=VLOOKUP(YEAR($A357),'Festive dates'!$A$2:$J$5,10,FALSE)),1,0)</f>
        <v>0</v>
      </c>
      <c r="W357" s="9">
        <f>IF($A357=VLOOKUP(YEAR($A357),'Festive dates'!$A$2:$J$5,7,FALSE),1,0)</f>
        <v>0</v>
      </c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>
      <c r="A358" s="8">
        <v>45373</v>
      </c>
      <c r="B358" s="9">
        <v>0</v>
      </c>
      <c r="C358" s="9">
        <v>0</v>
      </c>
      <c r="D358" s="9">
        <v>0</v>
      </c>
      <c r="E358" s="9">
        <v>0</v>
      </c>
      <c r="F358" s="9">
        <v>0</v>
      </c>
      <c r="G358" s="9">
        <v>0</v>
      </c>
      <c r="H358" s="9">
        <v>0</v>
      </c>
      <c r="I358" s="9">
        <v>0</v>
      </c>
      <c r="J358" s="9">
        <v>0</v>
      </c>
      <c r="K358" s="9">
        <v>0</v>
      </c>
      <c r="L358" s="9">
        <v>0</v>
      </c>
      <c r="M358" s="9">
        <v>0</v>
      </c>
      <c r="N358" s="9">
        <v>0</v>
      </c>
      <c r="O358" s="9">
        <v>0</v>
      </c>
      <c r="P358" s="9">
        <v>0</v>
      </c>
      <c r="Q358" s="9">
        <f>MAX(-20,MIN(10,$A358-VLOOKUP(YEAR($A358),'Festive dates'!$A$2:$J$5,8,FALSE)))</f>
        <v>-20</v>
      </c>
      <c r="R358" s="9">
        <f>IF(AND($A358&gt;VLOOKUP(YEAR($A358),'Festive dates'!$A$2:$J$5,2,FALSE),$A358&lt;VLOOKUP(YEAR($A358),'Festive dates'!$A$2:$J$5,3,FALSE)),1,0)</f>
        <v>0</v>
      </c>
      <c r="S358" s="9">
        <f>IF($A358=VLOOKUP(YEAR($A358),'Festive dates'!$A$2:$J$5,2,FALSE),1,0)</f>
        <v>0</v>
      </c>
      <c r="T358" s="9">
        <f>IF($A358=VLOOKUP(YEAR($A358),'Festive dates'!$A$2:$J$5,3,FALSE),1,0)</f>
        <v>0</v>
      </c>
      <c r="U358" s="9">
        <f>IF($A358=VLOOKUP(YEAR($A358),'Festive dates'!$A$2:$J$5,4,FALSE),1,0)</f>
        <v>0</v>
      </c>
      <c r="V358" s="9">
        <f>IF(AND($A358&gt;=VLOOKUP(YEAR($A358),'Festive dates'!$A$2:$J$5,9,FALSE),$A358&lt;=VLOOKUP(YEAR($A358),'Festive dates'!$A$2:$J$5,10,FALSE)),1,0)</f>
        <v>0</v>
      </c>
      <c r="W358" s="9">
        <f>IF($A358=VLOOKUP(YEAR($A358),'Festive dates'!$A$2:$J$5,7,FALSE),1,0)</f>
        <v>0</v>
      </c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>
      <c r="A359" s="8">
        <v>45374</v>
      </c>
      <c r="B359" s="9">
        <v>0</v>
      </c>
      <c r="C359" s="9">
        <v>0</v>
      </c>
      <c r="D359" s="9">
        <v>0</v>
      </c>
      <c r="E359" s="9">
        <v>0</v>
      </c>
      <c r="F359" s="9">
        <v>0</v>
      </c>
      <c r="G359" s="9">
        <v>0</v>
      </c>
      <c r="H359" s="9">
        <v>0</v>
      </c>
      <c r="I359" s="9">
        <v>0</v>
      </c>
      <c r="J359" s="9">
        <v>0</v>
      </c>
      <c r="K359" s="9">
        <v>0</v>
      </c>
      <c r="L359" s="9">
        <v>0</v>
      </c>
      <c r="M359" s="9">
        <v>0</v>
      </c>
      <c r="N359" s="9">
        <v>0</v>
      </c>
      <c r="O359" s="9">
        <v>0</v>
      </c>
      <c r="P359" s="9">
        <v>0</v>
      </c>
      <c r="Q359" s="9">
        <f>MAX(-20,MIN(10,$A359-VLOOKUP(YEAR($A359),'Festive dates'!$A$2:$J$5,8,FALSE)))</f>
        <v>-20</v>
      </c>
      <c r="R359" s="9">
        <f>IF(AND($A359&gt;VLOOKUP(YEAR($A359),'Festive dates'!$A$2:$J$5,2,FALSE),$A359&lt;VLOOKUP(YEAR($A359),'Festive dates'!$A$2:$J$5,3,FALSE)),1,0)</f>
        <v>0</v>
      </c>
      <c r="S359" s="9">
        <f>IF($A359=VLOOKUP(YEAR($A359),'Festive dates'!$A$2:$J$5,2,FALSE),1,0)</f>
        <v>0</v>
      </c>
      <c r="T359" s="9">
        <f>IF($A359=VLOOKUP(YEAR($A359),'Festive dates'!$A$2:$J$5,3,FALSE),1,0)</f>
        <v>0</v>
      </c>
      <c r="U359" s="9">
        <f>IF($A359=VLOOKUP(YEAR($A359),'Festive dates'!$A$2:$J$5,4,FALSE),1,0)</f>
        <v>0</v>
      </c>
      <c r="V359" s="9">
        <f>IF(AND($A359&gt;=VLOOKUP(YEAR($A359),'Festive dates'!$A$2:$J$5,9,FALSE),$A359&lt;=VLOOKUP(YEAR($A359),'Festive dates'!$A$2:$J$5,10,FALSE)),1,0)</f>
        <v>0</v>
      </c>
      <c r="W359" s="9">
        <f>IF($A359=VLOOKUP(YEAR($A359),'Festive dates'!$A$2:$J$5,7,FALSE),1,0)</f>
        <v>0</v>
      </c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>
      <c r="A360" s="8">
        <v>45375</v>
      </c>
      <c r="B360" s="9">
        <v>0</v>
      </c>
      <c r="C360" s="9">
        <v>0</v>
      </c>
      <c r="D360" s="9">
        <v>0</v>
      </c>
      <c r="E360" s="9">
        <v>0</v>
      </c>
      <c r="F360" s="9">
        <v>0</v>
      </c>
      <c r="G360" s="9">
        <v>0</v>
      </c>
      <c r="H360" s="9">
        <v>0</v>
      </c>
      <c r="I360" s="9">
        <v>0</v>
      </c>
      <c r="J360" s="9">
        <v>0</v>
      </c>
      <c r="K360" s="9">
        <v>0</v>
      </c>
      <c r="L360" s="9">
        <v>0</v>
      </c>
      <c r="M360" s="9">
        <v>0</v>
      </c>
      <c r="N360" s="9">
        <v>0</v>
      </c>
      <c r="O360" s="9">
        <v>0</v>
      </c>
      <c r="P360" s="9">
        <v>0</v>
      </c>
      <c r="Q360" s="9">
        <f>MAX(-20,MIN(10,$A360-VLOOKUP(YEAR($A360),'Festive dates'!$A$2:$J$5,8,FALSE)))</f>
        <v>-20</v>
      </c>
      <c r="R360" s="9">
        <f>IF(AND($A360&gt;VLOOKUP(YEAR($A360),'Festive dates'!$A$2:$J$5,2,FALSE),$A360&lt;VLOOKUP(YEAR($A360),'Festive dates'!$A$2:$J$5,3,FALSE)),1,0)</f>
        <v>0</v>
      </c>
      <c r="S360" s="9">
        <f>IF($A360=VLOOKUP(YEAR($A360),'Festive dates'!$A$2:$J$5,2,FALSE),1,0)</f>
        <v>0</v>
      </c>
      <c r="T360" s="9">
        <f>IF($A360=VLOOKUP(YEAR($A360),'Festive dates'!$A$2:$J$5,3,FALSE),1,0)</f>
        <v>0</v>
      </c>
      <c r="U360" s="9">
        <f>IF($A360=VLOOKUP(YEAR($A360),'Festive dates'!$A$2:$J$5,4,FALSE),1,0)</f>
        <v>0</v>
      </c>
      <c r="V360" s="9">
        <f>IF(AND($A360&gt;=VLOOKUP(YEAR($A360),'Festive dates'!$A$2:$J$5,9,FALSE),$A360&lt;=VLOOKUP(YEAR($A360),'Festive dates'!$A$2:$J$5,10,FALSE)),1,0)</f>
        <v>0</v>
      </c>
      <c r="W360" s="9">
        <f>IF($A360=VLOOKUP(YEAR($A360),'Festive dates'!$A$2:$J$5,7,FALSE),1,0)</f>
        <v>0</v>
      </c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>
      <c r="A361" s="8">
        <v>45376</v>
      </c>
      <c r="B361" s="9">
        <v>0</v>
      </c>
      <c r="C361" s="9">
        <v>0</v>
      </c>
      <c r="D361" s="9">
        <v>0</v>
      </c>
      <c r="E361" s="9">
        <v>0</v>
      </c>
      <c r="F361" s="9">
        <v>0</v>
      </c>
      <c r="G361" s="9">
        <v>0</v>
      </c>
      <c r="H361" s="9">
        <v>0</v>
      </c>
      <c r="I361" s="9">
        <v>0</v>
      </c>
      <c r="J361" s="9">
        <v>0</v>
      </c>
      <c r="K361" s="9">
        <v>0</v>
      </c>
      <c r="L361" s="9">
        <v>0</v>
      </c>
      <c r="M361" s="9">
        <v>0</v>
      </c>
      <c r="N361" s="9">
        <v>0</v>
      </c>
      <c r="O361" s="9">
        <v>0</v>
      </c>
      <c r="P361" s="9">
        <v>0</v>
      </c>
      <c r="Q361" s="9">
        <f>MAX(-20,MIN(10,$A361-VLOOKUP(YEAR($A361),'Festive dates'!$A$2:$J$5,8,FALSE)))</f>
        <v>-20</v>
      </c>
      <c r="R361" s="9">
        <f>IF(AND($A361&gt;VLOOKUP(YEAR($A361),'Festive dates'!$A$2:$J$5,2,FALSE),$A361&lt;VLOOKUP(YEAR($A361),'Festive dates'!$A$2:$J$5,3,FALSE)),1,0)</f>
        <v>0</v>
      </c>
      <c r="S361" s="9">
        <f>IF($A361=VLOOKUP(YEAR($A361),'Festive dates'!$A$2:$J$5,2,FALSE),1,0)</f>
        <v>0</v>
      </c>
      <c r="T361" s="9">
        <f>IF($A361=VLOOKUP(YEAR($A361),'Festive dates'!$A$2:$J$5,3,FALSE),1,0)</f>
        <v>0</v>
      </c>
      <c r="U361" s="9">
        <f>IF($A361=VLOOKUP(YEAR($A361),'Festive dates'!$A$2:$J$5,4,FALSE),1,0)</f>
        <v>0</v>
      </c>
      <c r="V361" s="9">
        <f>IF(AND($A361&gt;=VLOOKUP(YEAR($A361),'Festive dates'!$A$2:$J$5,9,FALSE),$A361&lt;=VLOOKUP(YEAR($A361),'Festive dates'!$A$2:$J$5,10,FALSE)),1,0)</f>
        <v>0</v>
      </c>
      <c r="W361" s="9">
        <f>IF($A361=VLOOKUP(YEAR($A361),'Festive dates'!$A$2:$J$5,7,FALSE),1,0)</f>
        <v>0</v>
      </c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>
      <c r="A362" s="8">
        <v>45377</v>
      </c>
      <c r="B362" s="9">
        <v>0</v>
      </c>
      <c r="C362" s="9">
        <v>0</v>
      </c>
      <c r="D362" s="9">
        <v>0</v>
      </c>
      <c r="E362" s="9">
        <v>0</v>
      </c>
      <c r="F362" s="9">
        <v>0</v>
      </c>
      <c r="G362" s="9">
        <v>0</v>
      </c>
      <c r="H362" s="9">
        <v>0</v>
      </c>
      <c r="I362" s="9">
        <v>0</v>
      </c>
      <c r="J362" s="9">
        <v>0</v>
      </c>
      <c r="K362" s="9">
        <v>0</v>
      </c>
      <c r="L362" s="9">
        <v>0</v>
      </c>
      <c r="M362" s="9">
        <v>0</v>
      </c>
      <c r="N362" s="9">
        <v>0</v>
      </c>
      <c r="O362" s="9">
        <v>0</v>
      </c>
      <c r="P362" s="9">
        <v>0</v>
      </c>
      <c r="Q362" s="9">
        <f>MAX(-20,MIN(10,$A362-VLOOKUP(YEAR($A362),'Festive dates'!$A$2:$J$5,8,FALSE)))</f>
        <v>-20</v>
      </c>
      <c r="R362" s="9">
        <f>IF(AND($A362&gt;VLOOKUP(YEAR($A362),'Festive dates'!$A$2:$J$5,2,FALSE),$A362&lt;VLOOKUP(YEAR($A362),'Festive dates'!$A$2:$J$5,3,FALSE)),1,0)</f>
        <v>0</v>
      </c>
      <c r="S362" s="9">
        <f>IF($A362=VLOOKUP(YEAR($A362),'Festive dates'!$A$2:$J$5,2,FALSE),1,0)</f>
        <v>0</v>
      </c>
      <c r="T362" s="9">
        <f>IF($A362=VLOOKUP(YEAR($A362),'Festive dates'!$A$2:$J$5,3,FALSE),1,0)</f>
        <v>0</v>
      </c>
      <c r="U362" s="9">
        <f>IF($A362=VLOOKUP(YEAR($A362),'Festive dates'!$A$2:$J$5,4,FALSE),1,0)</f>
        <v>0</v>
      </c>
      <c r="V362" s="9">
        <f>IF(AND($A362&gt;=VLOOKUP(YEAR($A362),'Festive dates'!$A$2:$J$5,9,FALSE),$A362&lt;=VLOOKUP(YEAR($A362),'Festive dates'!$A$2:$J$5,10,FALSE)),1,0)</f>
        <v>0</v>
      </c>
      <c r="W362" s="9">
        <f>IF($A362=VLOOKUP(YEAR($A362),'Festive dates'!$A$2:$J$5,7,FALSE),1,0)</f>
        <v>0</v>
      </c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>
      <c r="A363" s="8">
        <v>45378</v>
      </c>
      <c r="B363" s="9">
        <v>0</v>
      </c>
      <c r="C363" s="9">
        <v>0</v>
      </c>
      <c r="D363" s="9">
        <v>0</v>
      </c>
      <c r="E363" s="9">
        <v>0</v>
      </c>
      <c r="F363" s="9">
        <v>0</v>
      </c>
      <c r="G363" s="9">
        <v>0</v>
      </c>
      <c r="H363" s="9">
        <v>0</v>
      </c>
      <c r="I363" s="9">
        <v>0</v>
      </c>
      <c r="J363" s="9">
        <v>0</v>
      </c>
      <c r="K363" s="9">
        <v>0</v>
      </c>
      <c r="L363" s="9">
        <v>0</v>
      </c>
      <c r="M363" s="9">
        <v>0</v>
      </c>
      <c r="N363" s="9">
        <v>0</v>
      </c>
      <c r="O363" s="9">
        <v>0</v>
      </c>
      <c r="P363" s="9">
        <v>0</v>
      </c>
      <c r="Q363" s="9">
        <f>MAX(-20,MIN(10,$A363-VLOOKUP(YEAR($A363),'Festive dates'!$A$2:$J$5,8,FALSE)))</f>
        <v>-20</v>
      </c>
      <c r="R363" s="9">
        <f>IF(AND($A363&gt;VLOOKUP(YEAR($A363),'Festive dates'!$A$2:$J$5,2,FALSE),$A363&lt;VLOOKUP(YEAR($A363),'Festive dates'!$A$2:$J$5,3,FALSE)),1,0)</f>
        <v>0</v>
      </c>
      <c r="S363" s="9">
        <f>IF($A363=VLOOKUP(YEAR($A363),'Festive dates'!$A$2:$J$5,2,FALSE),1,0)</f>
        <v>0</v>
      </c>
      <c r="T363" s="9">
        <f>IF($A363=VLOOKUP(YEAR($A363),'Festive dates'!$A$2:$J$5,3,FALSE),1,0)</f>
        <v>0</v>
      </c>
      <c r="U363" s="9">
        <f>IF($A363=VLOOKUP(YEAR($A363),'Festive dates'!$A$2:$J$5,4,FALSE),1,0)</f>
        <v>0</v>
      </c>
      <c r="V363" s="9">
        <f>IF(AND($A363&gt;=VLOOKUP(YEAR($A363),'Festive dates'!$A$2:$J$5,9,FALSE),$A363&lt;=VLOOKUP(YEAR($A363),'Festive dates'!$A$2:$J$5,10,FALSE)),1,0)</f>
        <v>0</v>
      </c>
      <c r="W363" s="9">
        <f>IF($A363=VLOOKUP(YEAR($A363),'Festive dates'!$A$2:$J$5,7,FALSE),1,0)</f>
        <v>0</v>
      </c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>
      <c r="A364" s="8">
        <v>45379</v>
      </c>
      <c r="B364" s="9">
        <v>0</v>
      </c>
      <c r="C364" s="9">
        <v>0</v>
      </c>
      <c r="D364" s="9">
        <v>0</v>
      </c>
      <c r="E364" s="9">
        <v>0</v>
      </c>
      <c r="F364" s="9">
        <v>0</v>
      </c>
      <c r="G364" s="9">
        <v>0</v>
      </c>
      <c r="H364" s="9">
        <v>0</v>
      </c>
      <c r="I364" s="9">
        <v>0</v>
      </c>
      <c r="J364" s="9">
        <v>0</v>
      </c>
      <c r="K364" s="9">
        <v>0</v>
      </c>
      <c r="L364" s="9">
        <v>0</v>
      </c>
      <c r="M364" s="9">
        <v>0</v>
      </c>
      <c r="N364" s="9">
        <v>0</v>
      </c>
      <c r="O364" s="9">
        <v>0</v>
      </c>
      <c r="P364" s="9">
        <v>0</v>
      </c>
      <c r="Q364" s="9">
        <f>MAX(-20,MIN(10,$A364-VLOOKUP(YEAR($A364),'Festive dates'!$A$2:$J$5,8,FALSE)))</f>
        <v>-20</v>
      </c>
      <c r="R364" s="9">
        <f>IF(AND($A364&gt;VLOOKUP(YEAR($A364),'Festive dates'!$A$2:$J$5,2,FALSE),$A364&lt;VLOOKUP(YEAR($A364),'Festive dates'!$A$2:$J$5,3,FALSE)),1,0)</f>
        <v>0</v>
      </c>
      <c r="S364" s="9">
        <f>IF($A364=VLOOKUP(YEAR($A364),'Festive dates'!$A$2:$J$5,2,FALSE),1,0)</f>
        <v>0</v>
      </c>
      <c r="T364" s="9">
        <f>IF($A364=VLOOKUP(YEAR($A364),'Festive dates'!$A$2:$J$5,3,FALSE),1,0)</f>
        <v>0</v>
      </c>
      <c r="U364" s="9">
        <f>IF($A364=VLOOKUP(YEAR($A364),'Festive dates'!$A$2:$J$5,4,FALSE),1,0)</f>
        <v>0</v>
      </c>
      <c r="V364" s="9">
        <f>IF(AND($A364&gt;=VLOOKUP(YEAR($A364),'Festive dates'!$A$2:$J$5,9,FALSE),$A364&lt;=VLOOKUP(YEAR($A364),'Festive dates'!$A$2:$J$5,10,FALSE)),1,0)</f>
        <v>0</v>
      </c>
      <c r="W364" s="9">
        <f>IF($A364=VLOOKUP(YEAR($A364),'Festive dates'!$A$2:$J$5,7,FALSE),1,0)</f>
        <v>0</v>
      </c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>
      <c r="A365" s="8">
        <v>45380</v>
      </c>
      <c r="B365" s="9">
        <v>0</v>
      </c>
      <c r="C365" s="9">
        <v>0</v>
      </c>
      <c r="D365" s="9">
        <v>0</v>
      </c>
      <c r="E365" s="9">
        <v>0</v>
      </c>
      <c r="F365" s="9">
        <v>0</v>
      </c>
      <c r="G365" s="9">
        <v>0</v>
      </c>
      <c r="H365" s="9">
        <v>0</v>
      </c>
      <c r="I365" s="9">
        <v>0</v>
      </c>
      <c r="J365" s="9">
        <v>0</v>
      </c>
      <c r="K365" s="9">
        <v>0</v>
      </c>
      <c r="L365" s="9">
        <v>0</v>
      </c>
      <c r="M365" s="9">
        <v>0</v>
      </c>
      <c r="N365" s="9">
        <v>0</v>
      </c>
      <c r="O365" s="9">
        <v>0</v>
      </c>
      <c r="P365" s="9">
        <v>0</v>
      </c>
      <c r="Q365" s="9">
        <f>MAX(-20,MIN(10,$A365-VLOOKUP(YEAR($A365),'Festive dates'!$A$2:$J$5,8,FALSE)))</f>
        <v>-20</v>
      </c>
      <c r="R365" s="9">
        <f>IF(AND($A365&gt;VLOOKUP(YEAR($A365),'Festive dates'!$A$2:$J$5,2,FALSE),$A365&lt;VLOOKUP(YEAR($A365),'Festive dates'!$A$2:$J$5,3,FALSE)),1,0)</f>
        <v>0</v>
      </c>
      <c r="S365" s="9">
        <f>IF($A365=VLOOKUP(YEAR($A365),'Festive dates'!$A$2:$J$5,2,FALSE),1,0)</f>
        <v>0</v>
      </c>
      <c r="T365" s="9">
        <f>IF($A365=VLOOKUP(YEAR($A365),'Festive dates'!$A$2:$J$5,3,FALSE),1,0)</f>
        <v>0</v>
      </c>
      <c r="U365" s="9">
        <f>IF($A365=VLOOKUP(YEAR($A365),'Festive dates'!$A$2:$J$5,4,FALSE),1,0)</f>
        <v>0</v>
      </c>
      <c r="V365" s="9">
        <f>IF(AND($A365&gt;=VLOOKUP(YEAR($A365),'Festive dates'!$A$2:$J$5,9,FALSE),$A365&lt;=VLOOKUP(YEAR($A365),'Festive dates'!$A$2:$J$5,10,FALSE)),1,0)</f>
        <v>0</v>
      </c>
      <c r="W365" s="9">
        <f>IF($A365=VLOOKUP(YEAR($A365),'Festive dates'!$A$2:$J$5,7,FALSE),1,0)</f>
        <v>0</v>
      </c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>
      <c r="A366" s="8">
        <v>45381</v>
      </c>
      <c r="B366" s="9">
        <v>0</v>
      </c>
      <c r="C366" s="9">
        <v>0</v>
      </c>
      <c r="D366" s="9">
        <v>0</v>
      </c>
      <c r="E366" s="9">
        <v>0</v>
      </c>
      <c r="F366" s="9">
        <v>0</v>
      </c>
      <c r="G366" s="9">
        <v>0</v>
      </c>
      <c r="H366" s="9">
        <v>0</v>
      </c>
      <c r="I366" s="9">
        <v>0</v>
      </c>
      <c r="J366" s="9">
        <v>0</v>
      </c>
      <c r="K366" s="9">
        <v>0</v>
      </c>
      <c r="L366" s="9">
        <v>0</v>
      </c>
      <c r="M366" s="9">
        <v>0</v>
      </c>
      <c r="N366" s="9">
        <v>0</v>
      </c>
      <c r="O366" s="9">
        <v>0</v>
      </c>
      <c r="P366" s="9">
        <v>0</v>
      </c>
      <c r="Q366" s="9">
        <f>MAX(-20,MIN(10,$A366-VLOOKUP(YEAR($A366),'Festive dates'!$A$2:$J$5,8,FALSE)))</f>
        <v>-20</v>
      </c>
      <c r="R366" s="9">
        <f>IF(AND($A366&gt;VLOOKUP(YEAR($A366),'Festive dates'!$A$2:$J$5,2,FALSE),$A366&lt;VLOOKUP(YEAR($A366),'Festive dates'!$A$2:$J$5,3,FALSE)),1,0)</f>
        <v>0</v>
      </c>
      <c r="S366" s="9">
        <f>IF($A366=VLOOKUP(YEAR($A366),'Festive dates'!$A$2:$J$5,2,FALSE),1,0)</f>
        <v>0</v>
      </c>
      <c r="T366" s="9">
        <f>IF($A366=VLOOKUP(YEAR($A366),'Festive dates'!$A$2:$J$5,3,FALSE),1,0)</f>
        <v>0</v>
      </c>
      <c r="U366" s="9">
        <f>IF($A366=VLOOKUP(YEAR($A366),'Festive dates'!$A$2:$J$5,4,FALSE),1,0)</f>
        <v>0</v>
      </c>
      <c r="V366" s="9">
        <f>IF(AND($A366&gt;=VLOOKUP(YEAR($A366),'Festive dates'!$A$2:$J$5,9,FALSE),$A366&lt;=VLOOKUP(YEAR($A366),'Festive dates'!$A$2:$J$5,10,FALSE)),1,0)</f>
        <v>0</v>
      </c>
      <c r="W366" s="9">
        <f>IF($A366=VLOOKUP(YEAR($A366),'Festive dates'!$A$2:$J$5,7,FALSE),1,0)</f>
        <v>0</v>
      </c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>
      <c r="A367" s="8">
        <v>45382</v>
      </c>
      <c r="B367" s="9">
        <v>0</v>
      </c>
      <c r="C367" s="9">
        <v>0</v>
      </c>
      <c r="D367" s="9">
        <v>0</v>
      </c>
      <c r="E367" s="9">
        <v>0</v>
      </c>
      <c r="F367" s="9">
        <v>0</v>
      </c>
      <c r="G367" s="9">
        <v>0</v>
      </c>
      <c r="H367" s="9">
        <v>0</v>
      </c>
      <c r="I367" s="9">
        <v>0</v>
      </c>
      <c r="J367" s="9">
        <v>0</v>
      </c>
      <c r="K367" s="9">
        <v>0</v>
      </c>
      <c r="L367" s="9">
        <v>0</v>
      </c>
      <c r="M367" s="9">
        <v>0</v>
      </c>
      <c r="N367" s="9">
        <v>0</v>
      </c>
      <c r="O367" s="9">
        <v>0</v>
      </c>
      <c r="P367" s="9">
        <v>0</v>
      </c>
      <c r="Q367" s="9">
        <f>MAX(-20,MIN(10,$A367-VLOOKUP(YEAR($A367),'Festive dates'!$A$2:$J$5,8,FALSE)))</f>
        <v>-20</v>
      </c>
      <c r="R367" s="9">
        <f>IF(AND($A367&gt;VLOOKUP(YEAR($A367),'Festive dates'!$A$2:$J$5,2,FALSE),$A367&lt;VLOOKUP(YEAR($A367),'Festive dates'!$A$2:$J$5,3,FALSE)),1,0)</f>
        <v>0</v>
      </c>
      <c r="S367" s="9">
        <f>IF($A367=VLOOKUP(YEAR($A367),'Festive dates'!$A$2:$J$5,2,FALSE),1,0)</f>
        <v>0</v>
      </c>
      <c r="T367" s="9">
        <f>IF($A367=VLOOKUP(YEAR($A367),'Festive dates'!$A$2:$J$5,3,FALSE),1,0)</f>
        <v>0</v>
      </c>
      <c r="U367" s="9">
        <f>IF($A367=VLOOKUP(YEAR($A367),'Festive dates'!$A$2:$J$5,4,FALSE),1,0)</f>
        <v>0</v>
      </c>
      <c r="V367" s="9">
        <f>IF(AND($A367&gt;=VLOOKUP(YEAR($A367),'Festive dates'!$A$2:$J$5,9,FALSE),$A367&lt;=VLOOKUP(YEAR($A367),'Festive dates'!$A$2:$J$5,10,FALSE)),1,0)</f>
        <v>0</v>
      </c>
      <c r="W367" s="9">
        <f>IF($A367=VLOOKUP(YEAR($A367),'Festive dates'!$A$2:$J$5,7,FALSE),1,0)</f>
        <v>0</v>
      </c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>
      <c r="A368" s="8">
        <v>45383</v>
      </c>
      <c r="B368" s="9">
        <v>0</v>
      </c>
      <c r="C368" s="9">
        <v>0</v>
      </c>
      <c r="D368" s="9">
        <v>0</v>
      </c>
      <c r="E368" s="9">
        <v>0</v>
      </c>
      <c r="F368" s="9">
        <v>0</v>
      </c>
      <c r="G368" s="9">
        <v>0</v>
      </c>
      <c r="H368" s="9">
        <v>0</v>
      </c>
      <c r="I368" s="9">
        <v>0</v>
      </c>
      <c r="J368" s="9">
        <v>0</v>
      </c>
      <c r="K368" s="9">
        <v>0</v>
      </c>
      <c r="L368" s="9">
        <v>0</v>
      </c>
      <c r="M368" s="9">
        <v>0</v>
      </c>
      <c r="N368" s="9">
        <v>0</v>
      </c>
      <c r="O368" s="9">
        <v>0</v>
      </c>
      <c r="P368" s="9">
        <v>0</v>
      </c>
      <c r="Q368" s="9">
        <f>MAX(-20,MIN(10,$A368-VLOOKUP(YEAR($A368),'Festive dates'!$A$2:$J$5,8,FALSE)))</f>
        <v>-20</v>
      </c>
      <c r="R368" s="9">
        <f>IF(AND($A368&gt;VLOOKUP(YEAR($A368),'Festive dates'!$A$2:$J$5,2,FALSE),$A368&lt;VLOOKUP(YEAR($A368),'Festive dates'!$A$2:$J$5,3,FALSE)),1,0)</f>
        <v>0</v>
      </c>
      <c r="S368" s="9">
        <f>IF($A368=VLOOKUP(YEAR($A368),'Festive dates'!$A$2:$J$5,2,FALSE),1,0)</f>
        <v>0</v>
      </c>
      <c r="T368" s="9">
        <f>IF($A368=VLOOKUP(YEAR($A368),'Festive dates'!$A$2:$J$5,3,FALSE),1,0)</f>
        <v>0</v>
      </c>
      <c r="U368" s="9">
        <f>IF($A368=VLOOKUP(YEAR($A368),'Festive dates'!$A$2:$J$5,4,FALSE),1,0)</f>
        <v>0</v>
      </c>
      <c r="V368" s="9">
        <f>IF(AND($A368&gt;=VLOOKUP(YEAR($A368),'Festive dates'!$A$2:$J$5,9,FALSE),$A368&lt;=VLOOKUP(YEAR($A368),'Festive dates'!$A$2:$J$5,10,FALSE)),1,0)</f>
        <v>0</v>
      </c>
      <c r="W368" s="9">
        <f>IF($A368=VLOOKUP(YEAR($A368),'Festive dates'!$A$2:$J$5,7,FALSE),1,0)</f>
        <v>0</v>
      </c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>
      <c r="A369" s="8">
        <v>45384</v>
      </c>
      <c r="B369" s="9">
        <v>0</v>
      </c>
      <c r="C369" s="9">
        <v>0</v>
      </c>
      <c r="D369" s="9">
        <v>0</v>
      </c>
      <c r="E369" s="9">
        <v>0</v>
      </c>
      <c r="F369" s="9">
        <v>0</v>
      </c>
      <c r="G369" s="9">
        <v>0</v>
      </c>
      <c r="H369" s="9">
        <v>0</v>
      </c>
      <c r="I369" s="9">
        <v>0</v>
      </c>
      <c r="J369" s="9">
        <v>0</v>
      </c>
      <c r="K369" s="9">
        <v>0</v>
      </c>
      <c r="L369" s="9">
        <v>0</v>
      </c>
      <c r="M369" s="9">
        <v>0</v>
      </c>
      <c r="N369" s="9">
        <v>0</v>
      </c>
      <c r="O369" s="9">
        <v>0</v>
      </c>
      <c r="P369" s="9">
        <v>0</v>
      </c>
      <c r="Q369" s="9">
        <f>MAX(-20,MIN(10,$A369-VLOOKUP(YEAR($A369),'Festive dates'!$A$2:$J$5,8,FALSE)))</f>
        <v>-20</v>
      </c>
      <c r="R369" s="9">
        <f>IF(AND($A369&gt;VLOOKUP(YEAR($A369),'Festive dates'!$A$2:$J$5,2,FALSE),$A369&lt;VLOOKUP(YEAR($A369),'Festive dates'!$A$2:$J$5,3,FALSE)),1,0)</f>
        <v>0</v>
      </c>
      <c r="S369" s="9">
        <f>IF($A369=VLOOKUP(YEAR($A369),'Festive dates'!$A$2:$J$5,2,FALSE),1,0)</f>
        <v>0</v>
      </c>
      <c r="T369" s="9">
        <f>IF($A369=VLOOKUP(YEAR($A369),'Festive dates'!$A$2:$J$5,3,FALSE),1,0)</f>
        <v>0</v>
      </c>
      <c r="U369" s="9">
        <f>IF($A369=VLOOKUP(YEAR($A369),'Festive dates'!$A$2:$J$5,4,FALSE),1,0)</f>
        <v>0</v>
      </c>
      <c r="V369" s="9">
        <f>IF(AND($A369&gt;=VLOOKUP(YEAR($A369),'Festive dates'!$A$2:$J$5,9,FALSE),$A369&lt;=VLOOKUP(YEAR($A369),'Festive dates'!$A$2:$J$5,10,FALSE)),1,0)</f>
        <v>0</v>
      </c>
      <c r="W369" s="9">
        <f>IF($A369=VLOOKUP(YEAR($A369),'Festive dates'!$A$2:$J$5,7,FALSE),1,0)</f>
        <v>0</v>
      </c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>
      <c r="A370" s="8">
        <v>45385</v>
      </c>
      <c r="B370" s="9">
        <v>0</v>
      </c>
      <c r="C370" s="9">
        <v>0</v>
      </c>
      <c r="D370" s="9">
        <v>0</v>
      </c>
      <c r="E370" s="9">
        <v>0</v>
      </c>
      <c r="F370" s="9">
        <v>0</v>
      </c>
      <c r="G370" s="9">
        <v>0</v>
      </c>
      <c r="H370" s="9">
        <v>0</v>
      </c>
      <c r="I370" s="9">
        <v>0</v>
      </c>
      <c r="J370" s="9">
        <v>0</v>
      </c>
      <c r="K370" s="9">
        <v>0</v>
      </c>
      <c r="L370" s="9">
        <v>0</v>
      </c>
      <c r="M370" s="9">
        <v>0</v>
      </c>
      <c r="N370" s="9">
        <v>0</v>
      </c>
      <c r="O370" s="9">
        <v>0</v>
      </c>
      <c r="P370" s="9">
        <v>0</v>
      </c>
      <c r="Q370" s="9">
        <f>MAX(-20,MIN(10,$A370-VLOOKUP(YEAR($A370),'Festive dates'!$A$2:$J$5,8,FALSE)))</f>
        <v>-20</v>
      </c>
      <c r="R370" s="9">
        <f>IF(AND($A370&gt;VLOOKUP(YEAR($A370),'Festive dates'!$A$2:$J$5,2,FALSE),$A370&lt;VLOOKUP(YEAR($A370),'Festive dates'!$A$2:$J$5,3,FALSE)),1,0)</f>
        <v>0</v>
      </c>
      <c r="S370" s="9">
        <f>IF($A370=VLOOKUP(YEAR($A370),'Festive dates'!$A$2:$J$5,2,FALSE),1,0)</f>
        <v>0</v>
      </c>
      <c r="T370" s="9">
        <f>IF($A370=VLOOKUP(YEAR($A370),'Festive dates'!$A$2:$J$5,3,FALSE),1,0)</f>
        <v>0</v>
      </c>
      <c r="U370" s="9">
        <f>IF($A370=VLOOKUP(YEAR($A370),'Festive dates'!$A$2:$J$5,4,FALSE),1,0)</f>
        <v>0</v>
      </c>
      <c r="V370" s="9">
        <f>IF(AND($A370&gt;=VLOOKUP(YEAR($A370),'Festive dates'!$A$2:$J$5,9,FALSE),$A370&lt;=VLOOKUP(YEAR($A370),'Festive dates'!$A$2:$J$5,10,FALSE)),1,0)</f>
        <v>0</v>
      </c>
      <c r="W370" s="9">
        <f>IF($A370=VLOOKUP(YEAR($A370),'Festive dates'!$A$2:$J$5,7,FALSE),1,0)</f>
        <v>0</v>
      </c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>
      <c r="A371" s="8">
        <v>45386</v>
      </c>
      <c r="B371" s="9">
        <v>0</v>
      </c>
      <c r="C371" s="9">
        <v>0</v>
      </c>
      <c r="D371" s="9">
        <v>0</v>
      </c>
      <c r="E371" s="9">
        <v>0</v>
      </c>
      <c r="F371" s="9">
        <v>0</v>
      </c>
      <c r="G371" s="9">
        <v>0</v>
      </c>
      <c r="H371" s="9">
        <v>0</v>
      </c>
      <c r="I371" s="9">
        <v>0</v>
      </c>
      <c r="J371" s="9">
        <v>0</v>
      </c>
      <c r="K371" s="9">
        <v>0</v>
      </c>
      <c r="L371" s="9">
        <v>0</v>
      </c>
      <c r="M371" s="9">
        <v>0</v>
      </c>
      <c r="N371" s="9">
        <v>0</v>
      </c>
      <c r="O371" s="9">
        <v>0</v>
      </c>
      <c r="P371" s="9">
        <v>0</v>
      </c>
      <c r="Q371" s="9">
        <f>MAX(-20,MIN(10,$A371-VLOOKUP(YEAR($A371),'Festive dates'!$A$2:$J$5,8,FALSE)))</f>
        <v>-20</v>
      </c>
      <c r="R371" s="9">
        <f>IF(AND($A371&gt;VLOOKUP(YEAR($A371),'Festive dates'!$A$2:$J$5,2,FALSE),$A371&lt;VLOOKUP(YEAR($A371),'Festive dates'!$A$2:$J$5,3,FALSE)),1,0)</f>
        <v>0</v>
      </c>
      <c r="S371" s="9">
        <f>IF($A371=VLOOKUP(YEAR($A371),'Festive dates'!$A$2:$J$5,2,FALSE),1,0)</f>
        <v>0</v>
      </c>
      <c r="T371" s="9">
        <f>IF($A371=VLOOKUP(YEAR($A371),'Festive dates'!$A$2:$J$5,3,FALSE),1,0)</f>
        <v>0</v>
      </c>
      <c r="U371" s="9">
        <f>IF($A371=VLOOKUP(YEAR($A371),'Festive dates'!$A$2:$J$5,4,FALSE),1,0)</f>
        <v>0</v>
      </c>
      <c r="V371" s="9">
        <f>IF(AND($A371&gt;=VLOOKUP(YEAR($A371),'Festive dates'!$A$2:$J$5,9,FALSE),$A371&lt;=VLOOKUP(YEAR($A371),'Festive dates'!$A$2:$J$5,10,FALSE)),1,0)</f>
        <v>0</v>
      </c>
      <c r="W371" s="9">
        <f>IF($A371=VLOOKUP(YEAR($A371),'Festive dates'!$A$2:$J$5,7,FALSE),1,0)</f>
        <v>0</v>
      </c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>
      <c r="A372" s="8">
        <v>45387</v>
      </c>
      <c r="B372" s="9">
        <v>0</v>
      </c>
      <c r="C372" s="9">
        <v>0</v>
      </c>
      <c r="D372" s="9">
        <v>0</v>
      </c>
      <c r="E372" s="9">
        <v>0</v>
      </c>
      <c r="F372" s="9">
        <v>0</v>
      </c>
      <c r="G372" s="9">
        <v>0</v>
      </c>
      <c r="H372" s="9">
        <v>0</v>
      </c>
      <c r="I372" s="9">
        <v>0</v>
      </c>
      <c r="J372" s="9">
        <v>0</v>
      </c>
      <c r="K372" s="9">
        <v>0</v>
      </c>
      <c r="L372" s="9">
        <v>0</v>
      </c>
      <c r="M372" s="9">
        <v>0</v>
      </c>
      <c r="N372" s="9">
        <v>0</v>
      </c>
      <c r="O372" s="9">
        <v>0</v>
      </c>
      <c r="P372" s="9">
        <v>0</v>
      </c>
      <c r="Q372" s="9">
        <f>MAX(-20,MIN(10,$A372-VLOOKUP(YEAR($A372),'Festive dates'!$A$2:$J$5,8,FALSE)))</f>
        <v>-20</v>
      </c>
      <c r="R372" s="9">
        <f>IF(AND($A372&gt;VLOOKUP(YEAR($A372),'Festive dates'!$A$2:$J$5,2,FALSE),$A372&lt;VLOOKUP(YEAR($A372),'Festive dates'!$A$2:$J$5,3,FALSE)),1,0)</f>
        <v>0</v>
      </c>
      <c r="S372" s="9">
        <f>IF($A372=VLOOKUP(YEAR($A372),'Festive dates'!$A$2:$J$5,2,FALSE),1,0)</f>
        <v>0</v>
      </c>
      <c r="T372" s="9">
        <f>IF($A372=VLOOKUP(YEAR($A372),'Festive dates'!$A$2:$J$5,3,FALSE),1,0)</f>
        <v>0</v>
      </c>
      <c r="U372" s="9">
        <f>IF($A372=VLOOKUP(YEAR($A372),'Festive dates'!$A$2:$J$5,4,FALSE),1,0)</f>
        <v>0</v>
      </c>
      <c r="V372" s="9">
        <f>IF(AND($A372&gt;=VLOOKUP(YEAR($A372),'Festive dates'!$A$2:$J$5,9,FALSE),$A372&lt;=VLOOKUP(YEAR($A372),'Festive dates'!$A$2:$J$5,10,FALSE)),1,0)</f>
        <v>0</v>
      </c>
      <c r="W372" s="9">
        <f>IF($A372=VLOOKUP(YEAR($A372),'Festive dates'!$A$2:$J$5,7,FALSE),1,0)</f>
        <v>0</v>
      </c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>
      <c r="A373" s="8">
        <v>45388</v>
      </c>
      <c r="B373" s="9">
        <v>0</v>
      </c>
      <c r="C373" s="9">
        <v>0</v>
      </c>
      <c r="D373" s="9">
        <v>0</v>
      </c>
      <c r="E373" s="9">
        <v>0</v>
      </c>
      <c r="F373" s="9">
        <v>0</v>
      </c>
      <c r="G373" s="9">
        <v>0</v>
      </c>
      <c r="H373" s="9">
        <v>0</v>
      </c>
      <c r="I373" s="9">
        <v>0</v>
      </c>
      <c r="J373" s="9">
        <v>0</v>
      </c>
      <c r="K373" s="9">
        <v>0</v>
      </c>
      <c r="L373" s="9">
        <v>0</v>
      </c>
      <c r="M373" s="9">
        <v>0</v>
      </c>
      <c r="N373" s="9">
        <v>0</v>
      </c>
      <c r="O373" s="9">
        <v>0</v>
      </c>
      <c r="P373" s="9">
        <v>0</v>
      </c>
      <c r="Q373" s="9">
        <f>MAX(-20,MIN(10,$A373-VLOOKUP(YEAR($A373),'Festive dates'!$A$2:$J$5,8,FALSE)))</f>
        <v>-20</v>
      </c>
      <c r="R373" s="9">
        <f>IF(AND($A373&gt;VLOOKUP(YEAR($A373),'Festive dates'!$A$2:$J$5,2,FALSE),$A373&lt;VLOOKUP(YEAR($A373),'Festive dates'!$A$2:$J$5,3,FALSE)),1,0)</f>
        <v>0</v>
      </c>
      <c r="S373" s="9">
        <f>IF($A373=VLOOKUP(YEAR($A373),'Festive dates'!$A$2:$J$5,2,FALSE),1,0)</f>
        <v>0</v>
      </c>
      <c r="T373" s="9">
        <f>IF($A373=VLOOKUP(YEAR($A373),'Festive dates'!$A$2:$J$5,3,FALSE),1,0)</f>
        <v>0</v>
      </c>
      <c r="U373" s="9">
        <f>IF($A373=VLOOKUP(YEAR($A373),'Festive dates'!$A$2:$J$5,4,FALSE),1,0)</f>
        <v>0</v>
      </c>
      <c r="V373" s="9">
        <f>IF(AND($A373&gt;=VLOOKUP(YEAR($A373),'Festive dates'!$A$2:$J$5,9,FALSE),$A373&lt;=VLOOKUP(YEAR($A373),'Festive dates'!$A$2:$J$5,10,FALSE)),1,0)</f>
        <v>0</v>
      </c>
      <c r="W373" s="9">
        <f>IF($A373=VLOOKUP(YEAR($A373),'Festive dates'!$A$2:$J$5,7,FALSE),1,0)</f>
        <v>0</v>
      </c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>
      <c r="A374" s="8">
        <v>45389</v>
      </c>
      <c r="B374" s="9">
        <v>0</v>
      </c>
      <c r="C374" s="9">
        <v>0</v>
      </c>
      <c r="D374" s="9">
        <v>0</v>
      </c>
      <c r="E374" s="9">
        <v>0</v>
      </c>
      <c r="F374" s="9">
        <v>0</v>
      </c>
      <c r="G374" s="9">
        <v>0</v>
      </c>
      <c r="H374" s="9">
        <v>0</v>
      </c>
      <c r="I374" s="9">
        <v>0</v>
      </c>
      <c r="J374" s="9">
        <v>0</v>
      </c>
      <c r="K374" s="9">
        <v>0</v>
      </c>
      <c r="L374" s="9">
        <v>0</v>
      </c>
      <c r="M374" s="9">
        <v>0</v>
      </c>
      <c r="N374" s="9">
        <v>0</v>
      </c>
      <c r="O374" s="9">
        <v>0</v>
      </c>
      <c r="P374" s="9">
        <v>0</v>
      </c>
      <c r="Q374" s="9">
        <f>MAX(-20,MIN(10,$A374-VLOOKUP(YEAR($A374),'Festive dates'!$A$2:$J$5,8,FALSE)))</f>
        <v>-20</v>
      </c>
      <c r="R374" s="9">
        <f>IF(AND($A374&gt;VLOOKUP(YEAR($A374),'Festive dates'!$A$2:$J$5,2,FALSE),$A374&lt;VLOOKUP(YEAR($A374),'Festive dates'!$A$2:$J$5,3,FALSE)),1,0)</f>
        <v>0</v>
      </c>
      <c r="S374" s="9">
        <f>IF($A374=VLOOKUP(YEAR($A374),'Festive dates'!$A$2:$J$5,2,FALSE),1,0)</f>
        <v>0</v>
      </c>
      <c r="T374" s="9">
        <f>IF($A374=VLOOKUP(YEAR($A374),'Festive dates'!$A$2:$J$5,3,FALSE),1,0)</f>
        <v>0</v>
      </c>
      <c r="U374" s="9">
        <f>IF($A374=VLOOKUP(YEAR($A374),'Festive dates'!$A$2:$J$5,4,FALSE),1,0)</f>
        <v>0</v>
      </c>
      <c r="V374" s="9">
        <f>IF(AND($A374&gt;=VLOOKUP(YEAR($A374),'Festive dates'!$A$2:$J$5,9,FALSE),$A374&lt;=VLOOKUP(YEAR($A374),'Festive dates'!$A$2:$J$5,10,FALSE)),1,0)</f>
        <v>0</v>
      </c>
      <c r="W374" s="9">
        <f>IF($A374=VLOOKUP(YEAR($A374),'Festive dates'!$A$2:$J$5,7,FALSE),1,0)</f>
        <v>0</v>
      </c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>
      <c r="A375" s="8">
        <v>45390</v>
      </c>
      <c r="B375" s="9">
        <v>0</v>
      </c>
      <c r="C375" s="9">
        <v>0</v>
      </c>
      <c r="D375" s="9">
        <v>0</v>
      </c>
      <c r="E375" s="9">
        <v>0</v>
      </c>
      <c r="F375" s="9">
        <v>0</v>
      </c>
      <c r="G375" s="9">
        <v>0</v>
      </c>
      <c r="H375" s="9">
        <v>0</v>
      </c>
      <c r="I375" s="9">
        <v>0</v>
      </c>
      <c r="J375" s="9">
        <v>0</v>
      </c>
      <c r="K375" s="9">
        <v>0</v>
      </c>
      <c r="L375" s="9">
        <v>0</v>
      </c>
      <c r="M375" s="9">
        <v>0</v>
      </c>
      <c r="N375" s="9">
        <v>0</v>
      </c>
      <c r="O375" s="9">
        <v>0</v>
      </c>
      <c r="P375" s="9">
        <v>0</v>
      </c>
      <c r="Q375" s="9">
        <f>MAX(-20,MIN(10,$A375-VLOOKUP(YEAR($A375),'Festive dates'!$A$2:$J$5,8,FALSE)))</f>
        <v>-20</v>
      </c>
      <c r="R375" s="9">
        <f>IF(AND($A375&gt;VLOOKUP(YEAR($A375),'Festive dates'!$A$2:$J$5,2,FALSE),$A375&lt;VLOOKUP(YEAR($A375),'Festive dates'!$A$2:$J$5,3,FALSE)),1,0)</f>
        <v>0</v>
      </c>
      <c r="S375" s="9">
        <f>IF($A375=VLOOKUP(YEAR($A375),'Festive dates'!$A$2:$J$5,2,FALSE),1,0)</f>
        <v>0</v>
      </c>
      <c r="T375" s="9">
        <f>IF($A375=VLOOKUP(YEAR($A375),'Festive dates'!$A$2:$J$5,3,FALSE),1,0)</f>
        <v>0</v>
      </c>
      <c r="U375" s="9">
        <f>IF($A375=VLOOKUP(YEAR($A375),'Festive dates'!$A$2:$J$5,4,FALSE),1,0)</f>
        <v>0</v>
      </c>
      <c r="V375" s="9">
        <f>IF(AND($A375&gt;=VLOOKUP(YEAR($A375),'Festive dates'!$A$2:$J$5,9,FALSE),$A375&lt;=VLOOKUP(YEAR($A375),'Festive dates'!$A$2:$J$5,10,FALSE)),1,0)</f>
        <v>0</v>
      </c>
      <c r="W375" s="9">
        <f>IF($A375=VLOOKUP(YEAR($A375),'Festive dates'!$A$2:$J$5,7,FALSE),1,0)</f>
        <v>0</v>
      </c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>
      <c r="A376" s="8">
        <v>45391</v>
      </c>
      <c r="B376" s="9">
        <v>0</v>
      </c>
      <c r="C376" s="9">
        <v>0</v>
      </c>
      <c r="D376" s="9">
        <v>0</v>
      </c>
      <c r="E376" s="9">
        <v>0</v>
      </c>
      <c r="F376" s="9">
        <v>0</v>
      </c>
      <c r="G376" s="9">
        <v>0</v>
      </c>
      <c r="H376" s="9">
        <v>0</v>
      </c>
      <c r="I376" s="9">
        <v>0</v>
      </c>
      <c r="J376" s="9">
        <v>0</v>
      </c>
      <c r="K376" s="9">
        <v>0</v>
      </c>
      <c r="L376" s="9">
        <v>0</v>
      </c>
      <c r="M376" s="9">
        <v>0</v>
      </c>
      <c r="N376" s="9">
        <v>0</v>
      </c>
      <c r="O376" s="9">
        <v>0</v>
      </c>
      <c r="P376" s="9">
        <v>0</v>
      </c>
      <c r="Q376" s="9">
        <f>MAX(-20,MIN(10,$A376-VLOOKUP(YEAR($A376),'Festive dates'!$A$2:$J$5,8,FALSE)))</f>
        <v>-20</v>
      </c>
      <c r="R376" s="9">
        <f>IF(AND($A376&gt;VLOOKUP(YEAR($A376),'Festive dates'!$A$2:$J$5,2,FALSE),$A376&lt;VLOOKUP(YEAR($A376),'Festive dates'!$A$2:$J$5,3,FALSE)),1,0)</f>
        <v>0</v>
      </c>
      <c r="S376" s="9">
        <f>IF($A376=VLOOKUP(YEAR($A376),'Festive dates'!$A$2:$J$5,2,FALSE),1,0)</f>
        <v>0</v>
      </c>
      <c r="T376" s="9">
        <f>IF($A376=VLOOKUP(YEAR($A376),'Festive dates'!$A$2:$J$5,3,FALSE),1,0)</f>
        <v>0</v>
      </c>
      <c r="U376" s="9">
        <f>IF($A376=VLOOKUP(YEAR($A376),'Festive dates'!$A$2:$J$5,4,FALSE),1,0)</f>
        <v>0</v>
      </c>
      <c r="V376" s="9">
        <f>IF(AND($A376&gt;=VLOOKUP(YEAR($A376),'Festive dates'!$A$2:$J$5,9,FALSE),$A376&lt;=VLOOKUP(YEAR($A376),'Festive dates'!$A$2:$J$5,10,FALSE)),1,0)</f>
        <v>0</v>
      </c>
      <c r="W376" s="9">
        <f>IF($A376=VLOOKUP(YEAR($A376),'Festive dates'!$A$2:$J$5,7,FALSE),1,0)</f>
        <v>0</v>
      </c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>
      <c r="A377" s="8">
        <v>45392</v>
      </c>
      <c r="B377" s="9">
        <v>0</v>
      </c>
      <c r="C377" s="9">
        <v>0</v>
      </c>
      <c r="D377" s="9">
        <v>0</v>
      </c>
      <c r="E377" s="9">
        <v>0</v>
      </c>
      <c r="F377" s="9">
        <v>0</v>
      </c>
      <c r="G377" s="9">
        <v>0</v>
      </c>
      <c r="H377" s="9">
        <v>0</v>
      </c>
      <c r="I377" s="9">
        <v>0</v>
      </c>
      <c r="J377" s="9">
        <v>0</v>
      </c>
      <c r="K377" s="9">
        <v>0</v>
      </c>
      <c r="L377" s="9">
        <v>0</v>
      </c>
      <c r="M377" s="9">
        <v>0</v>
      </c>
      <c r="N377" s="9">
        <v>0</v>
      </c>
      <c r="O377" s="9">
        <v>0</v>
      </c>
      <c r="P377" s="9">
        <v>0</v>
      </c>
      <c r="Q377" s="9">
        <f>MAX(-20,MIN(10,$A377-VLOOKUP(YEAR($A377),'Festive dates'!$A$2:$J$5,8,FALSE)))</f>
        <v>-20</v>
      </c>
      <c r="R377" s="9">
        <f>IF(AND($A377&gt;VLOOKUP(YEAR($A377),'Festive dates'!$A$2:$J$5,2,FALSE),$A377&lt;VLOOKUP(YEAR($A377),'Festive dates'!$A$2:$J$5,3,FALSE)),1,0)</f>
        <v>0</v>
      </c>
      <c r="S377" s="9">
        <f>IF($A377=VLOOKUP(YEAR($A377),'Festive dates'!$A$2:$J$5,2,FALSE),1,0)</f>
        <v>0</v>
      </c>
      <c r="T377" s="9">
        <f>IF($A377=VLOOKUP(YEAR($A377),'Festive dates'!$A$2:$J$5,3,FALSE),1,0)</f>
        <v>0</v>
      </c>
      <c r="U377" s="9">
        <f>IF($A377=VLOOKUP(YEAR($A377),'Festive dates'!$A$2:$J$5,4,FALSE),1,0)</f>
        <v>0</v>
      </c>
      <c r="V377" s="9">
        <f>IF(AND($A377&gt;=VLOOKUP(YEAR($A377),'Festive dates'!$A$2:$J$5,9,FALSE),$A377&lt;=VLOOKUP(YEAR($A377),'Festive dates'!$A$2:$J$5,10,FALSE)),1,0)</f>
        <v>0</v>
      </c>
      <c r="W377" s="9">
        <f>IF($A377=VLOOKUP(YEAR($A377),'Festive dates'!$A$2:$J$5,7,FALSE),1,0)</f>
        <v>0</v>
      </c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>
      <c r="A378" s="8">
        <v>45393</v>
      </c>
      <c r="B378" s="9">
        <v>0</v>
      </c>
      <c r="C378" s="9">
        <v>0</v>
      </c>
      <c r="D378" s="9">
        <v>0</v>
      </c>
      <c r="E378" s="9">
        <v>0</v>
      </c>
      <c r="F378" s="9">
        <v>0</v>
      </c>
      <c r="G378" s="9">
        <v>0</v>
      </c>
      <c r="H378" s="9">
        <v>0</v>
      </c>
      <c r="I378" s="9">
        <v>0</v>
      </c>
      <c r="J378" s="9">
        <v>0</v>
      </c>
      <c r="K378" s="9">
        <v>0</v>
      </c>
      <c r="L378" s="9">
        <v>0</v>
      </c>
      <c r="M378" s="9">
        <v>0</v>
      </c>
      <c r="N378" s="9">
        <v>0</v>
      </c>
      <c r="O378" s="9">
        <v>0</v>
      </c>
      <c r="P378" s="9">
        <v>1</v>
      </c>
      <c r="Q378" s="9">
        <f>MAX(-20,MIN(10,$A378-VLOOKUP(YEAR($A378),'Festive dates'!$A$2:$J$5,8,FALSE)))</f>
        <v>-20</v>
      </c>
      <c r="R378" s="9">
        <f>IF(AND($A378&gt;VLOOKUP(YEAR($A378),'Festive dates'!$A$2:$J$5,2,FALSE),$A378&lt;VLOOKUP(YEAR($A378),'Festive dates'!$A$2:$J$5,3,FALSE)),1,0)</f>
        <v>0</v>
      </c>
      <c r="S378" s="9">
        <f>IF($A378=VLOOKUP(YEAR($A378),'Festive dates'!$A$2:$J$5,2,FALSE),1,0)</f>
        <v>0</v>
      </c>
      <c r="T378" s="9">
        <f>IF($A378=VLOOKUP(YEAR($A378),'Festive dates'!$A$2:$J$5,3,FALSE),1,0)</f>
        <v>0</v>
      </c>
      <c r="U378" s="9">
        <f>IF($A378=VLOOKUP(YEAR($A378),'Festive dates'!$A$2:$J$5,4,FALSE),1,0)</f>
        <v>0</v>
      </c>
      <c r="V378" s="9">
        <f>IF(AND($A378&gt;=VLOOKUP(YEAR($A378),'Festive dates'!$A$2:$J$5,9,FALSE),$A378&lt;=VLOOKUP(YEAR($A378),'Festive dates'!$A$2:$J$5,10,FALSE)),1,0)</f>
        <v>0</v>
      </c>
      <c r="W378" s="9">
        <f>IF($A378=VLOOKUP(YEAR($A378),'Festive dates'!$A$2:$J$5,7,FALSE),1,0)</f>
        <v>0</v>
      </c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>
      <c r="A379" s="8">
        <v>45394</v>
      </c>
      <c r="B379" s="9">
        <v>0</v>
      </c>
      <c r="C379" s="9">
        <v>0</v>
      </c>
      <c r="D379" s="9">
        <v>0</v>
      </c>
      <c r="E379" s="9">
        <v>0</v>
      </c>
      <c r="F379" s="9">
        <v>0</v>
      </c>
      <c r="G379" s="9">
        <v>0</v>
      </c>
      <c r="H379" s="9">
        <v>0</v>
      </c>
      <c r="I379" s="9">
        <v>0</v>
      </c>
      <c r="J379" s="9">
        <v>0</v>
      </c>
      <c r="K379" s="9">
        <v>0</v>
      </c>
      <c r="L379" s="9">
        <v>0</v>
      </c>
      <c r="M379" s="9">
        <v>0</v>
      </c>
      <c r="N379" s="9">
        <v>0</v>
      </c>
      <c r="O379" s="9">
        <v>0</v>
      </c>
      <c r="P379" s="9">
        <v>1</v>
      </c>
      <c r="Q379" s="9">
        <f>MAX(-20,MIN(10,$A379-VLOOKUP(YEAR($A379),'Festive dates'!$A$2:$J$5,8,FALSE)))</f>
        <v>-20</v>
      </c>
      <c r="R379" s="9">
        <f>IF(AND($A379&gt;VLOOKUP(YEAR($A379),'Festive dates'!$A$2:$J$5,2,FALSE),$A379&lt;VLOOKUP(YEAR($A379),'Festive dates'!$A$2:$J$5,3,FALSE)),1,0)</f>
        <v>0</v>
      </c>
      <c r="S379" s="9">
        <f>IF($A379=VLOOKUP(YEAR($A379),'Festive dates'!$A$2:$J$5,2,FALSE),1,0)</f>
        <v>0</v>
      </c>
      <c r="T379" s="9">
        <f>IF($A379=VLOOKUP(YEAR($A379),'Festive dates'!$A$2:$J$5,3,FALSE),1,0)</f>
        <v>0</v>
      </c>
      <c r="U379" s="9">
        <f>IF($A379=VLOOKUP(YEAR($A379),'Festive dates'!$A$2:$J$5,4,FALSE),1,0)</f>
        <v>0</v>
      </c>
      <c r="V379" s="9">
        <f>IF(AND($A379&gt;=VLOOKUP(YEAR($A379),'Festive dates'!$A$2:$J$5,9,FALSE),$A379&lt;=VLOOKUP(YEAR($A379),'Festive dates'!$A$2:$J$5,10,FALSE)),1,0)</f>
        <v>0</v>
      </c>
      <c r="W379" s="9">
        <f>IF($A379=VLOOKUP(YEAR($A379),'Festive dates'!$A$2:$J$5,7,FALSE),1,0)</f>
        <v>0</v>
      </c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>
      <c r="A380" s="8">
        <v>45395</v>
      </c>
      <c r="B380" s="9">
        <v>0</v>
      </c>
      <c r="C380" s="9">
        <v>0</v>
      </c>
      <c r="D380" s="9">
        <v>0</v>
      </c>
      <c r="E380" s="9">
        <v>0</v>
      </c>
      <c r="F380" s="9">
        <v>0</v>
      </c>
      <c r="G380" s="9">
        <v>0</v>
      </c>
      <c r="H380" s="9">
        <v>0</v>
      </c>
      <c r="I380" s="9">
        <v>0</v>
      </c>
      <c r="J380" s="9">
        <v>0</v>
      </c>
      <c r="K380" s="9">
        <v>0</v>
      </c>
      <c r="L380" s="9">
        <v>0</v>
      </c>
      <c r="M380" s="9">
        <v>0</v>
      </c>
      <c r="N380" s="9">
        <v>0</v>
      </c>
      <c r="O380" s="9">
        <v>0</v>
      </c>
      <c r="P380" s="9">
        <v>1</v>
      </c>
      <c r="Q380" s="9">
        <f>MAX(-20,MIN(10,$A380-VLOOKUP(YEAR($A380),'Festive dates'!$A$2:$J$5,8,FALSE)))</f>
        <v>-20</v>
      </c>
      <c r="R380" s="9">
        <f>IF(AND($A380&gt;VLOOKUP(YEAR($A380),'Festive dates'!$A$2:$J$5,2,FALSE),$A380&lt;VLOOKUP(YEAR($A380),'Festive dates'!$A$2:$J$5,3,FALSE)),1,0)</f>
        <v>0</v>
      </c>
      <c r="S380" s="9">
        <f>IF($A380=VLOOKUP(YEAR($A380),'Festive dates'!$A$2:$J$5,2,FALSE),1,0)</f>
        <v>0</v>
      </c>
      <c r="T380" s="9">
        <f>IF($A380=VLOOKUP(YEAR($A380),'Festive dates'!$A$2:$J$5,3,FALSE),1,0)</f>
        <v>0</v>
      </c>
      <c r="U380" s="9">
        <f>IF($A380=VLOOKUP(YEAR($A380),'Festive dates'!$A$2:$J$5,4,FALSE),1,0)</f>
        <v>0</v>
      </c>
      <c r="V380" s="9">
        <f>IF(AND($A380&gt;=VLOOKUP(YEAR($A380),'Festive dates'!$A$2:$J$5,9,FALSE),$A380&lt;=VLOOKUP(YEAR($A380),'Festive dates'!$A$2:$J$5,10,FALSE)),1,0)</f>
        <v>0</v>
      </c>
      <c r="W380" s="9">
        <f>IF($A380=VLOOKUP(YEAR($A380),'Festive dates'!$A$2:$J$5,7,FALSE),1,0)</f>
        <v>0</v>
      </c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>
      <c r="A381" s="8">
        <v>45396</v>
      </c>
      <c r="B381" s="9">
        <v>0</v>
      </c>
      <c r="C381" s="9">
        <v>0</v>
      </c>
      <c r="D381" s="9">
        <v>0</v>
      </c>
      <c r="E381" s="9">
        <v>0</v>
      </c>
      <c r="F381" s="9">
        <v>0</v>
      </c>
      <c r="G381" s="9">
        <v>0</v>
      </c>
      <c r="H381" s="9">
        <v>0</v>
      </c>
      <c r="I381" s="9">
        <v>0</v>
      </c>
      <c r="J381" s="9">
        <v>0</v>
      </c>
      <c r="K381" s="9">
        <v>0</v>
      </c>
      <c r="L381" s="9">
        <v>0</v>
      </c>
      <c r="M381" s="9">
        <v>0</v>
      </c>
      <c r="N381" s="9">
        <v>0</v>
      </c>
      <c r="O381" s="9">
        <v>0</v>
      </c>
      <c r="P381" s="9">
        <v>1</v>
      </c>
      <c r="Q381" s="9">
        <f>MAX(-20,MIN(10,$A381-VLOOKUP(YEAR($A381),'Festive dates'!$A$2:$J$5,8,FALSE)))</f>
        <v>-20</v>
      </c>
      <c r="R381" s="9">
        <f>IF(AND($A381&gt;VLOOKUP(YEAR($A381),'Festive dates'!$A$2:$J$5,2,FALSE),$A381&lt;VLOOKUP(YEAR($A381),'Festive dates'!$A$2:$J$5,3,FALSE)),1,0)</f>
        <v>0</v>
      </c>
      <c r="S381" s="9">
        <f>IF($A381=VLOOKUP(YEAR($A381),'Festive dates'!$A$2:$J$5,2,FALSE),1,0)</f>
        <v>0</v>
      </c>
      <c r="T381" s="9">
        <f>IF($A381=VLOOKUP(YEAR($A381),'Festive dates'!$A$2:$J$5,3,FALSE),1,0)</f>
        <v>0</v>
      </c>
      <c r="U381" s="9">
        <f>IF($A381=VLOOKUP(YEAR($A381),'Festive dates'!$A$2:$J$5,4,FALSE),1,0)</f>
        <v>0</v>
      </c>
      <c r="V381" s="9">
        <f>IF(AND($A381&gt;=VLOOKUP(YEAR($A381),'Festive dates'!$A$2:$J$5,9,FALSE),$A381&lt;=VLOOKUP(YEAR($A381),'Festive dates'!$A$2:$J$5,10,FALSE)),1,0)</f>
        <v>0</v>
      </c>
      <c r="W381" s="9">
        <f>IF($A381=VLOOKUP(YEAR($A381),'Festive dates'!$A$2:$J$5,7,FALSE),1,0)</f>
        <v>0</v>
      </c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>
      <c r="A382" s="8">
        <v>45397</v>
      </c>
      <c r="B382" s="9">
        <v>0</v>
      </c>
      <c r="C382" s="9">
        <v>0</v>
      </c>
      <c r="D382" s="9">
        <v>0</v>
      </c>
      <c r="E382" s="9">
        <v>0</v>
      </c>
      <c r="F382" s="9">
        <v>0</v>
      </c>
      <c r="G382" s="9">
        <v>0</v>
      </c>
      <c r="H382" s="9">
        <v>0</v>
      </c>
      <c r="I382" s="9">
        <v>0</v>
      </c>
      <c r="J382" s="9">
        <v>0</v>
      </c>
      <c r="K382" s="9">
        <v>0</v>
      </c>
      <c r="L382" s="9">
        <v>0</v>
      </c>
      <c r="M382" s="9">
        <v>0</v>
      </c>
      <c r="N382" s="9">
        <v>0</v>
      </c>
      <c r="O382" s="9">
        <v>0</v>
      </c>
      <c r="P382" s="9">
        <v>1</v>
      </c>
      <c r="Q382" s="9">
        <f>MAX(-20,MIN(10,$A382-VLOOKUP(YEAR($A382),'Festive dates'!$A$2:$J$5,8,FALSE)))</f>
        <v>-20</v>
      </c>
      <c r="R382" s="9">
        <f>IF(AND($A382&gt;VLOOKUP(YEAR($A382),'Festive dates'!$A$2:$J$5,2,FALSE),$A382&lt;VLOOKUP(YEAR($A382),'Festive dates'!$A$2:$J$5,3,FALSE)),1,0)</f>
        <v>0</v>
      </c>
      <c r="S382" s="9">
        <f>IF($A382=VLOOKUP(YEAR($A382),'Festive dates'!$A$2:$J$5,2,FALSE),1,0)</f>
        <v>0</v>
      </c>
      <c r="T382" s="9">
        <f>IF($A382=VLOOKUP(YEAR($A382),'Festive dates'!$A$2:$J$5,3,FALSE),1,0)</f>
        <v>0</v>
      </c>
      <c r="U382" s="9">
        <f>IF($A382=VLOOKUP(YEAR($A382),'Festive dates'!$A$2:$J$5,4,FALSE),1,0)</f>
        <v>0</v>
      </c>
      <c r="V382" s="9">
        <f>IF(AND($A382&gt;=VLOOKUP(YEAR($A382),'Festive dates'!$A$2:$J$5,9,FALSE),$A382&lt;=VLOOKUP(YEAR($A382),'Festive dates'!$A$2:$J$5,10,FALSE)),1,0)</f>
        <v>0</v>
      </c>
      <c r="W382" s="9">
        <f>IF($A382=VLOOKUP(YEAR($A382),'Festive dates'!$A$2:$J$5,7,FALSE),1,0)</f>
        <v>0</v>
      </c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>
      <c r="A383" s="8">
        <v>45398</v>
      </c>
      <c r="B383" s="9">
        <v>0</v>
      </c>
      <c r="C383" s="9">
        <v>0</v>
      </c>
      <c r="D383" s="9">
        <v>0</v>
      </c>
      <c r="E383" s="9">
        <v>0</v>
      </c>
      <c r="F383" s="9">
        <v>0</v>
      </c>
      <c r="G383" s="9">
        <v>0</v>
      </c>
      <c r="H383" s="9">
        <v>0</v>
      </c>
      <c r="I383" s="9">
        <v>0</v>
      </c>
      <c r="J383" s="9">
        <v>0</v>
      </c>
      <c r="K383" s="9">
        <v>0</v>
      </c>
      <c r="L383" s="9">
        <v>0</v>
      </c>
      <c r="M383" s="9">
        <v>0</v>
      </c>
      <c r="N383" s="9">
        <v>0</v>
      </c>
      <c r="O383" s="9">
        <v>0</v>
      </c>
      <c r="P383" s="9">
        <v>1</v>
      </c>
      <c r="Q383" s="9">
        <f>MAX(-20,MIN(10,$A383-VLOOKUP(YEAR($A383),'Festive dates'!$A$2:$J$5,8,FALSE)))</f>
        <v>-20</v>
      </c>
      <c r="R383" s="9">
        <f>IF(AND($A383&gt;VLOOKUP(YEAR($A383),'Festive dates'!$A$2:$J$5,2,FALSE),$A383&lt;VLOOKUP(YEAR($A383),'Festive dates'!$A$2:$J$5,3,FALSE)),1,0)</f>
        <v>0</v>
      </c>
      <c r="S383" s="9">
        <f>IF($A383=VLOOKUP(YEAR($A383),'Festive dates'!$A$2:$J$5,2,FALSE),1,0)</f>
        <v>0</v>
      </c>
      <c r="T383" s="9">
        <f>IF($A383=VLOOKUP(YEAR($A383),'Festive dates'!$A$2:$J$5,3,FALSE),1,0)</f>
        <v>0</v>
      </c>
      <c r="U383" s="9">
        <f>IF($A383=VLOOKUP(YEAR($A383),'Festive dates'!$A$2:$J$5,4,FALSE),1,0)</f>
        <v>0</v>
      </c>
      <c r="V383" s="9">
        <f>IF(AND($A383&gt;=VLOOKUP(YEAR($A383),'Festive dates'!$A$2:$J$5,9,FALSE),$A383&lt;=VLOOKUP(YEAR($A383),'Festive dates'!$A$2:$J$5,10,FALSE)),1,0)</f>
        <v>0</v>
      </c>
      <c r="W383" s="9">
        <f>IF($A383=VLOOKUP(YEAR($A383),'Festive dates'!$A$2:$J$5,7,FALSE),1,0)</f>
        <v>0</v>
      </c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>
      <c r="A384" s="8">
        <v>45399</v>
      </c>
      <c r="B384" s="9">
        <v>0</v>
      </c>
      <c r="C384" s="9">
        <v>0</v>
      </c>
      <c r="D384" s="9">
        <v>0</v>
      </c>
      <c r="E384" s="9">
        <v>0</v>
      </c>
      <c r="F384" s="9">
        <v>0</v>
      </c>
      <c r="G384" s="9">
        <v>0</v>
      </c>
      <c r="H384" s="9">
        <v>0</v>
      </c>
      <c r="I384" s="9">
        <v>0</v>
      </c>
      <c r="J384" s="9">
        <v>0</v>
      </c>
      <c r="K384" s="9">
        <v>0</v>
      </c>
      <c r="L384" s="9">
        <v>0</v>
      </c>
      <c r="M384" s="9">
        <v>0</v>
      </c>
      <c r="N384" s="9">
        <v>0</v>
      </c>
      <c r="O384" s="9">
        <v>0</v>
      </c>
      <c r="P384" s="9">
        <v>1</v>
      </c>
      <c r="Q384" s="9">
        <f>MAX(-20,MIN(10,$A384-VLOOKUP(YEAR($A384),'Festive dates'!$A$2:$J$5,8,FALSE)))</f>
        <v>-20</v>
      </c>
      <c r="R384" s="9">
        <f>IF(AND($A384&gt;VLOOKUP(YEAR($A384),'Festive dates'!$A$2:$J$5,2,FALSE),$A384&lt;VLOOKUP(YEAR($A384),'Festive dates'!$A$2:$J$5,3,FALSE)),1,0)</f>
        <v>0</v>
      </c>
      <c r="S384" s="9">
        <f>IF($A384=VLOOKUP(YEAR($A384),'Festive dates'!$A$2:$J$5,2,FALSE),1,0)</f>
        <v>0</v>
      </c>
      <c r="T384" s="9">
        <f>IF($A384=VLOOKUP(YEAR($A384),'Festive dates'!$A$2:$J$5,3,FALSE),1,0)</f>
        <v>0</v>
      </c>
      <c r="U384" s="9">
        <f>IF($A384=VLOOKUP(YEAR($A384),'Festive dates'!$A$2:$J$5,4,FALSE),1,0)</f>
        <v>0</v>
      </c>
      <c r="V384" s="9">
        <f>IF(AND($A384&gt;=VLOOKUP(YEAR($A384),'Festive dates'!$A$2:$J$5,9,FALSE),$A384&lt;=VLOOKUP(YEAR($A384),'Festive dates'!$A$2:$J$5,10,FALSE)),1,0)</f>
        <v>0</v>
      </c>
      <c r="W384" s="9">
        <f>IF($A384=VLOOKUP(YEAR($A384),'Festive dates'!$A$2:$J$5,7,FALSE),1,0)</f>
        <v>0</v>
      </c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>
      <c r="A385" s="8">
        <v>45400</v>
      </c>
      <c r="B385" s="9">
        <v>0</v>
      </c>
      <c r="C385" s="9">
        <v>0</v>
      </c>
      <c r="D385" s="9">
        <v>0</v>
      </c>
      <c r="E385" s="9">
        <v>0</v>
      </c>
      <c r="F385" s="9">
        <v>0</v>
      </c>
      <c r="G385" s="9">
        <v>0</v>
      </c>
      <c r="H385" s="9">
        <v>0</v>
      </c>
      <c r="I385" s="9">
        <v>0</v>
      </c>
      <c r="J385" s="9">
        <v>0</v>
      </c>
      <c r="K385" s="9">
        <v>0</v>
      </c>
      <c r="L385" s="9">
        <v>0</v>
      </c>
      <c r="M385" s="9">
        <v>0</v>
      </c>
      <c r="N385" s="9">
        <v>0</v>
      </c>
      <c r="O385" s="9">
        <v>0</v>
      </c>
      <c r="P385" s="9">
        <v>0</v>
      </c>
      <c r="Q385" s="9">
        <f>MAX(-20,MIN(10,$A385-VLOOKUP(YEAR($A385),'Festive dates'!$A$2:$J$5,8,FALSE)))</f>
        <v>-20</v>
      </c>
      <c r="R385" s="9">
        <f>IF(AND($A385&gt;VLOOKUP(YEAR($A385),'Festive dates'!$A$2:$J$5,2,FALSE),$A385&lt;VLOOKUP(YEAR($A385),'Festive dates'!$A$2:$J$5,3,FALSE)),1,0)</f>
        <v>0</v>
      </c>
      <c r="S385" s="9">
        <f>IF($A385=VLOOKUP(YEAR($A385),'Festive dates'!$A$2:$J$5,2,FALSE),1,0)</f>
        <v>0</v>
      </c>
      <c r="T385" s="9">
        <f>IF($A385=VLOOKUP(YEAR($A385),'Festive dates'!$A$2:$J$5,3,FALSE),1,0)</f>
        <v>0</v>
      </c>
      <c r="U385" s="9">
        <f>IF($A385=VLOOKUP(YEAR($A385),'Festive dates'!$A$2:$J$5,4,FALSE),1,0)</f>
        <v>0</v>
      </c>
      <c r="V385" s="9">
        <f>IF(AND($A385&gt;=VLOOKUP(YEAR($A385),'Festive dates'!$A$2:$J$5,9,FALSE),$A385&lt;=VLOOKUP(YEAR($A385),'Festive dates'!$A$2:$J$5,10,FALSE)),1,0)</f>
        <v>0</v>
      </c>
      <c r="W385" s="9">
        <f>IF($A385=VLOOKUP(YEAR($A385),'Festive dates'!$A$2:$J$5,7,FALSE),1,0)</f>
        <v>0</v>
      </c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>
      <c r="A386" s="8">
        <v>45401</v>
      </c>
      <c r="B386" s="9">
        <v>0</v>
      </c>
      <c r="C386" s="9">
        <v>0</v>
      </c>
      <c r="D386" s="9">
        <v>0</v>
      </c>
      <c r="E386" s="9">
        <v>0</v>
      </c>
      <c r="F386" s="9">
        <v>0</v>
      </c>
      <c r="G386" s="9">
        <v>0</v>
      </c>
      <c r="H386" s="9">
        <v>0</v>
      </c>
      <c r="I386" s="9">
        <v>0</v>
      </c>
      <c r="J386" s="9">
        <v>0</v>
      </c>
      <c r="K386" s="9">
        <v>0</v>
      </c>
      <c r="L386" s="9">
        <v>0</v>
      </c>
      <c r="M386" s="9">
        <v>0</v>
      </c>
      <c r="N386" s="9">
        <v>0</v>
      </c>
      <c r="O386" s="9">
        <v>0</v>
      </c>
      <c r="P386" s="9">
        <v>0</v>
      </c>
      <c r="Q386" s="9">
        <f>MAX(-20,MIN(10,$A386-VLOOKUP(YEAR($A386),'Festive dates'!$A$2:$J$5,8,FALSE)))</f>
        <v>-20</v>
      </c>
      <c r="R386" s="9">
        <f>IF(AND($A386&gt;VLOOKUP(YEAR($A386),'Festive dates'!$A$2:$J$5,2,FALSE),$A386&lt;VLOOKUP(YEAR($A386),'Festive dates'!$A$2:$J$5,3,FALSE)),1,0)</f>
        <v>0</v>
      </c>
      <c r="S386" s="9">
        <f>IF($A386=VLOOKUP(YEAR($A386),'Festive dates'!$A$2:$J$5,2,FALSE),1,0)</f>
        <v>0</v>
      </c>
      <c r="T386" s="9">
        <f>IF($A386=VLOOKUP(YEAR($A386),'Festive dates'!$A$2:$J$5,3,FALSE),1,0)</f>
        <v>0</v>
      </c>
      <c r="U386" s="9">
        <f>IF($A386=VLOOKUP(YEAR($A386),'Festive dates'!$A$2:$J$5,4,FALSE),1,0)</f>
        <v>0</v>
      </c>
      <c r="V386" s="9">
        <f>IF(AND($A386&gt;=VLOOKUP(YEAR($A386),'Festive dates'!$A$2:$J$5,9,FALSE),$A386&lt;=VLOOKUP(YEAR($A386),'Festive dates'!$A$2:$J$5,10,FALSE)),1,0)</f>
        <v>0</v>
      </c>
      <c r="W386" s="9">
        <f>IF($A386=VLOOKUP(YEAR($A386),'Festive dates'!$A$2:$J$5,7,FALSE),1,0)</f>
        <v>0</v>
      </c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>
      <c r="A387" s="8">
        <v>45402</v>
      </c>
      <c r="B387" s="9">
        <v>0</v>
      </c>
      <c r="C387" s="9">
        <v>0</v>
      </c>
      <c r="D387" s="9">
        <v>0</v>
      </c>
      <c r="E387" s="9">
        <v>0</v>
      </c>
      <c r="F387" s="9">
        <v>0</v>
      </c>
      <c r="G387" s="9">
        <v>0</v>
      </c>
      <c r="H387" s="9">
        <v>0</v>
      </c>
      <c r="I387" s="9">
        <v>0</v>
      </c>
      <c r="J387" s="9">
        <v>0</v>
      </c>
      <c r="K387" s="9">
        <v>0</v>
      </c>
      <c r="L387" s="9">
        <v>0</v>
      </c>
      <c r="M387" s="9">
        <v>0</v>
      </c>
      <c r="N387" s="9">
        <v>0</v>
      </c>
      <c r="O387" s="9">
        <v>0</v>
      </c>
      <c r="P387" s="9">
        <v>0</v>
      </c>
      <c r="Q387" s="9">
        <f>MAX(-20,MIN(10,$A387-VLOOKUP(YEAR($A387),'Festive dates'!$A$2:$J$5,8,FALSE)))</f>
        <v>-20</v>
      </c>
      <c r="R387" s="9">
        <f>IF(AND($A387&gt;VLOOKUP(YEAR($A387),'Festive dates'!$A$2:$J$5,2,FALSE),$A387&lt;VLOOKUP(YEAR($A387),'Festive dates'!$A$2:$J$5,3,FALSE)),1,0)</f>
        <v>0</v>
      </c>
      <c r="S387" s="9">
        <f>IF($A387=VLOOKUP(YEAR($A387),'Festive dates'!$A$2:$J$5,2,FALSE),1,0)</f>
        <v>0</v>
      </c>
      <c r="T387" s="9">
        <f>IF($A387=VLOOKUP(YEAR($A387),'Festive dates'!$A$2:$J$5,3,FALSE),1,0)</f>
        <v>0</v>
      </c>
      <c r="U387" s="9">
        <f>IF($A387=VLOOKUP(YEAR($A387),'Festive dates'!$A$2:$J$5,4,FALSE),1,0)</f>
        <v>0</v>
      </c>
      <c r="V387" s="9">
        <f>IF(AND($A387&gt;=VLOOKUP(YEAR($A387),'Festive dates'!$A$2:$J$5,9,FALSE),$A387&lt;=VLOOKUP(YEAR($A387),'Festive dates'!$A$2:$J$5,10,FALSE)),1,0)</f>
        <v>0</v>
      </c>
      <c r="W387" s="9">
        <f>IF($A387=VLOOKUP(YEAR($A387),'Festive dates'!$A$2:$J$5,7,FALSE),1,0)</f>
        <v>0</v>
      </c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>
      <c r="A388" s="8">
        <v>45403</v>
      </c>
      <c r="B388" s="9">
        <v>0</v>
      </c>
      <c r="C388" s="9">
        <v>0</v>
      </c>
      <c r="D388" s="9">
        <v>0</v>
      </c>
      <c r="E388" s="9">
        <v>0</v>
      </c>
      <c r="F388" s="9">
        <v>0</v>
      </c>
      <c r="G388" s="9">
        <v>0</v>
      </c>
      <c r="H388" s="9">
        <v>0</v>
      </c>
      <c r="I388" s="9">
        <v>0</v>
      </c>
      <c r="J388" s="9">
        <v>0</v>
      </c>
      <c r="K388" s="9">
        <v>0</v>
      </c>
      <c r="L388" s="9">
        <v>0</v>
      </c>
      <c r="M388" s="9">
        <v>0</v>
      </c>
      <c r="N388" s="9">
        <v>0</v>
      </c>
      <c r="O388" s="9">
        <v>0</v>
      </c>
      <c r="P388" s="9">
        <v>0</v>
      </c>
      <c r="Q388" s="9">
        <f>MAX(-20,MIN(10,$A388-VLOOKUP(YEAR($A388),'Festive dates'!$A$2:$J$5,8,FALSE)))</f>
        <v>-20</v>
      </c>
      <c r="R388" s="9">
        <f>IF(AND($A388&gt;VLOOKUP(YEAR($A388),'Festive dates'!$A$2:$J$5,2,FALSE),$A388&lt;VLOOKUP(YEAR($A388),'Festive dates'!$A$2:$J$5,3,FALSE)),1,0)</f>
        <v>0</v>
      </c>
      <c r="S388" s="9">
        <f>IF($A388=VLOOKUP(YEAR($A388),'Festive dates'!$A$2:$J$5,2,FALSE),1,0)</f>
        <v>0</v>
      </c>
      <c r="T388" s="9">
        <f>IF($A388=VLOOKUP(YEAR($A388),'Festive dates'!$A$2:$J$5,3,FALSE),1,0)</f>
        <v>0</v>
      </c>
      <c r="U388" s="9">
        <f>IF($A388=VLOOKUP(YEAR($A388),'Festive dates'!$A$2:$J$5,4,FALSE),1,0)</f>
        <v>0</v>
      </c>
      <c r="V388" s="9">
        <f>IF(AND($A388&gt;=VLOOKUP(YEAR($A388),'Festive dates'!$A$2:$J$5,9,FALSE),$A388&lt;=VLOOKUP(YEAR($A388),'Festive dates'!$A$2:$J$5,10,FALSE)),1,0)</f>
        <v>0</v>
      </c>
      <c r="W388" s="9">
        <f>IF($A388=VLOOKUP(YEAR($A388),'Festive dates'!$A$2:$J$5,7,FALSE),1,0)</f>
        <v>0</v>
      </c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>
      <c r="A389" s="8">
        <v>45404</v>
      </c>
      <c r="B389" s="9">
        <v>0</v>
      </c>
      <c r="C389" s="9">
        <v>0</v>
      </c>
      <c r="D389" s="9">
        <v>0</v>
      </c>
      <c r="E389" s="9">
        <v>0</v>
      </c>
      <c r="F389" s="9">
        <v>0</v>
      </c>
      <c r="G389" s="9">
        <v>0</v>
      </c>
      <c r="H389" s="9">
        <v>0</v>
      </c>
      <c r="I389" s="9">
        <v>0</v>
      </c>
      <c r="J389" s="9">
        <v>0</v>
      </c>
      <c r="K389" s="9">
        <v>0</v>
      </c>
      <c r="L389" s="9">
        <v>0</v>
      </c>
      <c r="M389" s="9">
        <v>0</v>
      </c>
      <c r="N389" s="9">
        <v>0</v>
      </c>
      <c r="O389" s="9">
        <v>0</v>
      </c>
      <c r="P389" s="9">
        <v>0</v>
      </c>
      <c r="Q389" s="9">
        <f>MAX(-20,MIN(10,$A389-VLOOKUP(YEAR($A389),'Festive dates'!$A$2:$J$5,8,FALSE)))</f>
        <v>-20</v>
      </c>
      <c r="R389" s="9">
        <f>IF(AND($A389&gt;VLOOKUP(YEAR($A389),'Festive dates'!$A$2:$J$5,2,FALSE),$A389&lt;VLOOKUP(YEAR($A389),'Festive dates'!$A$2:$J$5,3,FALSE)),1,0)</f>
        <v>0</v>
      </c>
      <c r="S389" s="9">
        <f>IF($A389=VLOOKUP(YEAR($A389),'Festive dates'!$A$2:$J$5,2,FALSE),1,0)</f>
        <v>0</v>
      </c>
      <c r="T389" s="9">
        <f>IF($A389=VLOOKUP(YEAR($A389),'Festive dates'!$A$2:$J$5,3,FALSE),1,0)</f>
        <v>0</v>
      </c>
      <c r="U389" s="9">
        <f>IF($A389=VLOOKUP(YEAR($A389),'Festive dates'!$A$2:$J$5,4,FALSE),1,0)</f>
        <v>0</v>
      </c>
      <c r="V389" s="9">
        <f>IF(AND($A389&gt;=VLOOKUP(YEAR($A389),'Festive dates'!$A$2:$J$5,9,FALSE),$A389&lt;=VLOOKUP(YEAR($A389),'Festive dates'!$A$2:$J$5,10,FALSE)),1,0)</f>
        <v>0</v>
      </c>
      <c r="W389" s="9">
        <f>IF($A389=VLOOKUP(YEAR($A389),'Festive dates'!$A$2:$J$5,7,FALSE),1,0)</f>
        <v>0</v>
      </c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>
      <c r="A390" s="8">
        <v>45405</v>
      </c>
      <c r="B390" s="9">
        <v>0</v>
      </c>
      <c r="C390" s="9">
        <v>0</v>
      </c>
      <c r="D390" s="9">
        <v>0</v>
      </c>
      <c r="E390" s="9">
        <v>0</v>
      </c>
      <c r="F390" s="9">
        <v>0</v>
      </c>
      <c r="G390" s="9">
        <v>0</v>
      </c>
      <c r="H390" s="9">
        <v>1</v>
      </c>
      <c r="I390" s="9">
        <v>0</v>
      </c>
      <c r="J390" s="9">
        <v>0</v>
      </c>
      <c r="K390" s="9">
        <v>0</v>
      </c>
      <c r="L390" s="9">
        <v>0</v>
      </c>
      <c r="M390" s="9">
        <v>0</v>
      </c>
      <c r="N390" s="9">
        <v>0</v>
      </c>
      <c r="O390" s="9">
        <v>0</v>
      </c>
      <c r="P390" s="9">
        <v>0</v>
      </c>
      <c r="Q390" s="9">
        <f>MAX(-20,MIN(10,$A390-VLOOKUP(YEAR($A390),'Festive dates'!$A$2:$J$5,8,FALSE)))</f>
        <v>-20</v>
      </c>
      <c r="R390" s="9">
        <f>IF(AND($A390&gt;VLOOKUP(YEAR($A390),'Festive dates'!$A$2:$J$5,2,FALSE),$A390&lt;VLOOKUP(YEAR($A390),'Festive dates'!$A$2:$J$5,3,FALSE)),1,0)</f>
        <v>0</v>
      </c>
      <c r="S390" s="9">
        <f>IF($A390=VLOOKUP(YEAR($A390),'Festive dates'!$A$2:$J$5,2,FALSE),1,0)</f>
        <v>0</v>
      </c>
      <c r="T390" s="9">
        <f>IF($A390=VLOOKUP(YEAR($A390),'Festive dates'!$A$2:$J$5,3,FALSE),1,0)</f>
        <v>0</v>
      </c>
      <c r="U390" s="9">
        <f>IF($A390=VLOOKUP(YEAR($A390),'Festive dates'!$A$2:$J$5,4,FALSE),1,0)</f>
        <v>0</v>
      </c>
      <c r="V390" s="9">
        <f>IF(AND($A390&gt;=VLOOKUP(YEAR($A390),'Festive dates'!$A$2:$J$5,9,FALSE),$A390&lt;=VLOOKUP(YEAR($A390),'Festive dates'!$A$2:$J$5,10,FALSE)),1,0)</f>
        <v>0</v>
      </c>
      <c r="W390" s="9">
        <f>IF($A390=VLOOKUP(YEAR($A390),'Festive dates'!$A$2:$J$5,7,FALSE),1,0)</f>
        <v>0</v>
      </c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>
      <c r="A391" s="8">
        <v>45406</v>
      </c>
      <c r="B391" s="9">
        <v>0</v>
      </c>
      <c r="C391" s="9">
        <v>0</v>
      </c>
      <c r="D391" s="9">
        <v>0</v>
      </c>
      <c r="E391" s="9">
        <v>0</v>
      </c>
      <c r="F391" s="9">
        <v>0</v>
      </c>
      <c r="G391" s="9">
        <v>0</v>
      </c>
      <c r="H391" s="9">
        <v>0</v>
      </c>
      <c r="I391" s="9">
        <v>0</v>
      </c>
      <c r="J391" s="9">
        <v>0</v>
      </c>
      <c r="K391" s="9">
        <v>0</v>
      </c>
      <c r="L391" s="9">
        <v>0</v>
      </c>
      <c r="M391" s="9">
        <v>0</v>
      </c>
      <c r="N391" s="9">
        <v>0</v>
      </c>
      <c r="O391" s="9">
        <v>0</v>
      </c>
      <c r="P391" s="9">
        <v>0</v>
      </c>
      <c r="Q391" s="9">
        <f>MAX(-20,MIN(10,$A391-VLOOKUP(YEAR($A391),'Festive dates'!$A$2:$J$5,8,FALSE)))</f>
        <v>-20</v>
      </c>
      <c r="R391" s="9">
        <f>IF(AND($A391&gt;VLOOKUP(YEAR($A391),'Festive dates'!$A$2:$J$5,2,FALSE),$A391&lt;VLOOKUP(YEAR($A391),'Festive dates'!$A$2:$J$5,3,FALSE)),1,0)</f>
        <v>0</v>
      </c>
      <c r="S391" s="9">
        <f>IF($A391=VLOOKUP(YEAR($A391),'Festive dates'!$A$2:$J$5,2,FALSE),1,0)</f>
        <v>0</v>
      </c>
      <c r="T391" s="9">
        <f>IF($A391=VLOOKUP(YEAR($A391),'Festive dates'!$A$2:$J$5,3,FALSE),1,0)</f>
        <v>0</v>
      </c>
      <c r="U391" s="9">
        <f>IF($A391=VLOOKUP(YEAR($A391),'Festive dates'!$A$2:$J$5,4,FALSE),1,0)</f>
        <v>0</v>
      </c>
      <c r="V391" s="9">
        <f>IF(AND($A391&gt;=VLOOKUP(YEAR($A391),'Festive dates'!$A$2:$J$5,9,FALSE),$A391&lt;=VLOOKUP(YEAR($A391),'Festive dates'!$A$2:$J$5,10,FALSE)),1,0)</f>
        <v>0</v>
      </c>
      <c r="W391" s="9">
        <f>IF($A391=VLOOKUP(YEAR($A391),'Festive dates'!$A$2:$J$5,7,FALSE),1,0)</f>
        <v>0</v>
      </c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>
      <c r="A392" s="8">
        <v>45407</v>
      </c>
      <c r="B392" s="9">
        <v>0</v>
      </c>
      <c r="C392" s="9">
        <v>0</v>
      </c>
      <c r="D392" s="9">
        <v>0</v>
      </c>
      <c r="E392" s="9">
        <v>0</v>
      </c>
      <c r="F392" s="9">
        <v>0</v>
      </c>
      <c r="G392" s="9">
        <v>0</v>
      </c>
      <c r="H392" s="9">
        <v>0</v>
      </c>
      <c r="I392" s="9">
        <v>0</v>
      </c>
      <c r="J392" s="9">
        <v>0</v>
      </c>
      <c r="K392" s="9">
        <v>0</v>
      </c>
      <c r="L392" s="9">
        <v>0</v>
      </c>
      <c r="M392" s="9">
        <v>0</v>
      </c>
      <c r="N392" s="9">
        <v>0</v>
      </c>
      <c r="O392" s="9">
        <v>0</v>
      </c>
      <c r="P392" s="9">
        <v>0</v>
      </c>
      <c r="Q392" s="9">
        <f>MAX(-20,MIN(10,$A392-VLOOKUP(YEAR($A392),'Festive dates'!$A$2:$J$5,8,FALSE)))</f>
        <v>-20</v>
      </c>
      <c r="R392" s="9">
        <f>IF(AND($A392&gt;VLOOKUP(YEAR($A392),'Festive dates'!$A$2:$J$5,2,FALSE),$A392&lt;VLOOKUP(YEAR($A392),'Festive dates'!$A$2:$J$5,3,FALSE)),1,0)</f>
        <v>0</v>
      </c>
      <c r="S392" s="9">
        <f>IF($A392=VLOOKUP(YEAR($A392),'Festive dates'!$A$2:$J$5,2,FALSE),1,0)</f>
        <v>0</v>
      </c>
      <c r="T392" s="9">
        <f>IF($A392=VLOOKUP(YEAR($A392),'Festive dates'!$A$2:$J$5,3,FALSE),1,0)</f>
        <v>0</v>
      </c>
      <c r="U392" s="9">
        <f>IF($A392=VLOOKUP(YEAR($A392),'Festive dates'!$A$2:$J$5,4,FALSE),1,0)</f>
        <v>0</v>
      </c>
      <c r="V392" s="9">
        <f>IF(AND($A392&gt;=VLOOKUP(YEAR($A392),'Festive dates'!$A$2:$J$5,9,FALSE),$A392&lt;=VLOOKUP(YEAR($A392),'Festive dates'!$A$2:$J$5,10,FALSE)),1,0)</f>
        <v>0</v>
      </c>
      <c r="W392" s="9">
        <f>IF($A392=VLOOKUP(YEAR($A392),'Festive dates'!$A$2:$J$5,7,FALSE),1,0)</f>
        <v>0</v>
      </c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>
      <c r="A393" s="8">
        <v>45408</v>
      </c>
      <c r="B393" s="9">
        <v>0</v>
      </c>
      <c r="C393" s="9">
        <v>0</v>
      </c>
      <c r="D393" s="9">
        <v>0</v>
      </c>
      <c r="E393" s="9">
        <v>0</v>
      </c>
      <c r="F393" s="9">
        <v>0</v>
      </c>
      <c r="G393" s="9">
        <v>0</v>
      </c>
      <c r="H393" s="9">
        <v>0</v>
      </c>
      <c r="I393" s="9">
        <v>0</v>
      </c>
      <c r="J393" s="9">
        <v>0</v>
      </c>
      <c r="K393" s="9">
        <v>0</v>
      </c>
      <c r="L393" s="9">
        <v>0</v>
      </c>
      <c r="M393" s="9">
        <v>0</v>
      </c>
      <c r="N393" s="9">
        <v>0</v>
      </c>
      <c r="O393" s="9">
        <v>0</v>
      </c>
      <c r="P393" s="9">
        <v>0</v>
      </c>
      <c r="Q393" s="9">
        <f>MAX(-20,MIN(10,$A393-VLOOKUP(YEAR($A393),'Festive dates'!$A$2:$J$5,8,FALSE)))</f>
        <v>-20</v>
      </c>
      <c r="R393" s="9">
        <f>IF(AND($A393&gt;VLOOKUP(YEAR($A393),'Festive dates'!$A$2:$J$5,2,FALSE),$A393&lt;VLOOKUP(YEAR($A393),'Festive dates'!$A$2:$J$5,3,FALSE)),1,0)</f>
        <v>0</v>
      </c>
      <c r="S393" s="9">
        <f>IF($A393=VLOOKUP(YEAR($A393),'Festive dates'!$A$2:$J$5,2,FALSE),1,0)</f>
        <v>0</v>
      </c>
      <c r="T393" s="9">
        <f>IF($A393=VLOOKUP(YEAR($A393),'Festive dates'!$A$2:$J$5,3,FALSE),1,0)</f>
        <v>0</v>
      </c>
      <c r="U393" s="9">
        <f>IF($A393=VLOOKUP(YEAR($A393),'Festive dates'!$A$2:$J$5,4,FALSE),1,0)</f>
        <v>0</v>
      </c>
      <c r="V393" s="9">
        <f>IF(AND($A393&gt;=VLOOKUP(YEAR($A393),'Festive dates'!$A$2:$J$5,9,FALSE),$A393&lt;=VLOOKUP(YEAR($A393),'Festive dates'!$A$2:$J$5,10,FALSE)),1,0)</f>
        <v>0</v>
      </c>
      <c r="W393" s="9">
        <f>IF($A393=VLOOKUP(YEAR($A393),'Festive dates'!$A$2:$J$5,7,FALSE),1,0)</f>
        <v>0</v>
      </c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>
      <c r="A394" s="8">
        <v>45409</v>
      </c>
      <c r="B394" s="9">
        <v>0</v>
      </c>
      <c r="C394" s="9">
        <v>0</v>
      </c>
      <c r="D394" s="9">
        <v>0</v>
      </c>
      <c r="E394" s="9">
        <v>0</v>
      </c>
      <c r="F394" s="9">
        <v>0</v>
      </c>
      <c r="G394" s="9">
        <v>0</v>
      </c>
      <c r="H394" s="9">
        <v>0</v>
      </c>
      <c r="I394" s="9">
        <v>0</v>
      </c>
      <c r="J394" s="9">
        <v>0</v>
      </c>
      <c r="K394" s="9">
        <v>0</v>
      </c>
      <c r="L394" s="9">
        <v>0</v>
      </c>
      <c r="M394" s="9">
        <v>0</v>
      </c>
      <c r="N394" s="9">
        <v>0</v>
      </c>
      <c r="O394" s="9">
        <v>0</v>
      </c>
      <c r="P394" s="9">
        <v>0</v>
      </c>
      <c r="Q394" s="9">
        <f>MAX(-20,MIN(10,$A394-VLOOKUP(YEAR($A394),'Festive dates'!$A$2:$J$5,8,FALSE)))</f>
        <v>-20</v>
      </c>
      <c r="R394" s="9">
        <f>IF(AND($A394&gt;VLOOKUP(YEAR($A394),'Festive dates'!$A$2:$J$5,2,FALSE),$A394&lt;VLOOKUP(YEAR($A394),'Festive dates'!$A$2:$J$5,3,FALSE)),1,0)</f>
        <v>0</v>
      </c>
      <c r="S394" s="9">
        <f>IF($A394=VLOOKUP(YEAR($A394),'Festive dates'!$A$2:$J$5,2,FALSE),1,0)</f>
        <v>0</v>
      </c>
      <c r="T394" s="9">
        <f>IF($A394=VLOOKUP(YEAR($A394),'Festive dates'!$A$2:$J$5,3,FALSE),1,0)</f>
        <v>0</v>
      </c>
      <c r="U394" s="9">
        <f>IF($A394=VLOOKUP(YEAR($A394),'Festive dates'!$A$2:$J$5,4,FALSE),1,0)</f>
        <v>0</v>
      </c>
      <c r="V394" s="9">
        <f>IF(AND($A394&gt;=VLOOKUP(YEAR($A394),'Festive dates'!$A$2:$J$5,9,FALSE),$A394&lt;=VLOOKUP(YEAR($A394),'Festive dates'!$A$2:$J$5,10,FALSE)),1,0)</f>
        <v>0</v>
      </c>
      <c r="W394" s="9">
        <f>IF($A394=VLOOKUP(YEAR($A394),'Festive dates'!$A$2:$J$5,7,FALSE),1,0)</f>
        <v>0</v>
      </c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>
      <c r="A395" s="8">
        <v>45410</v>
      </c>
      <c r="B395" s="9">
        <v>0</v>
      </c>
      <c r="C395" s="9">
        <v>0</v>
      </c>
      <c r="D395" s="9">
        <v>0</v>
      </c>
      <c r="E395" s="9">
        <v>0</v>
      </c>
      <c r="F395" s="9">
        <v>0</v>
      </c>
      <c r="G395" s="9">
        <v>0</v>
      </c>
      <c r="H395" s="9">
        <v>0</v>
      </c>
      <c r="I395" s="9">
        <v>0</v>
      </c>
      <c r="J395" s="9">
        <v>0</v>
      </c>
      <c r="K395" s="9">
        <v>0</v>
      </c>
      <c r="L395" s="9">
        <v>0</v>
      </c>
      <c r="M395" s="9">
        <v>0</v>
      </c>
      <c r="N395" s="9">
        <v>0</v>
      </c>
      <c r="O395" s="9">
        <v>0</v>
      </c>
      <c r="P395" s="9">
        <v>0</v>
      </c>
      <c r="Q395" s="9">
        <f>MAX(-20,MIN(10,$A395-VLOOKUP(YEAR($A395),'Festive dates'!$A$2:$J$5,8,FALSE)))</f>
        <v>-20</v>
      </c>
      <c r="R395" s="9">
        <f>IF(AND($A395&gt;VLOOKUP(YEAR($A395),'Festive dates'!$A$2:$J$5,2,FALSE),$A395&lt;VLOOKUP(YEAR($A395),'Festive dates'!$A$2:$J$5,3,FALSE)),1,0)</f>
        <v>0</v>
      </c>
      <c r="S395" s="9">
        <f>IF($A395=VLOOKUP(YEAR($A395),'Festive dates'!$A$2:$J$5,2,FALSE),1,0)</f>
        <v>0</v>
      </c>
      <c r="T395" s="9">
        <f>IF($A395=VLOOKUP(YEAR($A395),'Festive dates'!$A$2:$J$5,3,FALSE),1,0)</f>
        <v>0</v>
      </c>
      <c r="U395" s="9">
        <f>IF($A395=VLOOKUP(YEAR($A395),'Festive dates'!$A$2:$J$5,4,FALSE),1,0)</f>
        <v>0</v>
      </c>
      <c r="V395" s="9">
        <f>IF(AND($A395&gt;=VLOOKUP(YEAR($A395),'Festive dates'!$A$2:$J$5,9,FALSE),$A395&lt;=VLOOKUP(YEAR($A395),'Festive dates'!$A$2:$J$5,10,FALSE)),1,0)</f>
        <v>0</v>
      </c>
      <c r="W395" s="9">
        <f>IF($A395=VLOOKUP(YEAR($A395),'Festive dates'!$A$2:$J$5,7,FALSE),1,0)</f>
        <v>0</v>
      </c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>
      <c r="A396" s="8">
        <v>45411</v>
      </c>
      <c r="B396" s="9">
        <v>0</v>
      </c>
      <c r="C396" s="9">
        <v>0</v>
      </c>
      <c r="D396" s="9">
        <v>0</v>
      </c>
      <c r="E396" s="9">
        <v>0</v>
      </c>
      <c r="F396" s="9">
        <v>0</v>
      </c>
      <c r="G396" s="9">
        <v>0</v>
      </c>
      <c r="H396" s="9">
        <v>0</v>
      </c>
      <c r="I396" s="9">
        <v>0</v>
      </c>
      <c r="J396" s="9">
        <v>0</v>
      </c>
      <c r="K396" s="9">
        <v>0</v>
      </c>
      <c r="L396" s="9">
        <v>0</v>
      </c>
      <c r="M396" s="9">
        <v>0</v>
      </c>
      <c r="N396" s="9">
        <v>0</v>
      </c>
      <c r="O396" s="9">
        <v>0</v>
      </c>
      <c r="P396" s="9">
        <v>0</v>
      </c>
      <c r="Q396" s="9">
        <f>MAX(-20,MIN(10,$A396-VLOOKUP(YEAR($A396),'Festive dates'!$A$2:$J$5,8,FALSE)))</f>
        <v>-20</v>
      </c>
      <c r="R396" s="9">
        <f>IF(AND($A396&gt;VLOOKUP(YEAR($A396),'Festive dates'!$A$2:$J$5,2,FALSE),$A396&lt;VLOOKUP(YEAR($A396),'Festive dates'!$A$2:$J$5,3,FALSE)),1,0)</f>
        <v>0</v>
      </c>
      <c r="S396" s="9">
        <f>IF($A396=VLOOKUP(YEAR($A396),'Festive dates'!$A$2:$J$5,2,FALSE),1,0)</f>
        <v>0</v>
      </c>
      <c r="T396" s="9">
        <f>IF($A396=VLOOKUP(YEAR($A396),'Festive dates'!$A$2:$J$5,3,FALSE),1,0)</f>
        <v>0</v>
      </c>
      <c r="U396" s="9">
        <f>IF($A396=VLOOKUP(YEAR($A396),'Festive dates'!$A$2:$J$5,4,FALSE),1,0)</f>
        <v>0</v>
      </c>
      <c r="V396" s="9">
        <f>IF(AND($A396&gt;=VLOOKUP(YEAR($A396),'Festive dates'!$A$2:$J$5,9,FALSE),$A396&lt;=VLOOKUP(YEAR($A396),'Festive dates'!$A$2:$J$5,10,FALSE)),1,0)</f>
        <v>0</v>
      </c>
      <c r="W396" s="9">
        <f>IF($A396=VLOOKUP(YEAR($A396),'Festive dates'!$A$2:$J$5,7,FALSE),1,0)</f>
        <v>0</v>
      </c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>
      <c r="A397" s="8">
        <v>45412</v>
      </c>
      <c r="B397" s="9">
        <v>0</v>
      </c>
      <c r="C397" s="9">
        <v>0</v>
      </c>
      <c r="D397" s="9">
        <v>0</v>
      </c>
      <c r="E397" s="9">
        <v>0</v>
      </c>
      <c r="F397" s="9">
        <v>0</v>
      </c>
      <c r="G397" s="9">
        <v>0</v>
      </c>
      <c r="H397" s="9">
        <v>0</v>
      </c>
      <c r="I397" s="9">
        <v>0</v>
      </c>
      <c r="J397" s="9">
        <v>0</v>
      </c>
      <c r="K397" s="9">
        <v>0</v>
      </c>
      <c r="L397" s="9">
        <v>0</v>
      </c>
      <c r="M397" s="9">
        <v>0</v>
      </c>
      <c r="N397" s="9">
        <v>0</v>
      </c>
      <c r="O397" s="9">
        <v>0</v>
      </c>
      <c r="P397" s="9">
        <v>0</v>
      </c>
      <c r="Q397" s="9">
        <f>MAX(-20,MIN(10,$A397-VLOOKUP(YEAR($A397),'Festive dates'!$A$2:$J$5,8,FALSE)))</f>
        <v>-20</v>
      </c>
      <c r="R397" s="9">
        <f>IF(AND($A397&gt;VLOOKUP(YEAR($A397),'Festive dates'!$A$2:$J$5,2,FALSE),$A397&lt;VLOOKUP(YEAR($A397),'Festive dates'!$A$2:$J$5,3,FALSE)),1,0)</f>
        <v>0</v>
      </c>
      <c r="S397" s="9">
        <f>IF($A397=VLOOKUP(YEAR($A397),'Festive dates'!$A$2:$J$5,2,FALSE),1,0)</f>
        <v>0</v>
      </c>
      <c r="T397" s="9">
        <f>IF($A397=VLOOKUP(YEAR($A397),'Festive dates'!$A$2:$J$5,3,FALSE),1,0)</f>
        <v>0</v>
      </c>
      <c r="U397" s="9">
        <f>IF($A397=VLOOKUP(YEAR($A397),'Festive dates'!$A$2:$J$5,4,FALSE),1,0)</f>
        <v>0</v>
      </c>
      <c r="V397" s="9">
        <f>IF(AND($A397&gt;=VLOOKUP(YEAR($A397),'Festive dates'!$A$2:$J$5,9,FALSE),$A397&lt;=VLOOKUP(YEAR($A397),'Festive dates'!$A$2:$J$5,10,FALSE)),1,0)</f>
        <v>0</v>
      </c>
      <c r="W397" s="9">
        <f>IF($A397=VLOOKUP(YEAR($A397),'Festive dates'!$A$2:$J$5,7,FALSE),1,0)</f>
        <v>0</v>
      </c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>
      <c r="A398" s="8">
        <v>45413</v>
      </c>
      <c r="B398" s="9">
        <v>0</v>
      </c>
      <c r="C398" s="9">
        <v>0</v>
      </c>
      <c r="D398" s="9">
        <v>0</v>
      </c>
      <c r="E398" s="9">
        <v>0</v>
      </c>
      <c r="F398" s="9">
        <v>0</v>
      </c>
      <c r="G398" s="9">
        <v>0</v>
      </c>
      <c r="H398" s="9">
        <v>0</v>
      </c>
      <c r="I398" s="9">
        <v>0</v>
      </c>
      <c r="J398" s="9">
        <v>0</v>
      </c>
      <c r="K398" s="9">
        <v>0</v>
      </c>
      <c r="L398" s="9">
        <v>0</v>
      </c>
      <c r="M398" s="9">
        <v>0</v>
      </c>
      <c r="N398" s="9">
        <v>0</v>
      </c>
      <c r="O398" s="9">
        <v>0</v>
      </c>
      <c r="P398" s="9">
        <v>0</v>
      </c>
      <c r="Q398" s="9">
        <f>MAX(-20,MIN(10,$A398-VLOOKUP(YEAR($A398),'Festive dates'!$A$2:$J$5,8,FALSE)))</f>
        <v>-20</v>
      </c>
      <c r="R398" s="9">
        <f>IF(AND($A398&gt;VLOOKUP(YEAR($A398),'Festive dates'!$A$2:$J$5,2,FALSE),$A398&lt;VLOOKUP(YEAR($A398),'Festive dates'!$A$2:$J$5,3,FALSE)),1,0)</f>
        <v>0</v>
      </c>
      <c r="S398" s="9">
        <f>IF($A398=VLOOKUP(YEAR($A398),'Festive dates'!$A$2:$J$5,2,FALSE),1,0)</f>
        <v>0</v>
      </c>
      <c r="T398" s="9">
        <f>IF($A398=VLOOKUP(YEAR($A398),'Festive dates'!$A$2:$J$5,3,FALSE),1,0)</f>
        <v>0</v>
      </c>
      <c r="U398" s="9">
        <f>IF($A398=VLOOKUP(YEAR($A398),'Festive dates'!$A$2:$J$5,4,FALSE),1,0)</f>
        <v>0</v>
      </c>
      <c r="V398" s="9">
        <f>IF(AND($A398&gt;=VLOOKUP(YEAR($A398),'Festive dates'!$A$2:$J$5,9,FALSE),$A398&lt;=VLOOKUP(YEAR($A398),'Festive dates'!$A$2:$J$5,10,FALSE)),1,0)</f>
        <v>0</v>
      </c>
      <c r="W398" s="9">
        <f>IF($A398=VLOOKUP(YEAR($A398),'Festive dates'!$A$2:$J$5,7,FALSE),1,0)</f>
        <v>0</v>
      </c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>
      <c r="A399" s="8">
        <v>45414</v>
      </c>
      <c r="B399" s="9">
        <v>0</v>
      </c>
      <c r="C399" s="9">
        <v>0</v>
      </c>
      <c r="D399" s="9">
        <v>0</v>
      </c>
      <c r="E399" s="9">
        <v>0</v>
      </c>
      <c r="F399" s="9">
        <v>0</v>
      </c>
      <c r="G399" s="9">
        <v>0</v>
      </c>
      <c r="H399" s="9">
        <v>0</v>
      </c>
      <c r="I399" s="9">
        <v>0</v>
      </c>
      <c r="J399" s="9">
        <v>0</v>
      </c>
      <c r="K399" s="9">
        <v>0</v>
      </c>
      <c r="L399" s="9">
        <v>0</v>
      </c>
      <c r="M399" s="9">
        <v>0</v>
      </c>
      <c r="N399" s="9">
        <v>0</v>
      </c>
      <c r="O399" s="9">
        <v>0</v>
      </c>
      <c r="P399" s="9">
        <v>0</v>
      </c>
      <c r="Q399" s="9">
        <f>MAX(-20,MIN(10,$A399-VLOOKUP(YEAR($A399),'Festive dates'!$A$2:$J$5,8,FALSE)))</f>
        <v>-20</v>
      </c>
      <c r="R399" s="9">
        <f>IF(AND($A399&gt;VLOOKUP(YEAR($A399),'Festive dates'!$A$2:$J$5,2,FALSE),$A399&lt;VLOOKUP(YEAR($A399),'Festive dates'!$A$2:$J$5,3,FALSE)),1,0)</f>
        <v>0</v>
      </c>
      <c r="S399" s="9">
        <f>IF($A399=VLOOKUP(YEAR($A399),'Festive dates'!$A$2:$J$5,2,FALSE),1,0)</f>
        <v>0</v>
      </c>
      <c r="T399" s="9">
        <f>IF($A399=VLOOKUP(YEAR($A399),'Festive dates'!$A$2:$J$5,3,FALSE),1,0)</f>
        <v>0</v>
      </c>
      <c r="U399" s="9">
        <f>IF($A399=VLOOKUP(YEAR($A399),'Festive dates'!$A$2:$J$5,4,FALSE),1,0)</f>
        <v>0</v>
      </c>
      <c r="V399" s="9">
        <f>IF(AND($A399&gt;=VLOOKUP(YEAR($A399),'Festive dates'!$A$2:$J$5,9,FALSE),$A399&lt;=VLOOKUP(YEAR($A399),'Festive dates'!$A$2:$J$5,10,FALSE)),1,0)</f>
        <v>0</v>
      </c>
      <c r="W399" s="9">
        <f>IF($A399=VLOOKUP(YEAR($A399),'Festive dates'!$A$2:$J$5,7,FALSE),1,0)</f>
        <v>0</v>
      </c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>
      <c r="A400" s="8">
        <v>45415</v>
      </c>
      <c r="B400" s="9">
        <v>0</v>
      </c>
      <c r="C400" s="9">
        <v>0</v>
      </c>
      <c r="D400" s="9">
        <v>0</v>
      </c>
      <c r="E400" s="9">
        <v>0</v>
      </c>
      <c r="F400" s="9">
        <v>0</v>
      </c>
      <c r="G400" s="9">
        <v>0</v>
      </c>
      <c r="H400" s="9">
        <v>0</v>
      </c>
      <c r="I400" s="9">
        <v>0</v>
      </c>
      <c r="J400" s="9">
        <v>0</v>
      </c>
      <c r="K400" s="9">
        <v>0</v>
      </c>
      <c r="L400" s="9">
        <v>0</v>
      </c>
      <c r="M400" s="9">
        <v>0</v>
      </c>
      <c r="N400" s="9">
        <v>0</v>
      </c>
      <c r="O400" s="9">
        <v>0</v>
      </c>
      <c r="P400" s="9">
        <v>0</v>
      </c>
      <c r="Q400" s="9">
        <f>MAX(-20,MIN(10,$A400-VLOOKUP(YEAR($A400),'Festive dates'!$A$2:$J$5,8,FALSE)))</f>
        <v>-20</v>
      </c>
      <c r="R400" s="9">
        <f>IF(AND($A400&gt;VLOOKUP(YEAR($A400),'Festive dates'!$A$2:$J$5,2,FALSE),$A400&lt;VLOOKUP(YEAR($A400),'Festive dates'!$A$2:$J$5,3,FALSE)),1,0)</f>
        <v>0</v>
      </c>
      <c r="S400" s="9">
        <f>IF($A400=VLOOKUP(YEAR($A400),'Festive dates'!$A$2:$J$5,2,FALSE),1,0)</f>
        <v>0</v>
      </c>
      <c r="T400" s="9">
        <f>IF($A400=VLOOKUP(YEAR($A400),'Festive dates'!$A$2:$J$5,3,FALSE),1,0)</f>
        <v>0</v>
      </c>
      <c r="U400" s="9">
        <f>IF($A400=VLOOKUP(YEAR($A400),'Festive dates'!$A$2:$J$5,4,FALSE),1,0)</f>
        <v>0</v>
      </c>
      <c r="V400" s="9">
        <f>IF(AND($A400&gt;=VLOOKUP(YEAR($A400),'Festive dates'!$A$2:$J$5,9,FALSE),$A400&lt;=VLOOKUP(YEAR($A400),'Festive dates'!$A$2:$J$5,10,FALSE)),1,0)</f>
        <v>0</v>
      </c>
      <c r="W400" s="9">
        <f>IF($A400=VLOOKUP(YEAR($A400),'Festive dates'!$A$2:$J$5,7,FALSE),1,0)</f>
        <v>0</v>
      </c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>
      <c r="A401" s="8">
        <v>45416</v>
      </c>
      <c r="B401" s="9">
        <v>0</v>
      </c>
      <c r="C401" s="9">
        <v>0</v>
      </c>
      <c r="D401" s="9">
        <v>0</v>
      </c>
      <c r="E401" s="9">
        <v>0</v>
      </c>
      <c r="F401" s="9">
        <v>0</v>
      </c>
      <c r="G401" s="9">
        <v>0</v>
      </c>
      <c r="H401" s="9">
        <v>0</v>
      </c>
      <c r="I401" s="9">
        <v>0</v>
      </c>
      <c r="J401" s="9">
        <v>0</v>
      </c>
      <c r="K401" s="9">
        <v>0</v>
      </c>
      <c r="L401" s="9">
        <v>0</v>
      </c>
      <c r="M401" s="9">
        <v>0</v>
      </c>
      <c r="N401" s="9">
        <v>0</v>
      </c>
      <c r="O401" s="9">
        <v>0</v>
      </c>
      <c r="P401" s="9">
        <v>0</v>
      </c>
      <c r="Q401" s="9">
        <f>MAX(-20,MIN(10,$A401-VLOOKUP(YEAR($A401),'Festive dates'!$A$2:$J$5,8,FALSE)))</f>
        <v>-20</v>
      </c>
      <c r="R401" s="9">
        <f>IF(AND($A401&gt;VLOOKUP(YEAR($A401),'Festive dates'!$A$2:$J$5,2,FALSE),$A401&lt;VLOOKUP(YEAR($A401),'Festive dates'!$A$2:$J$5,3,FALSE)),1,0)</f>
        <v>0</v>
      </c>
      <c r="S401" s="9">
        <f>IF($A401=VLOOKUP(YEAR($A401),'Festive dates'!$A$2:$J$5,2,FALSE),1,0)</f>
        <v>0</v>
      </c>
      <c r="T401" s="9">
        <f>IF($A401=VLOOKUP(YEAR($A401),'Festive dates'!$A$2:$J$5,3,FALSE),1,0)</f>
        <v>0</v>
      </c>
      <c r="U401" s="9">
        <f>IF($A401=VLOOKUP(YEAR($A401),'Festive dates'!$A$2:$J$5,4,FALSE),1,0)</f>
        <v>0</v>
      </c>
      <c r="V401" s="9">
        <f>IF(AND($A401&gt;=VLOOKUP(YEAR($A401),'Festive dates'!$A$2:$J$5,9,FALSE),$A401&lt;=VLOOKUP(YEAR($A401),'Festive dates'!$A$2:$J$5,10,FALSE)),1,0)</f>
        <v>0</v>
      </c>
      <c r="W401" s="9">
        <f>IF($A401=VLOOKUP(YEAR($A401),'Festive dates'!$A$2:$J$5,7,FALSE),1,0)</f>
        <v>0</v>
      </c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>
      <c r="A402" s="8">
        <v>45417</v>
      </c>
      <c r="B402" s="9">
        <v>0</v>
      </c>
      <c r="C402" s="9">
        <v>0</v>
      </c>
      <c r="D402" s="9">
        <v>0</v>
      </c>
      <c r="E402" s="9">
        <v>0</v>
      </c>
      <c r="F402" s="9">
        <v>0</v>
      </c>
      <c r="G402" s="9">
        <v>0</v>
      </c>
      <c r="H402" s="9">
        <v>0</v>
      </c>
      <c r="I402" s="9">
        <v>0</v>
      </c>
      <c r="J402" s="9">
        <v>0</v>
      </c>
      <c r="K402" s="9">
        <v>0</v>
      </c>
      <c r="L402" s="9">
        <v>0</v>
      </c>
      <c r="M402" s="9">
        <v>0</v>
      </c>
      <c r="N402" s="9">
        <v>0</v>
      </c>
      <c r="O402" s="9">
        <v>0</v>
      </c>
      <c r="P402" s="9">
        <v>0</v>
      </c>
      <c r="Q402" s="9">
        <f>MAX(-20,MIN(10,$A402-VLOOKUP(YEAR($A402),'Festive dates'!$A$2:$J$5,8,FALSE)))</f>
        <v>-20</v>
      </c>
      <c r="R402" s="9">
        <f>IF(AND($A402&gt;VLOOKUP(YEAR($A402),'Festive dates'!$A$2:$J$5,2,FALSE),$A402&lt;VLOOKUP(YEAR($A402),'Festive dates'!$A$2:$J$5,3,FALSE)),1,0)</f>
        <v>0</v>
      </c>
      <c r="S402" s="9">
        <f>IF($A402=VLOOKUP(YEAR($A402),'Festive dates'!$A$2:$J$5,2,FALSE),1,0)</f>
        <v>0</v>
      </c>
      <c r="T402" s="9">
        <f>IF($A402=VLOOKUP(YEAR($A402),'Festive dates'!$A$2:$J$5,3,FALSE),1,0)</f>
        <v>0</v>
      </c>
      <c r="U402" s="9">
        <f>IF($A402=VLOOKUP(YEAR($A402),'Festive dates'!$A$2:$J$5,4,FALSE),1,0)</f>
        <v>0</v>
      </c>
      <c r="V402" s="9">
        <f>IF(AND($A402&gt;=VLOOKUP(YEAR($A402),'Festive dates'!$A$2:$J$5,9,FALSE),$A402&lt;=VLOOKUP(YEAR($A402),'Festive dates'!$A$2:$J$5,10,FALSE)),1,0)</f>
        <v>0</v>
      </c>
      <c r="W402" s="9">
        <f>IF($A402=VLOOKUP(YEAR($A402),'Festive dates'!$A$2:$J$5,7,FALSE),1,0)</f>
        <v>0</v>
      </c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>
      <c r="A403" s="8">
        <v>45418</v>
      </c>
      <c r="B403" s="9">
        <v>0</v>
      </c>
      <c r="C403" s="9">
        <v>0</v>
      </c>
      <c r="D403" s="9">
        <v>0</v>
      </c>
      <c r="E403" s="9">
        <v>0</v>
      </c>
      <c r="F403" s="9">
        <v>0</v>
      </c>
      <c r="G403" s="9">
        <v>0</v>
      </c>
      <c r="H403" s="9">
        <v>0</v>
      </c>
      <c r="I403" s="9">
        <v>0</v>
      </c>
      <c r="J403" s="9">
        <v>0</v>
      </c>
      <c r="K403" s="9">
        <v>0</v>
      </c>
      <c r="L403" s="9">
        <v>0</v>
      </c>
      <c r="M403" s="9">
        <v>0</v>
      </c>
      <c r="N403" s="9">
        <v>0</v>
      </c>
      <c r="O403" s="9">
        <v>0</v>
      </c>
      <c r="P403" s="9">
        <v>0</v>
      </c>
      <c r="Q403" s="9">
        <f>MAX(-20,MIN(10,$A403-VLOOKUP(YEAR($A403),'Festive dates'!$A$2:$J$5,8,FALSE)))</f>
        <v>-20</v>
      </c>
      <c r="R403" s="9">
        <f>IF(AND($A403&gt;VLOOKUP(YEAR($A403),'Festive dates'!$A$2:$J$5,2,FALSE),$A403&lt;VLOOKUP(YEAR($A403),'Festive dates'!$A$2:$J$5,3,FALSE)),1,0)</f>
        <v>0</v>
      </c>
      <c r="S403" s="9">
        <f>IF($A403=VLOOKUP(YEAR($A403),'Festive dates'!$A$2:$J$5,2,FALSE),1,0)</f>
        <v>0</v>
      </c>
      <c r="T403" s="9">
        <f>IF($A403=VLOOKUP(YEAR($A403),'Festive dates'!$A$2:$J$5,3,FALSE),1,0)</f>
        <v>0</v>
      </c>
      <c r="U403" s="9">
        <f>IF($A403=VLOOKUP(YEAR($A403),'Festive dates'!$A$2:$J$5,4,FALSE),1,0)</f>
        <v>0</v>
      </c>
      <c r="V403" s="9">
        <f>IF(AND($A403&gt;=VLOOKUP(YEAR($A403),'Festive dates'!$A$2:$J$5,9,FALSE),$A403&lt;=VLOOKUP(YEAR($A403),'Festive dates'!$A$2:$J$5,10,FALSE)),1,0)</f>
        <v>0</v>
      </c>
      <c r="W403" s="9">
        <f>IF($A403=VLOOKUP(YEAR($A403),'Festive dates'!$A$2:$J$5,7,FALSE),1,0)</f>
        <v>0</v>
      </c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>
      <c r="A404" s="8">
        <v>45419</v>
      </c>
      <c r="B404" s="9">
        <v>0</v>
      </c>
      <c r="C404" s="9">
        <v>0</v>
      </c>
      <c r="D404" s="9">
        <v>0</v>
      </c>
      <c r="E404" s="9">
        <v>0</v>
      </c>
      <c r="F404" s="9">
        <v>0</v>
      </c>
      <c r="G404" s="9">
        <v>0</v>
      </c>
      <c r="H404" s="9">
        <v>0</v>
      </c>
      <c r="I404" s="9">
        <v>0</v>
      </c>
      <c r="J404" s="9">
        <v>0</v>
      </c>
      <c r="K404" s="9">
        <v>0</v>
      </c>
      <c r="L404" s="9">
        <v>0</v>
      </c>
      <c r="M404" s="9">
        <v>0</v>
      </c>
      <c r="N404" s="9">
        <v>0</v>
      </c>
      <c r="O404" s="9">
        <v>0</v>
      </c>
      <c r="P404" s="9">
        <v>0</v>
      </c>
      <c r="Q404" s="9">
        <f>MAX(-20,MIN(10,$A404-VLOOKUP(YEAR($A404),'Festive dates'!$A$2:$J$5,8,FALSE)))</f>
        <v>-20</v>
      </c>
      <c r="R404" s="9">
        <f>IF(AND($A404&gt;VLOOKUP(YEAR($A404),'Festive dates'!$A$2:$J$5,2,FALSE),$A404&lt;VLOOKUP(YEAR($A404),'Festive dates'!$A$2:$J$5,3,FALSE)),1,0)</f>
        <v>0</v>
      </c>
      <c r="S404" s="9">
        <f>IF($A404=VLOOKUP(YEAR($A404),'Festive dates'!$A$2:$J$5,2,FALSE),1,0)</f>
        <v>0</v>
      </c>
      <c r="T404" s="9">
        <f>IF($A404=VLOOKUP(YEAR($A404),'Festive dates'!$A$2:$J$5,3,FALSE),1,0)</f>
        <v>0</v>
      </c>
      <c r="U404" s="9">
        <f>IF($A404=VLOOKUP(YEAR($A404),'Festive dates'!$A$2:$J$5,4,FALSE),1,0)</f>
        <v>0</v>
      </c>
      <c r="V404" s="9">
        <f>IF(AND($A404&gt;=VLOOKUP(YEAR($A404),'Festive dates'!$A$2:$J$5,9,FALSE),$A404&lt;=VLOOKUP(YEAR($A404),'Festive dates'!$A$2:$J$5,10,FALSE)),1,0)</f>
        <v>0</v>
      </c>
      <c r="W404" s="9">
        <f>IF($A404=VLOOKUP(YEAR($A404),'Festive dates'!$A$2:$J$5,7,FALSE),1,0)</f>
        <v>0</v>
      </c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>
      <c r="A405" s="8">
        <v>45420</v>
      </c>
      <c r="B405" s="9">
        <v>0</v>
      </c>
      <c r="C405" s="9">
        <v>0</v>
      </c>
      <c r="D405" s="9">
        <v>0</v>
      </c>
      <c r="E405" s="9">
        <v>0</v>
      </c>
      <c r="F405" s="9">
        <v>0</v>
      </c>
      <c r="G405" s="9">
        <v>0</v>
      </c>
      <c r="H405" s="9">
        <v>0</v>
      </c>
      <c r="I405" s="9">
        <v>0</v>
      </c>
      <c r="J405" s="9">
        <v>0</v>
      </c>
      <c r="K405" s="9">
        <v>0</v>
      </c>
      <c r="L405" s="9">
        <v>0</v>
      </c>
      <c r="M405" s="9">
        <v>0</v>
      </c>
      <c r="N405" s="9">
        <v>0</v>
      </c>
      <c r="O405" s="9">
        <v>0</v>
      </c>
      <c r="P405" s="9">
        <v>0</v>
      </c>
      <c r="Q405" s="9">
        <f>MAX(-20,MIN(10,$A405-VLOOKUP(YEAR($A405),'Festive dates'!$A$2:$J$5,8,FALSE)))</f>
        <v>-20</v>
      </c>
      <c r="R405" s="9">
        <f>IF(AND($A405&gt;VLOOKUP(YEAR($A405),'Festive dates'!$A$2:$J$5,2,FALSE),$A405&lt;VLOOKUP(YEAR($A405),'Festive dates'!$A$2:$J$5,3,FALSE)),1,0)</f>
        <v>0</v>
      </c>
      <c r="S405" s="9">
        <f>IF($A405=VLOOKUP(YEAR($A405),'Festive dates'!$A$2:$J$5,2,FALSE),1,0)</f>
        <v>0</v>
      </c>
      <c r="T405" s="9">
        <f>IF($A405=VLOOKUP(YEAR($A405),'Festive dates'!$A$2:$J$5,3,FALSE),1,0)</f>
        <v>0</v>
      </c>
      <c r="U405" s="9">
        <f>IF($A405=VLOOKUP(YEAR($A405),'Festive dates'!$A$2:$J$5,4,FALSE),1,0)</f>
        <v>0</v>
      </c>
      <c r="V405" s="9">
        <f>IF(AND($A405&gt;=VLOOKUP(YEAR($A405),'Festive dates'!$A$2:$J$5,9,FALSE),$A405&lt;=VLOOKUP(YEAR($A405),'Festive dates'!$A$2:$J$5,10,FALSE)),1,0)</f>
        <v>0</v>
      </c>
      <c r="W405" s="9">
        <f>IF($A405=VLOOKUP(YEAR($A405),'Festive dates'!$A$2:$J$5,7,FALSE),1,0)</f>
        <v>0</v>
      </c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>
      <c r="A406" s="8">
        <v>45421</v>
      </c>
      <c r="B406" s="9">
        <v>0</v>
      </c>
      <c r="C406" s="9">
        <v>0</v>
      </c>
      <c r="D406" s="9">
        <v>0</v>
      </c>
      <c r="E406" s="9">
        <v>0</v>
      </c>
      <c r="F406" s="9">
        <v>0</v>
      </c>
      <c r="G406" s="9">
        <v>0</v>
      </c>
      <c r="H406" s="9">
        <v>0</v>
      </c>
      <c r="I406" s="9">
        <v>0</v>
      </c>
      <c r="J406" s="9">
        <v>0</v>
      </c>
      <c r="K406" s="9">
        <v>0</v>
      </c>
      <c r="L406" s="9">
        <v>0</v>
      </c>
      <c r="M406" s="9">
        <v>0</v>
      </c>
      <c r="N406" s="9">
        <v>0</v>
      </c>
      <c r="O406" s="9">
        <v>0</v>
      </c>
      <c r="P406" s="9">
        <v>0</v>
      </c>
      <c r="Q406" s="9">
        <f>MAX(-20,MIN(10,$A406-VLOOKUP(YEAR($A406),'Festive dates'!$A$2:$J$5,8,FALSE)))</f>
        <v>-20</v>
      </c>
      <c r="R406" s="9">
        <f>IF(AND($A406&gt;VLOOKUP(YEAR($A406),'Festive dates'!$A$2:$J$5,2,FALSE),$A406&lt;VLOOKUP(YEAR($A406),'Festive dates'!$A$2:$J$5,3,FALSE)),1,0)</f>
        <v>0</v>
      </c>
      <c r="S406" s="9">
        <f>IF($A406=VLOOKUP(YEAR($A406),'Festive dates'!$A$2:$J$5,2,FALSE),1,0)</f>
        <v>0</v>
      </c>
      <c r="T406" s="9">
        <f>IF($A406=VLOOKUP(YEAR($A406),'Festive dates'!$A$2:$J$5,3,FALSE),1,0)</f>
        <v>0</v>
      </c>
      <c r="U406" s="9">
        <f>IF($A406=VLOOKUP(YEAR($A406),'Festive dates'!$A$2:$J$5,4,FALSE),1,0)</f>
        <v>0</v>
      </c>
      <c r="V406" s="9">
        <f>IF(AND($A406&gt;=VLOOKUP(YEAR($A406),'Festive dates'!$A$2:$J$5,9,FALSE),$A406&lt;=VLOOKUP(YEAR($A406),'Festive dates'!$A$2:$J$5,10,FALSE)),1,0)</f>
        <v>0</v>
      </c>
      <c r="W406" s="9">
        <f>IF($A406=VLOOKUP(YEAR($A406),'Festive dates'!$A$2:$J$5,7,FALSE),1,0)</f>
        <v>0</v>
      </c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>
      <c r="A407" s="8">
        <v>45422</v>
      </c>
      <c r="B407" s="9">
        <v>0</v>
      </c>
      <c r="C407" s="9">
        <v>0</v>
      </c>
      <c r="D407" s="9">
        <v>0</v>
      </c>
      <c r="E407" s="9">
        <v>0</v>
      </c>
      <c r="F407" s="9">
        <v>0</v>
      </c>
      <c r="G407" s="9">
        <v>0</v>
      </c>
      <c r="H407" s="9">
        <v>0</v>
      </c>
      <c r="I407" s="9">
        <v>1</v>
      </c>
      <c r="J407" s="9">
        <v>0</v>
      </c>
      <c r="K407" s="9">
        <v>0</v>
      </c>
      <c r="L407" s="9">
        <v>0</v>
      </c>
      <c r="M407" s="9">
        <v>0</v>
      </c>
      <c r="N407" s="9">
        <v>0</v>
      </c>
      <c r="O407" s="9">
        <v>0</v>
      </c>
      <c r="P407" s="9">
        <v>0</v>
      </c>
      <c r="Q407" s="9">
        <f>MAX(-20,MIN(10,$A407-VLOOKUP(YEAR($A407),'Festive dates'!$A$2:$J$5,8,FALSE)))</f>
        <v>-20</v>
      </c>
      <c r="R407" s="9">
        <f>IF(AND($A407&gt;VLOOKUP(YEAR($A407),'Festive dates'!$A$2:$J$5,2,FALSE),$A407&lt;VLOOKUP(YEAR($A407),'Festive dates'!$A$2:$J$5,3,FALSE)),1,0)</f>
        <v>0</v>
      </c>
      <c r="S407" s="9">
        <f>IF($A407=VLOOKUP(YEAR($A407),'Festive dates'!$A$2:$J$5,2,FALSE),1,0)</f>
        <v>0</v>
      </c>
      <c r="T407" s="9">
        <f>IF($A407=VLOOKUP(YEAR($A407),'Festive dates'!$A$2:$J$5,3,FALSE),1,0)</f>
        <v>0</v>
      </c>
      <c r="U407" s="9">
        <f>IF($A407=VLOOKUP(YEAR($A407),'Festive dates'!$A$2:$J$5,4,FALSE),1,0)</f>
        <v>0</v>
      </c>
      <c r="V407" s="9">
        <f>IF(AND($A407&gt;=VLOOKUP(YEAR($A407),'Festive dates'!$A$2:$J$5,9,FALSE),$A407&lt;=VLOOKUP(YEAR($A407),'Festive dates'!$A$2:$J$5,10,FALSE)),1,0)</f>
        <v>0</v>
      </c>
      <c r="W407" s="9">
        <f>IF($A407=VLOOKUP(YEAR($A407),'Festive dates'!$A$2:$J$5,7,FALSE),1,0)</f>
        <v>0</v>
      </c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>
      <c r="A408" s="8">
        <v>45423</v>
      </c>
      <c r="B408" s="9">
        <v>0</v>
      </c>
      <c r="C408" s="9">
        <v>0</v>
      </c>
      <c r="D408" s="9">
        <v>0</v>
      </c>
      <c r="E408" s="9">
        <v>0</v>
      </c>
      <c r="F408" s="9">
        <v>0</v>
      </c>
      <c r="G408" s="9">
        <v>0</v>
      </c>
      <c r="H408" s="9">
        <v>0</v>
      </c>
      <c r="I408" s="9">
        <v>0</v>
      </c>
      <c r="J408" s="9">
        <v>0</v>
      </c>
      <c r="K408" s="9">
        <v>0</v>
      </c>
      <c r="L408" s="9">
        <v>0</v>
      </c>
      <c r="M408" s="9">
        <v>0</v>
      </c>
      <c r="N408" s="9">
        <v>0</v>
      </c>
      <c r="O408" s="9">
        <v>0</v>
      </c>
      <c r="P408" s="9">
        <v>0</v>
      </c>
      <c r="Q408" s="9">
        <f>MAX(-20,MIN(10,$A408-VLOOKUP(YEAR($A408),'Festive dates'!$A$2:$J$5,8,FALSE)))</f>
        <v>-20</v>
      </c>
      <c r="R408" s="9">
        <f>IF(AND($A408&gt;VLOOKUP(YEAR($A408),'Festive dates'!$A$2:$J$5,2,FALSE),$A408&lt;VLOOKUP(YEAR($A408),'Festive dates'!$A$2:$J$5,3,FALSE)),1,0)</f>
        <v>0</v>
      </c>
      <c r="S408" s="9">
        <f>IF($A408=VLOOKUP(YEAR($A408),'Festive dates'!$A$2:$J$5,2,FALSE),1,0)</f>
        <v>0</v>
      </c>
      <c r="T408" s="9">
        <f>IF($A408=VLOOKUP(YEAR($A408),'Festive dates'!$A$2:$J$5,3,FALSE),1,0)</f>
        <v>0</v>
      </c>
      <c r="U408" s="9">
        <f>IF($A408=VLOOKUP(YEAR($A408),'Festive dates'!$A$2:$J$5,4,FALSE),1,0)</f>
        <v>0</v>
      </c>
      <c r="V408" s="9">
        <f>IF(AND($A408&gt;=VLOOKUP(YEAR($A408),'Festive dates'!$A$2:$J$5,9,FALSE),$A408&lt;=VLOOKUP(YEAR($A408),'Festive dates'!$A$2:$J$5,10,FALSE)),1,0)</f>
        <v>0</v>
      </c>
      <c r="W408" s="9">
        <f>IF($A408=VLOOKUP(YEAR($A408),'Festive dates'!$A$2:$J$5,7,FALSE),1,0)</f>
        <v>0</v>
      </c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>
      <c r="A409" s="8">
        <v>45424</v>
      </c>
      <c r="B409" s="9">
        <v>0</v>
      </c>
      <c r="C409" s="9">
        <v>0</v>
      </c>
      <c r="D409" s="9">
        <v>0</v>
      </c>
      <c r="E409" s="9">
        <v>0</v>
      </c>
      <c r="F409" s="9">
        <v>0</v>
      </c>
      <c r="G409" s="9">
        <v>0</v>
      </c>
      <c r="H409" s="9">
        <v>0</v>
      </c>
      <c r="I409" s="9">
        <v>0</v>
      </c>
      <c r="J409" s="9">
        <v>0</v>
      </c>
      <c r="K409" s="9">
        <v>0</v>
      </c>
      <c r="L409" s="9">
        <v>0</v>
      </c>
      <c r="M409" s="9">
        <v>0</v>
      </c>
      <c r="N409" s="9">
        <v>0</v>
      </c>
      <c r="O409" s="9">
        <v>0</v>
      </c>
      <c r="P409" s="9">
        <v>0</v>
      </c>
      <c r="Q409" s="9">
        <f>MAX(-20,MIN(10,$A409-VLOOKUP(YEAR($A409),'Festive dates'!$A$2:$J$5,8,FALSE)))</f>
        <v>-20</v>
      </c>
      <c r="R409" s="9">
        <f>IF(AND($A409&gt;VLOOKUP(YEAR($A409),'Festive dates'!$A$2:$J$5,2,FALSE),$A409&lt;VLOOKUP(YEAR($A409),'Festive dates'!$A$2:$J$5,3,FALSE)),1,0)</f>
        <v>0</v>
      </c>
      <c r="S409" s="9">
        <f>IF($A409=VLOOKUP(YEAR($A409),'Festive dates'!$A$2:$J$5,2,FALSE),1,0)</f>
        <v>0</v>
      </c>
      <c r="T409" s="9">
        <f>IF($A409=VLOOKUP(YEAR($A409),'Festive dates'!$A$2:$J$5,3,FALSE),1,0)</f>
        <v>0</v>
      </c>
      <c r="U409" s="9">
        <f>IF($A409=VLOOKUP(YEAR($A409),'Festive dates'!$A$2:$J$5,4,FALSE),1,0)</f>
        <v>0</v>
      </c>
      <c r="V409" s="9">
        <f>IF(AND($A409&gt;=VLOOKUP(YEAR($A409),'Festive dates'!$A$2:$J$5,9,FALSE),$A409&lt;=VLOOKUP(YEAR($A409),'Festive dates'!$A$2:$J$5,10,FALSE)),1,0)</f>
        <v>0</v>
      </c>
      <c r="W409" s="9">
        <f>IF($A409=VLOOKUP(YEAR($A409),'Festive dates'!$A$2:$J$5,7,FALSE),1,0)</f>
        <v>0</v>
      </c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>
      <c r="A410" s="8">
        <v>45425</v>
      </c>
      <c r="B410" s="9">
        <v>0</v>
      </c>
      <c r="C410" s="9">
        <v>0</v>
      </c>
      <c r="D410" s="9">
        <v>0</v>
      </c>
      <c r="E410" s="9">
        <v>0</v>
      </c>
      <c r="F410" s="9">
        <v>0</v>
      </c>
      <c r="G410" s="9">
        <v>0</v>
      </c>
      <c r="H410" s="9">
        <v>0</v>
      </c>
      <c r="I410" s="9">
        <v>0</v>
      </c>
      <c r="J410" s="9">
        <v>0</v>
      </c>
      <c r="K410" s="9">
        <v>0</v>
      </c>
      <c r="L410" s="9">
        <v>0</v>
      </c>
      <c r="M410" s="9">
        <v>0</v>
      </c>
      <c r="N410" s="9">
        <v>0</v>
      </c>
      <c r="O410" s="9">
        <v>0</v>
      </c>
      <c r="P410" s="9">
        <v>0</v>
      </c>
      <c r="Q410" s="9">
        <f>MAX(-20,MIN(10,$A410-VLOOKUP(YEAR($A410),'Festive dates'!$A$2:$J$5,8,FALSE)))</f>
        <v>-20</v>
      </c>
      <c r="R410" s="9">
        <f>IF(AND($A410&gt;VLOOKUP(YEAR($A410),'Festive dates'!$A$2:$J$5,2,FALSE),$A410&lt;VLOOKUP(YEAR($A410),'Festive dates'!$A$2:$J$5,3,FALSE)),1,0)</f>
        <v>0</v>
      </c>
      <c r="S410" s="9">
        <f>IF($A410=VLOOKUP(YEAR($A410),'Festive dates'!$A$2:$J$5,2,FALSE),1,0)</f>
        <v>0</v>
      </c>
      <c r="T410" s="9">
        <f>IF($A410=VLOOKUP(YEAR($A410),'Festive dates'!$A$2:$J$5,3,FALSE),1,0)</f>
        <v>0</v>
      </c>
      <c r="U410" s="9">
        <f>IF($A410=VLOOKUP(YEAR($A410),'Festive dates'!$A$2:$J$5,4,FALSE),1,0)</f>
        <v>0</v>
      </c>
      <c r="V410" s="9">
        <f>IF(AND($A410&gt;=VLOOKUP(YEAR($A410),'Festive dates'!$A$2:$J$5,9,FALSE),$A410&lt;=VLOOKUP(YEAR($A410),'Festive dates'!$A$2:$J$5,10,FALSE)),1,0)</f>
        <v>0</v>
      </c>
      <c r="W410" s="9">
        <f>IF($A410=VLOOKUP(YEAR($A410),'Festive dates'!$A$2:$J$5,7,FALSE),1,0)</f>
        <v>0</v>
      </c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>
      <c r="A411" s="8">
        <v>45426</v>
      </c>
      <c r="B411" s="9">
        <v>0</v>
      </c>
      <c r="C411" s="9">
        <v>0</v>
      </c>
      <c r="D411" s="9">
        <v>0</v>
      </c>
      <c r="E411" s="9">
        <v>0</v>
      </c>
      <c r="F411" s="9">
        <v>0</v>
      </c>
      <c r="G411" s="9">
        <v>0</v>
      </c>
      <c r="H411" s="9">
        <v>0</v>
      </c>
      <c r="I411" s="9">
        <v>0</v>
      </c>
      <c r="J411" s="9">
        <v>0</v>
      </c>
      <c r="K411" s="9">
        <v>0</v>
      </c>
      <c r="L411" s="9">
        <v>0</v>
      </c>
      <c r="M411" s="9">
        <v>0</v>
      </c>
      <c r="N411" s="9">
        <v>0</v>
      </c>
      <c r="O411" s="9">
        <v>0</v>
      </c>
      <c r="P411" s="9">
        <v>0</v>
      </c>
      <c r="Q411" s="9">
        <f>MAX(-20,MIN(10,$A411-VLOOKUP(YEAR($A411),'Festive dates'!$A$2:$J$5,8,FALSE)))</f>
        <v>-20</v>
      </c>
      <c r="R411" s="9">
        <f>IF(AND($A411&gt;VLOOKUP(YEAR($A411),'Festive dates'!$A$2:$J$5,2,FALSE),$A411&lt;VLOOKUP(YEAR($A411),'Festive dates'!$A$2:$J$5,3,FALSE)),1,0)</f>
        <v>0</v>
      </c>
      <c r="S411" s="9">
        <f>IF($A411=VLOOKUP(YEAR($A411),'Festive dates'!$A$2:$J$5,2,FALSE),1,0)</f>
        <v>0</v>
      </c>
      <c r="T411" s="9">
        <f>IF($A411=VLOOKUP(YEAR($A411),'Festive dates'!$A$2:$J$5,3,FALSE),1,0)</f>
        <v>0</v>
      </c>
      <c r="U411" s="9">
        <f>IF($A411=VLOOKUP(YEAR($A411),'Festive dates'!$A$2:$J$5,4,FALSE),1,0)</f>
        <v>0</v>
      </c>
      <c r="V411" s="9">
        <f>IF(AND($A411&gt;=VLOOKUP(YEAR($A411),'Festive dates'!$A$2:$J$5,9,FALSE),$A411&lt;=VLOOKUP(YEAR($A411),'Festive dates'!$A$2:$J$5,10,FALSE)),1,0)</f>
        <v>0</v>
      </c>
      <c r="W411" s="9">
        <f>IF($A411=VLOOKUP(YEAR($A411),'Festive dates'!$A$2:$J$5,7,FALSE),1,0)</f>
        <v>0</v>
      </c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>
      <c r="A412" s="8">
        <v>45427</v>
      </c>
      <c r="B412" s="9">
        <v>0</v>
      </c>
      <c r="C412" s="9">
        <v>0</v>
      </c>
      <c r="D412" s="9">
        <v>0</v>
      </c>
      <c r="E412" s="9">
        <v>0</v>
      </c>
      <c r="F412" s="9">
        <v>0</v>
      </c>
      <c r="G412" s="9">
        <v>0</v>
      </c>
      <c r="H412" s="9">
        <v>0</v>
      </c>
      <c r="I412" s="9">
        <v>0</v>
      </c>
      <c r="J412" s="9">
        <v>0</v>
      </c>
      <c r="K412" s="9">
        <v>0</v>
      </c>
      <c r="L412" s="9">
        <v>0</v>
      </c>
      <c r="M412" s="9">
        <v>0</v>
      </c>
      <c r="N412" s="9">
        <v>0</v>
      </c>
      <c r="O412" s="9">
        <v>0</v>
      </c>
      <c r="P412" s="9">
        <v>0</v>
      </c>
      <c r="Q412" s="9">
        <f>MAX(-20,MIN(10,$A412-VLOOKUP(YEAR($A412),'Festive dates'!$A$2:$J$5,8,FALSE)))</f>
        <v>-20</v>
      </c>
      <c r="R412" s="9">
        <f>IF(AND($A412&gt;VLOOKUP(YEAR($A412),'Festive dates'!$A$2:$J$5,2,FALSE),$A412&lt;VLOOKUP(YEAR($A412),'Festive dates'!$A$2:$J$5,3,FALSE)),1,0)</f>
        <v>0</v>
      </c>
      <c r="S412" s="9">
        <f>IF($A412=VLOOKUP(YEAR($A412),'Festive dates'!$A$2:$J$5,2,FALSE),1,0)</f>
        <v>0</v>
      </c>
      <c r="T412" s="9">
        <f>IF($A412=VLOOKUP(YEAR($A412),'Festive dates'!$A$2:$J$5,3,FALSE),1,0)</f>
        <v>0</v>
      </c>
      <c r="U412" s="9">
        <f>IF($A412=VLOOKUP(YEAR($A412),'Festive dates'!$A$2:$J$5,4,FALSE),1,0)</f>
        <v>0</v>
      </c>
      <c r="V412" s="9">
        <f>IF(AND($A412&gt;=VLOOKUP(YEAR($A412),'Festive dates'!$A$2:$J$5,9,FALSE),$A412&lt;=VLOOKUP(YEAR($A412),'Festive dates'!$A$2:$J$5,10,FALSE)),1,0)</f>
        <v>0</v>
      </c>
      <c r="W412" s="9">
        <f>IF($A412=VLOOKUP(YEAR($A412),'Festive dates'!$A$2:$J$5,7,FALSE),1,0)</f>
        <v>0</v>
      </c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>
      <c r="A413" s="8">
        <v>45428</v>
      </c>
      <c r="B413" s="9">
        <v>0</v>
      </c>
      <c r="C413" s="9">
        <v>0</v>
      </c>
      <c r="D413" s="9">
        <v>0</v>
      </c>
      <c r="E413" s="9">
        <v>0</v>
      </c>
      <c r="F413" s="9">
        <v>0</v>
      </c>
      <c r="G413" s="9">
        <v>0</v>
      </c>
      <c r="H413" s="9">
        <v>0</v>
      </c>
      <c r="I413" s="9">
        <v>0</v>
      </c>
      <c r="J413" s="9">
        <v>0</v>
      </c>
      <c r="K413" s="9">
        <v>0</v>
      </c>
      <c r="L413" s="9">
        <v>0</v>
      </c>
      <c r="M413" s="9">
        <v>0</v>
      </c>
      <c r="N413" s="9">
        <v>0</v>
      </c>
      <c r="O413" s="9">
        <v>0</v>
      </c>
      <c r="P413" s="9">
        <v>0</v>
      </c>
      <c r="Q413" s="9">
        <f>MAX(-20,MIN(10,$A413-VLOOKUP(YEAR($A413),'Festive dates'!$A$2:$J$5,8,FALSE)))</f>
        <v>-20</v>
      </c>
      <c r="R413" s="9">
        <f>IF(AND($A413&gt;VLOOKUP(YEAR($A413),'Festive dates'!$A$2:$J$5,2,FALSE),$A413&lt;VLOOKUP(YEAR($A413),'Festive dates'!$A$2:$J$5,3,FALSE)),1,0)</f>
        <v>0</v>
      </c>
      <c r="S413" s="9">
        <f>IF($A413=VLOOKUP(YEAR($A413),'Festive dates'!$A$2:$J$5,2,FALSE),1,0)</f>
        <v>0</v>
      </c>
      <c r="T413" s="9">
        <f>IF($A413=VLOOKUP(YEAR($A413),'Festive dates'!$A$2:$J$5,3,FALSE),1,0)</f>
        <v>0</v>
      </c>
      <c r="U413" s="9">
        <f>IF($A413=VLOOKUP(YEAR($A413),'Festive dates'!$A$2:$J$5,4,FALSE),1,0)</f>
        <v>0</v>
      </c>
      <c r="V413" s="9">
        <f>IF(AND($A413&gt;=VLOOKUP(YEAR($A413),'Festive dates'!$A$2:$J$5,9,FALSE),$A413&lt;=VLOOKUP(YEAR($A413),'Festive dates'!$A$2:$J$5,10,FALSE)),1,0)</f>
        <v>0</v>
      </c>
      <c r="W413" s="9">
        <f>IF($A413=VLOOKUP(YEAR($A413),'Festive dates'!$A$2:$J$5,7,FALSE),1,0)</f>
        <v>0</v>
      </c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>
      <c r="A414" s="8">
        <v>45429</v>
      </c>
      <c r="B414" s="9">
        <v>0</v>
      </c>
      <c r="C414" s="9">
        <v>0</v>
      </c>
      <c r="D414" s="9">
        <v>0</v>
      </c>
      <c r="E414" s="9">
        <v>0</v>
      </c>
      <c r="F414" s="9">
        <v>0</v>
      </c>
      <c r="G414" s="9">
        <v>0</v>
      </c>
      <c r="H414" s="9">
        <v>0</v>
      </c>
      <c r="I414" s="9">
        <v>0</v>
      </c>
      <c r="J414" s="9">
        <v>0</v>
      </c>
      <c r="K414" s="9">
        <v>0</v>
      </c>
      <c r="L414" s="9">
        <v>0</v>
      </c>
      <c r="M414" s="9">
        <v>0</v>
      </c>
      <c r="N414" s="9">
        <v>0</v>
      </c>
      <c r="O414" s="9">
        <v>0</v>
      </c>
      <c r="P414" s="9">
        <v>0</v>
      </c>
      <c r="Q414" s="9">
        <f>MAX(-20,MIN(10,$A414-VLOOKUP(YEAR($A414),'Festive dates'!$A$2:$J$5,8,FALSE)))</f>
        <v>-20</v>
      </c>
      <c r="R414" s="9">
        <f>IF(AND($A414&gt;VLOOKUP(YEAR($A414),'Festive dates'!$A$2:$J$5,2,FALSE),$A414&lt;VLOOKUP(YEAR($A414),'Festive dates'!$A$2:$J$5,3,FALSE)),1,0)</f>
        <v>0</v>
      </c>
      <c r="S414" s="9">
        <f>IF($A414=VLOOKUP(YEAR($A414),'Festive dates'!$A$2:$J$5,2,FALSE),1,0)</f>
        <v>0</v>
      </c>
      <c r="T414" s="9">
        <f>IF($A414=VLOOKUP(YEAR($A414),'Festive dates'!$A$2:$J$5,3,FALSE),1,0)</f>
        <v>0</v>
      </c>
      <c r="U414" s="9">
        <f>IF($A414=VLOOKUP(YEAR($A414),'Festive dates'!$A$2:$J$5,4,FALSE),1,0)</f>
        <v>0</v>
      </c>
      <c r="V414" s="9">
        <f>IF(AND($A414&gt;=VLOOKUP(YEAR($A414),'Festive dates'!$A$2:$J$5,9,FALSE),$A414&lt;=VLOOKUP(YEAR($A414),'Festive dates'!$A$2:$J$5,10,FALSE)),1,0)</f>
        <v>0</v>
      </c>
      <c r="W414" s="9">
        <f>IF($A414=VLOOKUP(YEAR($A414),'Festive dates'!$A$2:$J$5,7,FALSE),1,0)</f>
        <v>0</v>
      </c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>
      <c r="A415" s="8">
        <v>45430</v>
      </c>
      <c r="B415" s="9">
        <v>0</v>
      </c>
      <c r="C415" s="9">
        <v>0</v>
      </c>
      <c r="D415" s="9">
        <v>0</v>
      </c>
      <c r="E415" s="9">
        <v>0</v>
      </c>
      <c r="F415" s="9">
        <v>0</v>
      </c>
      <c r="G415" s="9">
        <v>0</v>
      </c>
      <c r="H415" s="9">
        <v>0</v>
      </c>
      <c r="I415" s="9">
        <v>0</v>
      </c>
      <c r="J415" s="9">
        <v>0</v>
      </c>
      <c r="K415" s="9">
        <v>0</v>
      </c>
      <c r="L415" s="9">
        <v>0</v>
      </c>
      <c r="M415" s="9">
        <v>0</v>
      </c>
      <c r="N415" s="9">
        <v>0</v>
      </c>
      <c r="O415" s="9">
        <v>0</v>
      </c>
      <c r="P415" s="9">
        <v>0</v>
      </c>
      <c r="Q415" s="9">
        <f>MAX(-20,MIN(10,$A415-VLOOKUP(YEAR($A415),'Festive dates'!$A$2:$J$5,8,FALSE)))</f>
        <v>-20</v>
      </c>
      <c r="R415" s="9">
        <f>IF(AND($A415&gt;VLOOKUP(YEAR($A415),'Festive dates'!$A$2:$J$5,2,FALSE),$A415&lt;VLOOKUP(YEAR($A415),'Festive dates'!$A$2:$J$5,3,FALSE)),1,0)</f>
        <v>0</v>
      </c>
      <c r="S415" s="9">
        <f>IF($A415=VLOOKUP(YEAR($A415),'Festive dates'!$A$2:$J$5,2,FALSE),1,0)</f>
        <v>0</v>
      </c>
      <c r="T415" s="9">
        <f>IF($A415=VLOOKUP(YEAR($A415),'Festive dates'!$A$2:$J$5,3,FALSE),1,0)</f>
        <v>0</v>
      </c>
      <c r="U415" s="9">
        <f>IF($A415=VLOOKUP(YEAR($A415),'Festive dates'!$A$2:$J$5,4,FALSE),1,0)</f>
        <v>0</v>
      </c>
      <c r="V415" s="9">
        <f>IF(AND($A415&gt;=VLOOKUP(YEAR($A415),'Festive dates'!$A$2:$J$5,9,FALSE),$A415&lt;=VLOOKUP(YEAR($A415),'Festive dates'!$A$2:$J$5,10,FALSE)),1,0)</f>
        <v>0</v>
      </c>
      <c r="W415" s="9">
        <f>IF($A415=VLOOKUP(YEAR($A415),'Festive dates'!$A$2:$J$5,7,FALSE),1,0)</f>
        <v>0</v>
      </c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>
      <c r="A416" s="8">
        <v>45431</v>
      </c>
      <c r="B416" s="9">
        <v>0</v>
      </c>
      <c r="C416" s="9">
        <v>0</v>
      </c>
      <c r="D416" s="9">
        <v>0</v>
      </c>
      <c r="E416" s="9">
        <v>0</v>
      </c>
      <c r="F416" s="9">
        <v>0</v>
      </c>
      <c r="G416" s="9">
        <v>0</v>
      </c>
      <c r="H416" s="9">
        <v>0</v>
      </c>
      <c r="I416" s="9">
        <v>0</v>
      </c>
      <c r="J416" s="9">
        <v>0</v>
      </c>
      <c r="K416" s="9">
        <v>0</v>
      </c>
      <c r="L416" s="9">
        <v>0</v>
      </c>
      <c r="M416" s="9">
        <v>0</v>
      </c>
      <c r="N416" s="9">
        <v>0</v>
      </c>
      <c r="O416" s="9">
        <v>0</v>
      </c>
      <c r="P416" s="9">
        <v>0</v>
      </c>
      <c r="Q416" s="9">
        <f>MAX(-20,MIN(10,$A416-VLOOKUP(YEAR($A416),'Festive dates'!$A$2:$J$5,8,FALSE)))</f>
        <v>-20</v>
      </c>
      <c r="R416" s="9">
        <f>IF(AND($A416&gt;VLOOKUP(YEAR($A416),'Festive dates'!$A$2:$J$5,2,FALSE),$A416&lt;VLOOKUP(YEAR($A416),'Festive dates'!$A$2:$J$5,3,FALSE)),1,0)</f>
        <v>0</v>
      </c>
      <c r="S416" s="9">
        <f>IF($A416=VLOOKUP(YEAR($A416),'Festive dates'!$A$2:$J$5,2,FALSE),1,0)</f>
        <v>0</v>
      </c>
      <c r="T416" s="9">
        <f>IF($A416=VLOOKUP(YEAR($A416),'Festive dates'!$A$2:$J$5,3,FALSE),1,0)</f>
        <v>0</v>
      </c>
      <c r="U416" s="9">
        <f>IF($A416=VLOOKUP(YEAR($A416),'Festive dates'!$A$2:$J$5,4,FALSE),1,0)</f>
        <v>0</v>
      </c>
      <c r="V416" s="9">
        <f>IF(AND($A416&gt;=VLOOKUP(YEAR($A416),'Festive dates'!$A$2:$J$5,9,FALSE),$A416&lt;=VLOOKUP(YEAR($A416),'Festive dates'!$A$2:$J$5,10,FALSE)),1,0)</f>
        <v>0</v>
      </c>
      <c r="W416" s="9">
        <f>IF($A416=VLOOKUP(YEAR($A416),'Festive dates'!$A$2:$J$5,7,FALSE),1,0)</f>
        <v>0</v>
      </c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>
      <c r="A417" s="8">
        <v>45432</v>
      </c>
      <c r="B417" s="9">
        <v>0</v>
      </c>
      <c r="C417" s="9">
        <v>0</v>
      </c>
      <c r="D417" s="9">
        <v>0</v>
      </c>
      <c r="E417" s="9">
        <v>0</v>
      </c>
      <c r="F417" s="9">
        <v>0</v>
      </c>
      <c r="G417" s="9">
        <v>0</v>
      </c>
      <c r="H417" s="9">
        <v>0</v>
      </c>
      <c r="I417" s="9">
        <v>0</v>
      </c>
      <c r="J417" s="9">
        <v>0</v>
      </c>
      <c r="K417" s="9">
        <v>0</v>
      </c>
      <c r="L417" s="9">
        <v>0</v>
      </c>
      <c r="M417" s="9">
        <v>0</v>
      </c>
      <c r="N417" s="9">
        <v>0</v>
      </c>
      <c r="O417" s="9">
        <v>0</v>
      </c>
      <c r="P417" s="9">
        <v>0</v>
      </c>
      <c r="Q417" s="9">
        <f>MAX(-20,MIN(10,$A417-VLOOKUP(YEAR($A417),'Festive dates'!$A$2:$J$5,8,FALSE)))</f>
        <v>-20</v>
      </c>
      <c r="R417" s="9">
        <f>IF(AND($A417&gt;VLOOKUP(YEAR($A417),'Festive dates'!$A$2:$J$5,2,FALSE),$A417&lt;VLOOKUP(YEAR($A417),'Festive dates'!$A$2:$J$5,3,FALSE)),1,0)</f>
        <v>0</v>
      </c>
      <c r="S417" s="9">
        <f>IF($A417=VLOOKUP(YEAR($A417),'Festive dates'!$A$2:$J$5,2,FALSE),1,0)</f>
        <v>0</v>
      </c>
      <c r="T417" s="9">
        <f>IF($A417=VLOOKUP(YEAR($A417),'Festive dates'!$A$2:$J$5,3,FALSE),1,0)</f>
        <v>0</v>
      </c>
      <c r="U417" s="9">
        <f>IF($A417=VLOOKUP(YEAR($A417),'Festive dates'!$A$2:$J$5,4,FALSE),1,0)</f>
        <v>0</v>
      </c>
      <c r="V417" s="9">
        <f>IF(AND($A417&gt;=VLOOKUP(YEAR($A417),'Festive dates'!$A$2:$J$5,9,FALSE),$A417&lt;=VLOOKUP(YEAR($A417),'Festive dates'!$A$2:$J$5,10,FALSE)),1,0)</f>
        <v>0</v>
      </c>
      <c r="W417" s="9">
        <f>IF($A417=VLOOKUP(YEAR($A417),'Festive dates'!$A$2:$J$5,7,FALSE),1,0)</f>
        <v>0</v>
      </c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>
      <c r="A418" s="8">
        <v>45433</v>
      </c>
      <c r="B418" s="9">
        <v>0</v>
      </c>
      <c r="C418" s="9">
        <v>0</v>
      </c>
      <c r="D418" s="9">
        <v>0</v>
      </c>
      <c r="E418" s="9">
        <v>0</v>
      </c>
      <c r="F418" s="9">
        <v>0</v>
      </c>
      <c r="G418" s="9">
        <v>0</v>
      </c>
      <c r="H418" s="9">
        <v>0</v>
      </c>
      <c r="I418" s="9">
        <v>0</v>
      </c>
      <c r="J418" s="9">
        <v>0</v>
      </c>
      <c r="K418" s="9">
        <v>0</v>
      </c>
      <c r="L418" s="9">
        <v>0</v>
      </c>
      <c r="M418" s="9">
        <v>0</v>
      </c>
      <c r="N418" s="9">
        <v>0</v>
      </c>
      <c r="O418" s="9">
        <v>0</v>
      </c>
      <c r="P418" s="9">
        <v>0</v>
      </c>
      <c r="Q418" s="9">
        <f>MAX(-20,MIN(10,$A418-VLOOKUP(YEAR($A418),'Festive dates'!$A$2:$J$5,8,FALSE)))</f>
        <v>-20</v>
      </c>
      <c r="R418" s="9">
        <f>IF(AND($A418&gt;VLOOKUP(YEAR($A418),'Festive dates'!$A$2:$J$5,2,FALSE),$A418&lt;VLOOKUP(YEAR($A418),'Festive dates'!$A$2:$J$5,3,FALSE)),1,0)</f>
        <v>0</v>
      </c>
      <c r="S418" s="9">
        <f>IF($A418=VLOOKUP(YEAR($A418),'Festive dates'!$A$2:$J$5,2,FALSE),1,0)</f>
        <v>0</v>
      </c>
      <c r="T418" s="9">
        <f>IF($A418=VLOOKUP(YEAR($A418),'Festive dates'!$A$2:$J$5,3,FALSE),1,0)</f>
        <v>0</v>
      </c>
      <c r="U418" s="9">
        <f>IF($A418=VLOOKUP(YEAR($A418),'Festive dates'!$A$2:$J$5,4,FALSE),1,0)</f>
        <v>0</v>
      </c>
      <c r="V418" s="9">
        <f>IF(AND($A418&gt;=VLOOKUP(YEAR($A418),'Festive dates'!$A$2:$J$5,9,FALSE),$A418&lt;=VLOOKUP(YEAR($A418),'Festive dates'!$A$2:$J$5,10,FALSE)),1,0)</f>
        <v>0</v>
      </c>
      <c r="W418" s="9">
        <f>IF($A418=VLOOKUP(YEAR($A418),'Festive dates'!$A$2:$J$5,7,FALSE),1,0)</f>
        <v>0</v>
      </c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>
      <c r="A419" s="8">
        <v>45434</v>
      </c>
      <c r="B419" s="9">
        <v>0</v>
      </c>
      <c r="C419" s="9">
        <v>0</v>
      </c>
      <c r="D419" s="9">
        <v>0</v>
      </c>
      <c r="E419" s="9">
        <v>0</v>
      </c>
      <c r="F419" s="9">
        <v>0</v>
      </c>
      <c r="G419" s="9">
        <v>0</v>
      </c>
      <c r="H419" s="9">
        <v>0</v>
      </c>
      <c r="I419" s="9">
        <v>0</v>
      </c>
      <c r="J419" s="9">
        <v>0</v>
      </c>
      <c r="K419" s="9">
        <v>0</v>
      </c>
      <c r="L419" s="9">
        <v>0</v>
      </c>
      <c r="M419" s="9">
        <v>0</v>
      </c>
      <c r="N419" s="9">
        <v>0</v>
      </c>
      <c r="O419" s="9">
        <v>0</v>
      </c>
      <c r="P419" s="9">
        <v>0</v>
      </c>
      <c r="Q419" s="9">
        <f>MAX(-20,MIN(10,$A419-VLOOKUP(YEAR($A419),'Festive dates'!$A$2:$J$5,8,FALSE)))</f>
        <v>-20</v>
      </c>
      <c r="R419" s="9">
        <f>IF(AND($A419&gt;VLOOKUP(YEAR($A419),'Festive dates'!$A$2:$J$5,2,FALSE),$A419&lt;VLOOKUP(YEAR($A419),'Festive dates'!$A$2:$J$5,3,FALSE)),1,0)</f>
        <v>0</v>
      </c>
      <c r="S419" s="9">
        <f>IF($A419=VLOOKUP(YEAR($A419),'Festive dates'!$A$2:$J$5,2,FALSE),1,0)</f>
        <v>0</v>
      </c>
      <c r="T419" s="9">
        <f>IF($A419=VLOOKUP(YEAR($A419),'Festive dates'!$A$2:$J$5,3,FALSE),1,0)</f>
        <v>0</v>
      </c>
      <c r="U419" s="9">
        <f>IF($A419=VLOOKUP(YEAR($A419),'Festive dates'!$A$2:$J$5,4,FALSE),1,0)</f>
        <v>0</v>
      </c>
      <c r="V419" s="9">
        <f>IF(AND($A419&gt;=VLOOKUP(YEAR($A419),'Festive dates'!$A$2:$J$5,9,FALSE),$A419&lt;=VLOOKUP(YEAR($A419),'Festive dates'!$A$2:$J$5,10,FALSE)),1,0)</f>
        <v>0</v>
      </c>
      <c r="W419" s="9">
        <f>IF($A419=VLOOKUP(YEAR($A419),'Festive dates'!$A$2:$J$5,7,FALSE),1,0)</f>
        <v>0</v>
      </c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>
      <c r="A420" s="8">
        <v>45435</v>
      </c>
      <c r="B420" s="9">
        <v>0</v>
      </c>
      <c r="C420" s="9">
        <v>0</v>
      </c>
      <c r="D420" s="9">
        <v>0</v>
      </c>
      <c r="E420" s="9">
        <v>0</v>
      </c>
      <c r="F420" s="9">
        <v>0</v>
      </c>
      <c r="G420" s="9">
        <v>0</v>
      </c>
      <c r="H420" s="9">
        <v>0</v>
      </c>
      <c r="I420" s="9">
        <v>0</v>
      </c>
      <c r="J420" s="9">
        <v>1</v>
      </c>
      <c r="K420" s="9">
        <v>0</v>
      </c>
      <c r="L420" s="9">
        <v>0</v>
      </c>
      <c r="M420" s="9">
        <v>0</v>
      </c>
      <c r="N420" s="9">
        <v>0</v>
      </c>
      <c r="O420" s="9">
        <v>0</v>
      </c>
      <c r="P420" s="9">
        <v>0</v>
      </c>
      <c r="Q420" s="9">
        <f>MAX(-20,MIN(10,$A420-VLOOKUP(YEAR($A420),'Festive dates'!$A$2:$J$5,8,FALSE)))</f>
        <v>-20</v>
      </c>
      <c r="R420" s="9">
        <f>IF(AND($A420&gt;VLOOKUP(YEAR($A420),'Festive dates'!$A$2:$J$5,2,FALSE),$A420&lt;VLOOKUP(YEAR($A420),'Festive dates'!$A$2:$J$5,3,FALSE)),1,0)</f>
        <v>0</v>
      </c>
      <c r="S420" s="9">
        <f>IF($A420=VLOOKUP(YEAR($A420),'Festive dates'!$A$2:$J$5,2,FALSE),1,0)</f>
        <v>0</v>
      </c>
      <c r="T420" s="9">
        <f>IF($A420=VLOOKUP(YEAR($A420),'Festive dates'!$A$2:$J$5,3,FALSE),1,0)</f>
        <v>0</v>
      </c>
      <c r="U420" s="9">
        <f>IF($A420=VLOOKUP(YEAR($A420),'Festive dates'!$A$2:$J$5,4,FALSE),1,0)</f>
        <v>0</v>
      </c>
      <c r="V420" s="9">
        <f>IF(AND($A420&gt;=VLOOKUP(YEAR($A420),'Festive dates'!$A$2:$J$5,9,FALSE),$A420&lt;=VLOOKUP(YEAR($A420),'Festive dates'!$A$2:$J$5,10,FALSE)),1,0)</f>
        <v>0</v>
      </c>
      <c r="W420" s="9">
        <f>IF($A420=VLOOKUP(YEAR($A420),'Festive dates'!$A$2:$J$5,7,FALSE),1,0)</f>
        <v>0</v>
      </c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>
      <c r="A421" s="8">
        <v>45436</v>
      </c>
      <c r="B421" s="9">
        <v>0</v>
      </c>
      <c r="C421" s="9">
        <v>0</v>
      </c>
      <c r="D421" s="9">
        <v>0</v>
      </c>
      <c r="E421" s="9">
        <v>0</v>
      </c>
      <c r="F421" s="9">
        <v>0</v>
      </c>
      <c r="G421" s="9">
        <v>0</v>
      </c>
      <c r="H421" s="9">
        <v>0</v>
      </c>
      <c r="I421" s="9">
        <v>0</v>
      </c>
      <c r="J421" s="9">
        <v>0</v>
      </c>
      <c r="K421" s="9">
        <v>0</v>
      </c>
      <c r="L421" s="9">
        <v>0</v>
      </c>
      <c r="M421" s="9">
        <v>0</v>
      </c>
      <c r="N421" s="9">
        <v>0</v>
      </c>
      <c r="O421" s="9">
        <v>0</v>
      </c>
      <c r="P421" s="9">
        <v>0</v>
      </c>
      <c r="Q421" s="9">
        <f>MAX(-20,MIN(10,$A421-VLOOKUP(YEAR($A421),'Festive dates'!$A$2:$J$5,8,FALSE)))</f>
        <v>-20</v>
      </c>
      <c r="R421" s="9">
        <f>IF(AND($A421&gt;VLOOKUP(YEAR($A421),'Festive dates'!$A$2:$J$5,2,FALSE),$A421&lt;VLOOKUP(YEAR($A421),'Festive dates'!$A$2:$J$5,3,FALSE)),1,0)</f>
        <v>0</v>
      </c>
      <c r="S421" s="9">
        <f>IF($A421=VLOOKUP(YEAR($A421),'Festive dates'!$A$2:$J$5,2,FALSE),1,0)</f>
        <v>0</v>
      </c>
      <c r="T421" s="9">
        <f>IF($A421=VLOOKUP(YEAR($A421),'Festive dates'!$A$2:$J$5,3,FALSE),1,0)</f>
        <v>0</v>
      </c>
      <c r="U421" s="9">
        <f>IF($A421=VLOOKUP(YEAR($A421),'Festive dates'!$A$2:$J$5,4,FALSE),1,0)</f>
        <v>0</v>
      </c>
      <c r="V421" s="9">
        <f>IF(AND($A421&gt;=VLOOKUP(YEAR($A421),'Festive dates'!$A$2:$J$5,9,FALSE),$A421&lt;=VLOOKUP(YEAR($A421),'Festive dates'!$A$2:$J$5,10,FALSE)),1,0)</f>
        <v>0</v>
      </c>
      <c r="W421" s="9">
        <f>IF($A421=VLOOKUP(YEAR($A421),'Festive dates'!$A$2:$J$5,7,FALSE),1,0)</f>
        <v>0</v>
      </c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>
      <c r="A422" s="8">
        <v>45437</v>
      </c>
      <c r="B422" s="9">
        <v>0</v>
      </c>
      <c r="C422" s="9">
        <v>0</v>
      </c>
      <c r="D422" s="9">
        <v>0</v>
      </c>
      <c r="E422" s="9">
        <v>0</v>
      </c>
      <c r="F422" s="9">
        <v>0</v>
      </c>
      <c r="G422" s="9">
        <v>0</v>
      </c>
      <c r="H422" s="9">
        <v>0</v>
      </c>
      <c r="I422" s="9">
        <v>0</v>
      </c>
      <c r="J422" s="9">
        <v>0</v>
      </c>
      <c r="K422" s="9">
        <v>0</v>
      </c>
      <c r="L422" s="9">
        <v>0</v>
      </c>
      <c r="M422" s="9">
        <v>0</v>
      </c>
      <c r="N422" s="9">
        <v>0</v>
      </c>
      <c r="O422" s="9">
        <v>0</v>
      </c>
      <c r="P422" s="9">
        <v>0</v>
      </c>
      <c r="Q422" s="9">
        <f>MAX(-20,MIN(10,$A422-VLOOKUP(YEAR($A422),'Festive dates'!$A$2:$J$5,8,FALSE)))</f>
        <v>-20</v>
      </c>
      <c r="R422" s="9">
        <f>IF(AND($A422&gt;VLOOKUP(YEAR($A422),'Festive dates'!$A$2:$J$5,2,FALSE),$A422&lt;VLOOKUP(YEAR($A422),'Festive dates'!$A$2:$J$5,3,FALSE)),1,0)</f>
        <v>0</v>
      </c>
      <c r="S422" s="9">
        <f>IF($A422=VLOOKUP(YEAR($A422),'Festive dates'!$A$2:$J$5,2,FALSE),1,0)</f>
        <v>0</v>
      </c>
      <c r="T422" s="9">
        <f>IF($A422=VLOOKUP(YEAR($A422),'Festive dates'!$A$2:$J$5,3,FALSE),1,0)</f>
        <v>0</v>
      </c>
      <c r="U422" s="9">
        <f>IF($A422=VLOOKUP(YEAR($A422),'Festive dates'!$A$2:$J$5,4,FALSE),1,0)</f>
        <v>0</v>
      </c>
      <c r="V422" s="9">
        <f>IF(AND($A422&gt;=VLOOKUP(YEAR($A422),'Festive dates'!$A$2:$J$5,9,FALSE),$A422&lt;=VLOOKUP(YEAR($A422),'Festive dates'!$A$2:$J$5,10,FALSE)),1,0)</f>
        <v>0</v>
      </c>
      <c r="W422" s="9">
        <f>IF($A422=VLOOKUP(YEAR($A422),'Festive dates'!$A$2:$J$5,7,FALSE),1,0)</f>
        <v>0</v>
      </c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>
      <c r="A423" s="8">
        <v>45438</v>
      </c>
      <c r="B423" s="9">
        <v>0</v>
      </c>
      <c r="C423" s="9">
        <v>0</v>
      </c>
      <c r="D423" s="9">
        <v>0</v>
      </c>
      <c r="E423" s="9">
        <v>0</v>
      </c>
      <c r="F423" s="9">
        <v>0</v>
      </c>
      <c r="G423" s="9">
        <v>0</v>
      </c>
      <c r="H423" s="9">
        <v>0</v>
      </c>
      <c r="I423" s="9">
        <v>0</v>
      </c>
      <c r="J423" s="9">
        <v>0</v>
      </c>
      <c r="K423" s="9">
        <v>0</v>
      </c>
      <c r="L423" s="9">
        <v>0</v>
      </c>
      <c r="M423" s="9">
        <v>0</v>
      </c>
      <c r="N423" s="9">
        <v>0</v>
      </c>
      <c r="O423" s="9">
        <v>0</v>
      </c>
      <c r="P423" s="9">
        <v>0</v>
      </c>
      <c r="Q423" s="9">
        <f>MAX(-20,MIN(10,$A423-VLOOKUP(YEAR($A423),'Festive dates'!$A$2:$J$5,8,FALSE)))</f>
        <v>-20</v>
      </c>
      <c r="R423" s="9">
        <f>IF(AND($A423&gt;VLOOKUP(YEAR($A423),'Festive dates'!$A$2:$J$5,2,FALSE),$A423&lt;VLOOKUP(YEAR($A423),'Festive dates'!$A$2:$J$5,3,FALSE)),1,0)</f>
        <v>0</v>
      </c>
      <c r="S423" s="9">
        <f>IF($A423=VLOOKUP(YEAR($A423),'Festive dates'!$A$2:$J$5,2,FALSE),1,0)</f>
        <v>0</v>
      </c>
      <c r="T423" s="9">
        <f>IF($A423=VLOOKUP(YEAR($A423),'Festive dates'!$A$2:$J$5,3,FALSE),1,0)</f>
        <v>0</v>
      </c>
      <c r="U423" s="9">
        <f>IF($A423=VLOOKUP(YEAR($A423),'Festive dates'!$A$2:$J$5,4,FALSE),1,0)</f>
        <v>0</v>
      </c>
      <c r="V423" s="9">
        <f>IF(AND($A423&gt;=VLOOKUP(YEAR($A423),'Festive dates'!$A$2:$J$5,9,FALSE),$A423&lt;=VLOOKUP(YEAR($A423),'Festive dates'!$A$2:$J$5,10,FALSE)),1,0)</f>
        <v>0</v>
      </c>
      <c r="W423" s="9">
        <f>IF($A423=VLOOKUP(YEAR($A423),'Festive dates'!$A$2:$J$5,7,FALSE),1,0)</f>
        <v>0</v>
      </c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>
      <c r="A424" s="8">
        <v>45439</v>
      </c>
      <c r="B424" s="9">
        <v>0</v>
      </c>
      <c r="C424" s="9">
        <v>0</v>
      </c>
      <c r="D424" s="9">
        <v>0</v>
      </c>
      <c r="E424" s="9">
        <v>0</v>
      </c>
      <c r="F424" s="9">
        <v>0</v>
      </c>
      <c r="G424" s="9">
        <v>0</v>
      </c>
      <c r="H424" s="9">
        <v>0</v>
      </c>
      <c r="I424" s="9">
        <v>0</v>
      </c>
      <c r="J424" s="9">
        <v>0</v>
      </c>
      <c r="K424" s="9">
        <v>0</v>
      </c>
      <c r="L424" s="9">
        <v>0</v>
      </c>
      <c r="M424" s="9">
        <v>0</v>
      </c>
      <c r="N424" s="9">
        <v>0</v>
      </c>
      <c r="O424" s="9">
        <v>0</v>
      </c>
      <c r="P424" s="9">
        <v>0</v>
      </c>
      <c r="Q424" s="9">
        <f>MAX(-20,MIN(10,$A424-VLOOKUP(YEAR($A424),'Festive dates'!$A$2:$J$5,8,FALSE)))</f>
        <v>-20</v>
      </c>
      <c r="R424" s="9">
        <f>IF(AND($A424&gt;VLOOKUP(YEAR($A424),'Festive dates'!$A$2:$J$5,2,FALSE),$A424&lt;VLOOKUP(YEAR($A424),'Festive dates'!$A$2:$J$5,3,FALSE)),1,0)</f>
        <v>0</v>
      </c>
      <c r="S424" s="9">
        <f>IF($A424=VLOOKUP(YEAR($A424),'Festive dates'!$A$2:$J$5,2,FALSE),1,0)</f>
        <v>0</v>
      </c>
      <c r="T424" s="9">
        <f>IF($A424=VLOOKUP(YEAR($A424),'Festive dates'!$A$2:$J$5,3,FALSE),1,0)</f>
        <v>0</v>
      </c>
      <c r="U424" s="9">
        <f>IF($A424=VLOOKUP(YEAR($A424),'Festive dates'!$A$2:$J$5,4,FALSE),1,0)</f>
        <v>0</v>
      </c>
      <c r="V424" s="9">
        <f>IF(AND($A424&gt;=VLOOKUP(YEAR($A424),'Festive dates'!$A$2:$J$5,9,FALSE),$A424&lt;=VLOOKUP(YEAR($A424),'Festive dates'!$A$2:$J$5,10,FALSE)),1,0)</f>
        <v>0</v>
      </c>
      <c r="W424" s="9">
        <f>IF($A424=VLOOKUP(YEAR($A424),'Festive dates'!$A$2:$J$5,7,FALSE),1,0)</f>
        <v>0</v>
      </c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>
      <c r="A425" s="8">
        <v>45440</v>
      </c>
      <c r="B425" s="9">
        <v>0</v>
      </c>
      <c r="C425" s="9">
        <v>0</v>
      </c>
      <c r="D425" s="9">
        <v>0</v>
      </c>
      <c r="E425" s="9">
        <v>0</v>
      </c>
      <c r="F425" s="9">
        <v>0</v>
      </c>
      <c r="G425" s="9">
        <v>0</v>
      </c>
      <c r="H425" s="9">
        <v>0</v>
      </c>
      <c r="I425" s="9">
        <v>0</v>
      </c>
      <c r="J425" s="9">
        <v>0</v>
      </c>
      <c r="K425" s="9">
        <v>0</v>
      </c>
      <c r="L425" s="9">
        <v>0</v>
      </c>
      <c r="M425" s="9">
        <v>0</v>
      </c>
      <c r="N425" s="9">
        <v>0</v>
      </c>
      <c r="O425" s="9">
        <v>0</v>
      </c>
      <c r="P425" s="9">
        <v>0</v>
      </c>
      <c r="Q425" s="9">
        <f>MAX(-20,MIN(10,$A425-VLOOKUP(YEAR($A425),'Festive dates'!$A$2:$J$5,8,FALSE)))</f>
        <v>-20</v>
      </c>
      <c r="R425" s="9">
        <f>IF(AND($A425&gt;VLOOKUP(YEAR($A425),'Festive dates'!$A$2:$J$5,2,FALSE),$A425&lt;VLOOKUP(YEAR($A425),'Festive dates'!$A$2:$J$5,3,FALSE)),1,0)</f>
        <v>0</v>
      </c>
      <c r="S425" s="9">
        <f>IF($A425=VLOOKUP(YEAR($A425),'Festive dates'!$A$2:$J$5,2,FALSE),1,0)</f>
        <v>0</v>
      </c>
      <c r="T425" s="9">
        <f>IF($A425=VLOOKUP(YEAR($A425),'Festive dates'!$A$2:$J$5,3,FALSE),1,0)</f>
        <v>0</v>
      </c>
      <c r="U425" s="9">
        <f>IF($A425=VLOOKUP(YEAR($A425),'Festive dates'!$A$2:$J$5,4,FALSE),1,0)</f>
        <v>0</v>
      </c>
      <c r="V425" s="9">
        <f>IF(AND($A425&gt;=VLOOKUP(YEAR($A425),'Festive dates'!$A$2:$J$5,9,FALSE),$A425&lt;=VLOOKUP(YEAR($A425),'Festive dates'!$A$2:$J$5,10,FALSE)),1,0)</f>
        <v>0</v>
      </c>
      <c r="W425" s="9">
        <f>IF($A425=VLOOKUP(YEAR($A425),'Festive dates'!$A$2:$J$5,7,FALSE),1,0)</f>
        <v>0</v>
      </c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>
      <c r="A426" s="8">
        <v>45441</v>
      </c>
      <c r="B426" s="9">
        <v>0</v>
      </c>
      <c r="C426" s="9">
        <v>0</v>
      </c>
      <c r="D426" s="9">
        <v>0</v>
      </c>
      <c r="E426" s="9">
        <v>0</v>
      </c>
      <c r="F426" s="9">
        <v>0</v>
      </c>
      <c r="G426" s="9">
        <v>0</v>
      </c>
      <c r="H426" s="9">
        <v>0</v>
      </c>
      <c r="I426" s="9">
        <v>0</v>
      </c>
      <c r="J426" s="9">
        <v>0</v>
      </c>
      <c r="K426" s="9">
        <v>0</v>
      </c>
      <c r="L426" s="9">
        <v>0</v>
      </c>
      <c r="M426" s="9">
        <v>0</v>
      </c>
      <c r="N426" s="9">
        <v>0</v>
      </c>
      <c r="O426" s="9">
        <v>0</v>
      </c>
      <c r="P426" s="9">
        <v>0</v>
      </c>
      <c r="Q426" s="9">
        <f>MAX(-20,MIN(10,$A426-VLOOKUP(YEAR($A426),'Festive dates'!$A$2:$J$5,8,FALSE)))</f>
        <v>-20</v>
      </c>
      <c r="R426" s="9">
        <f>IF(AND($A426&gt;VLOOKUP(YEAR($A426),'Festive dates'!$A$2:$J$5,2,FALSE),$A426&lt;VLOOKUP(YEAR($A426),'Festive dates'!$A$2:$J$5,3,FALSE)),1,0)</f>
        <v>0</v>
      </c>
      <c r="S426" s="9">
        <f>IF($A426=VLOOKUP(YEAR($A426),'Festive dates'!$A$2:$J$5,2,FALSE),1,0)</f>
        <v>0</v>
      </c>
      <c r="T426" s="9">
        <f>IF($A426=VLOOKUP(YEAR($A426),'Festive dates'!$A$2:$J$5,3,FALSE),1,0)</f>
        <v>0</v>
      </c>
      <c r="U426" s="9">
        <f>IF($A426=VLOOKUP(YEAR($A426),'Festive dates'!$A$2:$J$5,4,FALSE),1,0)</f>
        <v>0</v>
      </c>
      <c r="V426" s="9">
        <f>IF(AND($A426&gt;=VLOOKUP(YEAR($A426),'Festive dates'!$A$2:$J$5,9,FALSE),$A426&lt;=VLOOKUP(YEAR($A426),'Festive dates'!$A$2:$J$5,10,FALSE)),1,0)</f>
        <v>0</v>
      </c>
      <c r="W426" s="9">
        <f>IF($A426=VLOOKUP(YEAR($A426),'Festive dates'!$A$2:$J$5,7,FALSE),1,0)</f>
        <v>0</v>
      </c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>
      <c r="A427" s="8">
        <v>45442</v>
      </c>
      <c r="B427" s="9">
        <v>0</v>
      </c>
      <c r="C427" s="9">
        <v>0</v>
      </c>
      <c r="D427" s="9">
        <v>0</v>
      </c>
      <c r="E427" s="9">
        <v>0</v>
      </c>
      <c r="F427" s="9">
        <v>0</v>
      </c>
      <c r="G427" s="9">
        <v>0</v>
      </c>
      <c r="H427" s="9">
        <v>0</v>
      </c>
      <c r="I427" s="9">
        <v>0</v>
      </c>
      <c r="J427" s="9">
        <v>0</v>
      </c>
      <c r="K427" s="9">
        <v>0</v>
      </c>
      <c r="L427" s="9">
        <v>0</v>
      </c>
      <c r="M427" s="9">
        <v>0</v>
      </c>
      <c r="N427" s="9">
        <v>0</v>
      </c>
      <c r="O427" s="9">
        <v>0</v>
      </c>
      <c r="P427" s="9">
        <v>0</v>
      </c>
      <c r="Q427" s="9">
        <f>MAX(-20,MIN(10,$A427-VLOOKUP(YEAR($A427),'Festive dates'!$A$2:$J$5,8,FALSE)))</f>
        <v>-20</v>
      </c>
      <c r="R427" s="9">
        <f>IF(AND($A427&gt;VLOOKUP(YEAR($A427),'Festive dates'!$A$2:$J$5,2,FALSE),$A427&lt;VLOOKUP(YEAR($A427),'Festive dates'!$A$2:$J$5,3,FALSE)),1,0)</f>
        <v>0</v>
      </c>
      <c r="S427" s="9">
        <f>IF($A427=VLOOKUP(YEAR($A427),'Festive dates'!$A$2:$J$5,2,FALSE),1,0)</f>
        <v>0</v>
      </c>
      <c r="T427" s="9">
        <f>IF($A427=VLOOKUP(YEAR($A427),'Festive dates'!$A$2:$J$5,3,FALSE),1,0)</f>
        <v>0</v>
      </c>
      <c r="U427" s="9">
        <f>IF($A427=VLOOKUP(YEAR($A427),'Festive dates'!$A$2:$J$5,4,FALSE),1,0)</f>
        <v>0</v>
      </c>
      <c r="V427" s="9">
        <f>IF(AND($A427&gt;=VLOOKUP(YEAR($A427),'Festive dates'!$A$2:$J$5,9,FALSE),$A427&lt;=VLOOKUP(YEAR($A427),'Festive dates'!$A$2:$J$5,10,FALSE)),1,0)</f>
        <v>0</v>
      </c>
      <c r="W427" s="9">
        <f>IF($A427=VLOOKUP(YEAR($A427),'Festive dates'!$A$2:$J$5,7,FALSE),1,0)</f>
        <v>0</v>
      </c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>
      <c r="A428" s="8">
        <v>45443</v>
      </c>
      <c r="B428" s="9">
        <v>0</v>
      </c>
      <c r="C428" s="9">
        <v>0</v>
      </c>
      <c r="D428" s="9">
        <v>0</v>
      </c>
      <c r="E428" s="9">
        <v>0</v>
      </c>
      <c r="F428" s="9">
        <v>0</v>
      </c>
      <c r="G428" s="9">
        <v>0</v>
      </c>
      <c r="H428" s="9">
        <v>0</v>
      </c>
      <c r="I428" s="9">
        <v>0</v>
      </c>
      <c r="J428" s="9">
        <v>0</v>
      </c>
      <c r="K428" s="9">
        <v>0</v>
      </c>
      <c r="L428" s="9">
        <v>0</v>
      </c>
      <c r="M428" s="9">
        <v>0</v>
      </c>
      <c r="N428" s="9">
        <v>0</v>
      </c>
      <c r="O428" s="9">
        <v>0</v>
      </c>
      <c r="P428" s="9">
        <v>0</v>
      </c>
      <c r="Q428" s="9">
        <f>MAX(-20,MIN(10,$A428-VLOOKUP(YEAR($A428),'Festive dates'!$A$2:$J$5,8,FALSE)))</f>
        <v>-20</v>
      </c>
      <c r="R428" s="9">
        <f>IF(AND($A428&gt;VLOOKUP(YEAR($A428),'Festive dates'!$A$2:$J$5,2,FALSE),$A428&lt;VLOOKUP(YEAR($A428),'Festive dates'!$A$2:$J$5,3,FALSE)),1,0)</f>
        <v>0</v>
      </c>
      <c r="S428" s="9">
        <f>IF($A428=VLOOKUP(YEAR($A428),'Festive dates'!$A$2:$J$5,2,FALSE),1,0)</f>
        <v>0</v>
      </c>
      <c r="T428" s="9">
        <f>IF($A428=VLOOKUP(YEAR($A428),'Festive dates'!$A$2:$J$5,3,FALSE),1,0)</f>
        <v>0</v>
      </c>
      <c r="U428" s="9">
        <f>IF($A428=VLOOKUP(YEAR($A428),'Festive dates'!$A$2:$J$5,4,FALSE),1,0)</f>
        <v>0</v>
      </c>
      <c r="V428" s="9">
        <f>IF(AND($A428&gt;=VLOOKUP(YEAR($A428),'Festive dates'!$A$2:$J$5,9,FALSE),$A428&lt;=VLOOKUP(YEAR($A428),'Festive dates'!$A$2:$J$5,10,FALSE)),1,0)</f>
        <v>0</v>
      </c>
      <c r="W428" s="9">
        <f>IF($A428=VLOOKUP(YEAR($A428),'Festive dates'!$A$2:$J$5,7,FALSE),1,0)</f>
        <v>0</v>
      </c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>
      <c r="A429" s="8">
        <v>45444</v>
      </c>
      <c r="B429" s="9">
        <v>0</v>
      </c>
      <c r="C429" s="9">
        <v>0</v>
      </c>
      <c r="D429" s="9">
        <v>0</v>
      </c>
      <c r="E429" s="9">
        <v>0</v>
      </c>
      <c r="F429" s="9">
        <v>0</v>
      </c>
      <c r="G429" s="9">
        <v>0</v>
      </c>
      <c r="H429" s="9">
        <v>0</v>
      </c>
      <c r="I429" s="9">
        <v>0</v>
      </c>
      <c r="J429" s="9">
        <v>0</v>
      </c>
      <c r="K429" s="9">
        <v>0</v>
      </c>
      <c r="L429" s="9">
        <v>0</v>
      </c>
      <c r="M429" s="9">
        <v>0</v>
      </c>
      <c r="N429" s="9">
        <v>0</v>
      </c>
      <c r="O429" s="9">
        <v>0</v>
      </c>
      <c r="P429" s="9">
        <v>0</v>
      </c>
      <c r="Q429" s="9">
        <f>MAX(-20,MIN(10,$A429-VLOOKUP(YEAR($A429),'Festive dates'!$A$2:$J$5,8,FALSE)))</f>
        <v>-20</v>
      </c>
      <c r="R429" s="9">
        <f>IF(AND($A429&gt;VLOOKUP(YEAR($A429),'Festive dates'!$A$2:$J$5,2,FALSE),$A429&lt;VLOOKUP(YEAR($A429),'Festive dates'!$A$2:$J$5,3,FALSE)),1,0)</f>
        <v>0</v>
      </c>
      <c r="S429" s="9">
        <f>IF($A429=VLOOKUP(YEAR($A429),'Festive dates'!$A$2:$J$5,2,FALSE),1,0)</f>
        <v>0</v>
      </c>
      <c r="T429" s="9">
        <f>IF($A429=VLOOKUP(YEAR($A429),'Festive dates'!$A$2:$J$5,3,FALSE),1,0)</f>
        <v>0</v>
      </c>
      <c r="U429" s="9">
        <f>IF($A429=VLOOKUP(YEAR($A429),'Festive dates'!$A$2:$J$5,4,FALSE),1,0)</f>
        <v>0</v>
      </c>
      <c r="V429" s="9">
        <f>IF(AND($A429&gt;=VLOOKUP(YEAR($A429),'Festive dates'!$A$2:$J$5,9,FALSE),$A429&lt;=VLOOKUP(YEAR($A429),'Festive dates'!$A$2:$J$5,10,FALSE)),1,0)</f>
        <v>0</v>
      </c>
      <c r="W429" s="9">
        <f>IF($A429=VLOOKUP(YEAR($A429),'Festive dates'!$A$2:$J$5,7,FALSE),1,0)</f>
        <v>0</v>
      </c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>
      <c r="A430" s="8">
        <v>45445</v>
      </c>
      <c r="B430" s="9">
        <v>0</v>
      </c>
      <c r="C430" s="9">
        <v>0</v>
      </c>
      <c r="D430" s="9">
        <v>0</v>
      </c>
      <c r="E430" s="9">
        <v>0</v>
      </c>
      <c r="F430" s="9">
        <v>0</v>
      </c>
      <c r="G430" s="9">
        <v>0</v>
      </c>
      <c r="H430" s="9">
        <v>0</v>
      </c>
      <c r="I430" s="9">
        <v>0</v>
      </c>
      <c r="J430" s="9">
        <v>0</v>
      </c>
      <c r="K430" s="9">
        <v>0</v>
      </c>
      <c r="L430" s="9">
        <v>0</v>
      </c>
      <c r="M430" s="9">
        <v>0</v>
      </c>
      <c r="N430" s="9">
        <v>0</v>
      </c>
      <c r="O430" s="9">
        <v>0</v>
      </c>
      <c r="P430" s="9">
        <v>0</v>
      </c>
      <c r="Q430" s="9">
        <f>MAX(-20,MIN(10,$A430-VLOOKUP(YEAR($A430),'Festive dates'!$A$2:$J$5,8,FALSE)))</f>
        <v>-20</v>
      </c>
      <c r="R430" s="9">
        <f>IF(AND($A430&gt;VLOOKUP(YEAR($A430),'Festive dates'!$A$2:$J$5,2,FALSE),$A430&lt;VLOOKUP(YEAR($A430),'Festive dates'!$A$2:$J$5,3,FALSE)),1,0)</f>
        <v>0</v>
      </c>
      <c r="S430" s="9">
        <f>IF($A430=VLOOKUP(YEAR($A430),'Festive dates'!$A$2:$J$5,2,FALSE),1,0)</f>
        <v>0</v>
      </c>
      <c r="T430" s="9">
        <f>IF($A430=VLOOKUP(YEAR($A430),'Festive dates'!$A$2:$J$5,3,FALSE),1,0)</f>
        <v>0</v>
      </c>
      <c r="U430" s="9">
        <f>IF($A430=VLOOKUP(YEAR($A430),'Festive dates'!$A$2:$J$5,4,FALSE),1,0)</f>
        <v>0</v>
      </c>
      <c r="V430" s="9">
        <f>IF(AND($A430&gt;=VLOOKUP(YEAR($A430),'Festive dates'!$A$2:$J$5,9,FALSE),$A430&lt;=VLOOKUP(YEAR($A430),'Festive dates'!$A$2:$J$5,10,FALSE)),1,0)</f>
        <v>0</v>
      </c>
      <c r="W430" s="9">
        <f>IF($A430=VLOOKUP(YEAR($A430),'Festive dates'!$A$2:$J$5,7,FALSE),1,0)</f>
        <v>0</v>
      </c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>
      <c r="A431" s="8">
        <v>45446</v>
      </c>
      <c r="B431" s="9">
        <v>0</v>
      </c>
      <c r="C431" s="9">
        <v>0</v>
      </c>
      <c r="D431" s="9">
        <v>0</v>
      </c>
      <c r="E431" s="9">
        <v>0</v>
      </c>
      <c r="F431" s="9">
        <v>0</v>
      </c>
      <c r="G431" s="9">
        <v>0</v>
      </c>
      <c r="H431" s="9">
        <v>0</v>
      </c>
      <c r="I431" s="9">
        <v>0</v>
      </c>
      <c r="J431" s="9">
        <v>0</v>
      </c>
      <c r="K431" s="9">
        <v>0</v>
      </c>
      <c r="L431" s="9">
        <v>0</v>
      </c>
      <c r="M431" s="9">
        <v>0</v>
      </c>
      <c r="N431" s="9">
        <v>0</v>
      </c>
      <c r="O431" s="9">
        <v>0</v>
      </c>
      <c r="P431" s="9">
        <v>0</v>
      </c>
      <c r="Q431" s="9">
        <f>MAX(-20,MIN(10,$A431-VLOOKUP(YEAR($A431),'Festive dates'!$A$2:$J$5,8,FALSE)))</f>
        <v>-20</v>
      </c>
      <c r="R431" s="9">
        <f>IF(AND($A431&gt;VLOOKUP(YEAR($A431),'Festive dates'!$A$2:$J$5,2,FALSE),$A431&lt;VLOOKUP(YEAR($A431),'Festive dates'!$A$2:$J$5,3,FALSE)),1,0)</f>
        <v>0</v>
      </c>
      <c r="S431" s="9">
        <f>IF($A431=VLOOKUP(YEAR($A431),'Festive dates'!$A$2:$J$5,2,FALSE),1,0)</f>
        <v>0</v>
      </c>
      <c r="T431" s="9">
        <f>IF($A431=VLOOKUP(YEAR($A431),'Festive dates'!$A$2:$J$5,3,FALSE),1,0)</f>
        <v>0</v>
      </c>
      <c r="U431" s="9">
        <f>IF($A431=VLOOKUP(YEAR($A431),'Festive dates'!$A$2:$J$5,4,FALSE),1,0)</f>
        <v>0</v>
      </c>
      <c r="V431" s="9">
        <f>IF(AND($A431&gt;=VLOOKUP(YEAR($A431),'Festive dates'!$A$2:$J$5,9,FALSE),$A431&lt;=VLOOKUP(YEAR($A431),'Festive dates'!$A$2:$J$5,10,FALSE)),1,0)</f>
        <v>0</v>
      </c>
      <c r="W431" s="9">
        <f>IF($A431=VLOOKUP(YEAR($A431),'Festive dates'!$A$2:$J$5,7,FALSE),1,0)</f>
        <v>0</v>
      </c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>
      <c r="A432" s="8">
        <v>45447</v>
      </c>
      <c r="B432" s="9">
        <v>0</v>
      </c>
      <c r="C432" s="9">
        <v>0</v>
      </c>
      <c r="D432" s="9">
        <v>0</v>
      </c>
      <c r="E432" s="9">
        <v>0</v>
      </c>
      <c r="F432" s="9">
        <v>0</v>
      </c>
      <c r="G432" s="9">
        <v>0</v>
      </c>
      <c r="H432" s="9">
        <v>0</v>
      </c>
      <c r="I432" s="9">
        <v>0</v>
      </c>
      <c r="J432" s="9">
        <v>0</v>
      </c>
      <c r="K432" s="9">
        <v>0</v>
      </c>
      <c r="L432" s="9">
        <v>0</v>
      </c>
      <c r="M432" s="9">
        <v>0</v>
      </c>
      <c r="N432" s="9">
        <v>0</v>
      </c>
      <c r="O432" s="9">
        <v>0</v>
      </c>
      <c r="P432" s="9">
        <v>0</v>
      </c>
      <c r="Q432" s="9">
        <f>MAX(-20,MIN(10,$A432-VLOOKUP(YEAR($A432),'Festive dates'!$A$2:$J$5,8,FALSE)))</f>
        <v>-20</v>
      </c>
      <c r="R432" s="9">
        <f>IF(AND($A432&gt;VLOOKUP(YEAR($A432),'Festive dates'!$A$2:$J$5,2,FALSE),$A432&lt;VLOOKUP(YEAR($A432),'Festive dates'!$A$2:$J$5,3,FALSE)),1,0)</f>
        <v>0</v>
      </c>
      <c r="S432" s="9">
        <f>IF($A432=VLOOKUP(YEAR($A432),'Festive dates'!$A$2:$J$5,2,FALSE),1,0)</f>
        <v>0</v>
      </c>
      <c r="T432" s="9">
        <f>IF($A432=VLOOKUP(YEAR($A432),'Festive dates'!$A$2:$J$5,3,FALSE),1,0)</f>
        <v>0</v>
      </c>
      <c r="U432" s="9">
        <f>IF($A432=VLOOKUP(YEAR($A432),'Festive dates'!$A$2:$J$5,4,FALSE),1,0)</f>
        <v>0</v>
      </c>
      <c r="V432" s="9">
        <f>IF(AND($A432&gt;=VLOOKUP(YEAR($A432),'Festive dates'!$A$2:$J$5,9,FALSE),$A432&lt;=VLOOKUP(YEAR($A432),'Festive dates'!$A$2:$J$5,10,FALSE)),1,0)</f>
        <v>0</v>
      </c>
      <c r="W432" s="9">
        <f>IF($A432=VLOOKUP(YEAR($A432),'Festive dates'!$A$2:$J$5,7,FALSE),1,0)</f>
        <v>0</v>
      </c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>
      <c r="A433" s="8">
        <v>45448</v>
      </c>
      <c r="B433" s="9">
        <v>0</v>
      </c>
      <c r="C433" s="9">
        <v>0</v>
      </c>
      <c r="D433" s="9">
        <v>0</v>
      </c>
      <c r="E433" s="9">
        <v>0</v>
      </c>
      <c r="F433" s="9">
        <v>0</v>
      </c>
      <c r="G433" s="9">
        <v>0</v>
      </c>
      <c r="H433" s="9">
        <v>0</v>
      </c>
      <c r="I433" s="9">
        <v>0</v>
      </c>
      <c r="J433" s="9">
        <v>0</v>
      </c>
      <c r="K433" s="9">
        <v>0</v>
      </c>
      <c r="L433" s="9">
        <v>0</v>
      </c>
      <c r="M433" s="9">
        <v>0</v>
      </c>
      <c r="N433" s="9">
        <v>0</v>
      </c>
      <c r="O433" s="9">
        <v>0</v>
      </c>
      <c r="P433" s="9">
        <v>0</v>
      </c>
      <c r="Q433" s="9">
        <f>MAX(-20,MIN(10,$A433-VLOOKUP(YEAR($A433),'Festive dates'!$A$2:$J$5,8,FALSE)))</f>
        <v>-20</v>
      </c>
      <c r="R433" s="9">
        <f>IF(AND($A433&gt;VLOOKUP(YEAR($A433),'Festive dates'!$A$2:$J$5,2,FALSE),$A433&lt;VLOOKUP(YEAR($A433),'Festive dates'!$A$2:$J$5,3,FALSE)),1,0)</f>
        <v>0</v>
      </c>
      <c r="S433" s="9">
        <f>IF($A433=VLOOKUP(YEAR($A433),'Festive dates'!$A$2:$J$5,2,FALSE),1,0)</f>
        <v>0</v>
      </c>
      <c r="T433" s="9">
        <f>IF($A433=VLOOKUP(YEAR($A433),'Festive dates'!$A$2:$J$5,3,FALSE),1,0)</f>
        <v>0</v>
      </c>
      <c r="U433" s="9">
        <f>IF($A433=VLOOKUP(YEAR($A433),'Festive dates'!$A$2:$J$5,4,FALSE),1,0)</f>
        <v>0</v>
      </c>
      <c r="V433" s="9">
        <f>IF(AND($A433&gt;=VLOOKUP(YEAR($A433),'Festive dates'!$A$2:$J$5,9,FALSE),$A433&lt;=VLOOKUP(YEAR($A433),'Festive dates'!$A$2:$J$5,10,FALSE)),1,0)</f>
        <v>0</v>
      </c>
      <c r="W433" s="9">
        <f>IF($A433=VLOOKUP(YEAR($A433),'Festive dates'!$A$2:$J$5,7,FALSE),1,0)</f>
        <v>0</v>
      </c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>
      <c r="A434" s="8">
        <v>45449</v>
      </c>
      <c r="B434" s="9">
        <v>0</v>
      </c>
      <c r="C434" s="9">
        <v>0</v>
      </c>
      <c r="D434" s="9">
        <v>0</v>
      </c>
      <c r="E434" s="9">
        <v>0</v>
      </c>
      <c r="F434" s="9">
        <v>0</v>
      </c>
      <c r="G434" s="9">
        <v>0</v>
      </c>
      <c r="H434" s="9">
        <v>0</v>
      </c>
      <c r="I434" s="9">
        <v>0</v>
      </c>
      <c r="J434" s="9">
        <v>0</v>
      </c>
      <c r="K434" s="9">
        <v>0</v>
      </c>
      <c r="L434" s="9">
        <v>0</v>
      </c>
      <c r="M434" s="9">
        <v>0</v>
      </c>
      <c r="N434" s="9">
        <v>0</v>
      </c>
      <c r="O434" s="9">
        <v>0</v>
      </c>
      <c r="P434" s="9">
        <v>0</v>
      </c>
      <c r="Q434" s="9">
        <f>MAX(-20,MIN(10,$A434-VLOOKUP(YEAR($A434),'Festive dates'!$A$2:$J$5,8,FALSE)))</f>
        <v>-20</v>
      </c>
      <c r="R434" s="9">
        <f>IF(AND($A434&gt;VLOOKUP(YEAR($A434),'Festive dates'!$A$2:$J$5,2,FALSE),$A434&lt;VLOOKUP(YEAR($A434),'Festive dates'!$A$2:$J$5,3,FALSE)),1,0)</f>
        <v>0</v>
      </c>
      <c r="S434" s="9">
        <f>IF($A434=VLOOKUP(YEAR($A434),'Festive dates'!$A$2:$J$5,2,FALSE),1,0)</f>
        <v>0</v>
      </c>
      <c r="T434" s="9">
        <f>IF($A434=VLOOKUP(YEAR($A434),'Festive dates'!$A$2:$J$5,3,FALSE),1,0)</f>
        <v>0</v>
      </c>
      <c r="U434" s="9">
        <f>IF($A434=VLOOKUP(YEAR($A434),'Festive dates'!$A$2:$J$5,4,FALSE),1,0)</f>
        <v>0</v>
      </c>
      <c r="V434" s="9">
        <f>IF(AND($A434&gt;=VLOOKUP(YEAR($A434),'Festive dates'!$A$2:$J$5,9,FALSE),$A434&lt;=VLOOKUP(YEAR($A434),'Festive dates'!$A$2:$J$5,10,FALSE)),1,0)</f>
        <v>0</v>
      </c>
      <c r="W434" s="9">
        <f>IF($A434=VLOOKUP(YEAR($A434),'Festive dates'!$A$2:$J$5,7,FALSE),1,0)</f>
        <v>0</v>
      </c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>
      <c r="A435" s="8">
        <v>45450</v>
      </c>
      <c r="B435" s="9">
        <v>0</v>
      </c>
      <c r="C435" s="9">
        <v>0</v>
      </c>
      <c r="D435" s="9">
        <v>0</v>
      </c>
      <c r="E435" s="9">
        <v>0</v>
      </c>
      <c r="F435" s="9">
        <v>0</v>
      </c>
      <c r="G435" s="9">
        <v>0</v>
      </c>
      <c r="H435" s="9">
        <v>0</v>
      </c>
      <c r="I435" s="9">
        <v>0</v>
      </c>
      <c r="J435" s="9">
        <v>0</v>
      </c>
      <c r="K435" s="9">
        <v>0</v>
      </c>
      <c r="L435" s="9">
        <v>0</v>
      </c>
      <c r="M435" s="9">
        <v>0</v>
      </c>
      <c r="N435" s="9">
        <v>0</v>
      </c>
      <c r="O435" s="9">
        <v>0</v>
      </c>
      <c r="P435" s="9">
        <v>0</v>
      </c>
      <c r="Q435" s="9">
        <f>MAX(-20,MIN(10,$A435-VLOOKUP(YEAR($A435),'Festive dates'!$A$2:$J$5,8,FALSE)))</f>
        <v>-20</v>
      </c>
      <c r="R435" s="9">
        <f>IF(AND($A435&gt;VLOOKUP(YEAR($A435),'Festive dates'!$A$2:$J$5,2,FALSE),$A435&lt;VLOOKUP(YEAR($A435),'Festive dates'!$A$2:$J$5,3,FALSE)),1,0)</f>
        <v>0</v>
      </c>
      <c r="S435" s="9">
        <f>IF($A435=VLOOKUP(YEAR($A435),'Festive dates'!$A$2:$J$5,2,FALSE),1,0)</f>
        <v>0</v>
      </c>
      <c r="T435" s="9">
        <f>IF($A435=VLOOKUP(YEAR($A435),'Festive dates'!$A$2:$J$5,3,FALSE),1,0)</f>
        <v>0</v>
      </c>
      <c r="U435" s="9">
        <f>IF($A435=VLOOKUP(YEAR($A435),'Festive dates'!$A$2:$J$5,4,FALSE),1,0)</f>
        <v>0</v>
      </c>
      <c r="V435" s="9">
        <f>IF(AND($A435&gt;=VLOOKUP(YEAR($A435),'Festive dates'!$A$2:$J$5,9,FALSE),$A435&lt;=VLOOKUP(YEAR($A435),'Festive dates'!$A$2:$J$5,10,FALSE)),1,0)</f>
        <v>0</v>
      </c>
      <c r="W435" s="9">
        <f>IF($A435=VLOOKUP(YEAR($A435),'Festive dates'!$A$2:$J$5,7,FALSE),1,0)</f>
        <v>0</v>
      </c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>
      <c r="A436" s="8">
        <v>45451</v>
      </c>
      <c r="B436" s="9">
        <v>0</v>
      </c>
      <c r="C436" s="9">
        <v>0</v>
      </c>
      <c r="D436" s="9">
        <v>0</v>
      </c>
      <c r="E436" s="9">
        <v>0</v>
      </c>
      <c r="F436" s="9">
        <v>0</v>
      </c>
      <c r="G436" s="9">
        <v>0</v>
      </c>
      <c r="H436" s="9">
        <v>0</v>
      </c>
      <c r="I436" s="9">
        <v>0</v>
      </c>
      <c r="J436" s="9">
        <v>0</v>
      </c>
      <c r="K436" s="9">
        <v>0</v>
      </c>
      <c r="L436" s="9">
        <v>0</v>
      </c>
      <c r="M436" s="9">
        <v>0</v>
      </c>
      <c r="N436" s="9">
        <v>0</v>
      </c>
      <c r="O436" s="9">
        <v>0</v>
      </c>
      <c r="P436" s="9">
        <v>0</v>
      </c>
      <c r="Q436" s="9">
        <f>MAX(-20,MIN(10,$A436-VLOOKUP(YEAR($A436),'Festive dates'!$A$2:$J$5,8,FALSE)))</f>
        <v>-20</v>
      </c>
      <c r="R436" s="9">
        <f>IF(AND($A436&gt;VLOOKUP(YEAR($A436),'Festive dates'!$A$2:$J$5,2,FALSE),$A436&lt;VLOOKUP(YEAR($A436),'Festive dates'!$A$2:$J$5,3,FALSE)),1,0)</f>
        <v>0</v>
      </c>
      <c r="S436" s="9">
        <f>IF($A436=VLOOKUP(YEAR($A436),'Festive dates'!$A$2:$J$5,2,FALSE),1,0)</f>
        <v>0</v>
      </c>
      <c r="T436" s="9">
        <f>IF($A436=VLOOKUP(YEAR($A436),'Festive dates'!$A$2:$J$5,3,FALSE),1,0)</f>
        <v>0</v>
      </c>
      <c r="U436" s="9">
        <f>IF($A436=VLOOKUP(YEAR($A436),'Festive dates'!$A$2:$J$5,4,FALSE),1,0)</f>
        <v>0</v>
      </c>
      <c r="V436" s="9">
        <f>IF(AND($A436&gt;=VLOOKUP(YEAR($A436),'Festive dates'!$A$2:$J$5,9,FALSE),$A436&lt;=VLOOKUP(YEAR($A436),'Festive dates'!$A$2:$J$5,10,FALSE)),1,0)</f>
        <v>0</v>
      </c>
      <c r="W436" s="9">
        <f>IF($A436=VLOOKUP(YEAR($A436),'Festive dates'!$A$2:$J$5,7,FALSE),1,0)</f>
        <v>0</v>
      </c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>
      <c r="A437" s="8">
        <v>45452</v>
      </c>
      <c r="B437" s="9">
        <v>0</v>
      </c>
      <c r="C437" s="9">
        <v>0</v>
      </c>
      <c r="D437" s="9">
        <v>0</v>
      </c>
      <c r="E437" s="9">
        <v>0</v>
      </c>
      <c r="F437" s="9">
        <v>0</v>
      </c>
      <c r="G437" s="9">
        <v>0</v>
      </c>
      <c r="H437" s="9">
        <v>0</v>
      </c>
      <c r="I437" s="9">
        <v>0</v>
      </c>
      <c r="J437" s="9">
        <v>0</v>
      </c>
      <c r="K437" s="9">
        <v>0</v>
      </c>
      <c r="L437" s="9">
        <v>0</v>
      </c>
      <c r="M437" s="9">
        <v>0</v>
      </c>
      <c r="N437" s="9">
        <v>0</v>
      </c>
      <c r="O437" s="9">
        <v>0</v>
      </c>
      <c r="P437" s="9">
        <v>0</v>
      </c>
      <c r="Q437" s="9">
        <f>MAX(-20,MIN(10,$A437-VLOOKUP(YEAR($A437),'Festive dates'!$A$2:$J$5,8,FALSE)))</f>
        <v>-20</v>
      </c>
      <c r="R437" s="9">
        <f>IF(AND($A437&gt;VLOOKUP(YEAR($A437),'Festive dates'!$A$2:$J$5,2,FALSE),$A437&lt;VLOOKUP(YEAR($A437),'Festive dates'!$A$2:$J$5,3,FALSE)),1,0)</f>
        <v>0</v>
      </c>
      <c r="S437" s="9">
        <f>IF($A437=VLOOKUP(YEAR($A437),'Festive dates'!$A$2:$J$5,2,FALSE),1,0)</f>
        <v>0</v>
      </c>
      <c r="T437" s="9">
        <f>IF($A437=VLOOKUP(YEAR($A437),'Festive dates'!$A$2:$J$5,3,FALSE),1,0)</f>
        <v>0</v>
      </c>
      <c r="U437" s="9">
        <f>IF($A437=VLOOKUP(YEAR($A437),'Festive dates'!$A$2:$J$5,4,FALSE),1,0)</f>
        <v>0</v>
      </c>
      <c r="V437" s="9">
        <f>IF(AND($A437&gt;=VLOOKUP(YEAR($A437),'Festive dates'!$A$2:$J$5,9,FALSE),$A437&lt;=VLOOKUP(YEAR($A437),'Festive dates'!$A$2:$J$5,10,FALSE)),1,0)</f>
        <v>0</v>
      </c>
      <c r="W437" s="9">
        <f>IF($A437=VLOOKUP(YEAR($A437),'Festive dates'!$A$2:$J$5,7,FALSE),1,0)</f>
        <v>0</v>
      </c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>
      <c r="A438" s="8">
        <v>45453</v>
      </c>
      <c r="B438" s="9">
        <v>0</v>
      </c>
      <c r="C438" s="9">
        <v>0</v>
      </c>
      <c r="D438" s="9">
        <v>0</v>
      </c>
      <c r="E438" s="9">
        <v>0</v>
      </c>
      <c r="F438" s="9">
        <v>0</v>
      </c>
      <c r="G438" s="9">
        <v>0</v>
      </c>
      <c r="H438" s="9">
        <v>0</v>
      </c>
      <c r="I438" s="9">
        <v>0</v>
      </c>
      <c r="J438" s="9">
        <v>0</v>
      </c>
      <c r="K438" s="9">
        <v>0</v>
      </c>
      <c r="L438" s="9">
        <v>0</v>
      </c>
      <c r="M438" s="9">
        <v>0</v>
      </c>
      <c r="N438" s="9">
        <v>0</v>
      </c>
      <c r="O438" s="9">
        <v>0</v>
      </c>
      <c r="P438" s="9">
        <v>0</v>
      </c>
      <c r="Q438" s="9">
        <f>MAX(-20,MIN(10,$A438-VLOOKUP(YEAR($A438),'Festive dates'!$A$2:$J$5,8,FALSE)))</f>
        <v>-20</v>
      </c>
      <c r="R438" s="9">
        <f>IF(AND($A438&gt;VLOOKUP(YEAR($A438),'Festive dates'!$A$2:$J$5,2,FALSE),$A438&lt;VLOOKUP(YEAR($A438),'Festive dates'!$A$2:$J$5,3,FALSE)),1,0)</f>
        <v>0</v>
      </c>
      <c r="S438" s="9">
        <f>IF($A438=VLOOKUP(YEAR($A438),'Festive dates'!$A$2:$J$5,2,FALSE),1,0)</f>
        <v>0</v>
      </c>
      <c r="T438" s="9">
        <f>IF($A438=VLOOKUP(YEAR($A438),'Festive dates'!$A$2:$J$5,3,FALSE),1,0)</f>
        <v>0</v>
      </c>
      <c r="U438" s="9">
        <f>IF($A438=VLOOKUP(YEAR($A438),'Festive dates'!$A$2:$J$5,4,FALSE),1,0)</f>
        <v>0</v>
      </c>
      <c r="V438" s="9">
        <f>IF(AND($A438&gt;=VLOOKUP(YEAR($A438),'Festive dates'!$A$2:$J$5,9,FALSE),$A438&lt;=VLOOKUP(YEAR($A438),'Festive dates'!$A$2:$J$5,10,FALSE)),1,0)</f>
        <v>0</v>
      </c>
      <c r="W438" s="9">
        <f>IF($A438=VLOOKUP(YEAR($A438),'Festive dates'!$A$2:$J$5,7,FALSE),1,0)</f>
        <v>0</v>
      </c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>
      <c r="A439" s="8">
        <v>45454</v>
      </c>
      <c r="B439" s="9">
        <v>0</v>
      </c>
      <c r="C439" s="9">
        <v>0</v>
      </c>
      <c r="D439" s="9">
        <v>0</v>
      </c>
      <c r="E439" s="9">
        <v>0</v>
      </c>
      <c r="F439" s="9">
        <v>0</v>
      </c>
      <c r="G439" s="9">
        <v>0</v>
      </c>
      <c r="H439" s="9">
        <v>0</v>
      </c>
      <c r="I439" s="9">
        <v>0</v>
      </c>
      <c r="J439" s="9">
        <v>0</v>
      </c>
      <c r="K439" s="9">
        <v>0</v>
      </c>
      <c r="L439" s="9">
        <v>0</v>
      </c>
      <c r="M439" s="9">
        <v>0</v>
      </c>
      <c r="N439" s="9">
        <v>0</v>
      </c>
      <c r="O439" s="9">
        <v>0</v>
      </c>
      <c r="P439" s="9">
        <v>0</v>
      </c>
      <c r="Q439" s="9">
        <f>MAX(-20,MIN(10,$A439-VLOOKUP(YEAR($A439),'Festive dates'!$A$2:$J$5,8,FALSE)))</f>
        <v>-20</v>
      </c>
      <c r="R439" s="9">
        <f>IF(AND($A439&gt;VLOOKUP(YEAR($A439),'Festive dates'!$A$2:$J$5,2,FALSE),$A439&lt;VLOOKUP(YEAR($A439),'Festive dates'!$A$2:$J$5,3,FALSE)),1,0)</f>
        <v>0</v>
      </c>
      <c r="S439" s="9">
        <f>IF($A439=VLOOKUP(YEAR($A439),'Festive dates'!$A$2:$J$5,2,FALSE),1,0)</f>
        <v>0</v>
      </c>
      <c r="T439" s="9">
        <f>IF($A439=VLOOKUP(YEAR($A439),'Festive dates'!$A$2:$J$5,3,FALSE),1,0)</f>
        <v>0</v>
      </c>
      <c r="U439" s="9">
        <f>IF($A439=VLOOKUP(YEAR($A439),'Festive dates'!$A$2:$J$5,4,FALSE),1,0)</f>
        <v>0</v>
      </c>
      <c r="V439" s="9">
        <f>IF(AND($A439&gt;=VLOOKUP(YEAR($A439),'Festive dates'!$A$2:$J$5,9,FALSE),$A439&lt;=VLOOKUP(YEAR($A439),'Festive dates'!$A$2:$J$5,10,FALSE)),1,0)</f>
        <v>0</v>
      </c>
      <c r="W439" s="9">
        <f>IF($A439=VLOOKUP(YEAR($A439),'Festive dates'!$A$2:$J$5,7,FALSE),1,0)</f>
        <v>0</v>
      </c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>
      <c r="A440" s="8">
        <v>45455</v>
      </c>
      <c r="B440" s="9">
        <v>0</v>
      </c>
      <c r="C440" s="9">
        <v>0</v>
      </c>
      <c r="D440" s="9">
        <v>0</v>
      </c>
      <c r="E440" s="9">
        <v>0</v>
      </c>
      <c r="F440" s="9">
        <v>0</v>
      </c>
      <c r="G440" s="9">
        <v>0</v>
      </c>
      <c r="H440" s="9">
        <v>0</v>
      </c>
      <c r="I440" s="9">
        <v>0</v>
      </c>
      <c r="J440" s="9">
        <v>0</v>
      </c>
      <c r="K440" s="9">
        <v>0</v>
      </c>
      <c r="L440" s="9">
        <v>0</v>
      </c>
      <c r="M440" s="9">
        <v>0</v>
      </c>
      <c r="N440" s="9">
        <v>0</v>
      </c>
      <c r="O440" s="9">
        <v>0</v>
      </c>
      <c r="P440" s="9">
        <v>0</v>
      </c>
      <c r="Q440" s="9">
        <f>MAX(-20,MIN(10,$A440-VLOOKUP(YEAR($A440),'Festive dates'!$A$2:$J$5,8,FALSE)))</f>
        <v>-20</v>
      </c>
      <c r="R440" s="9">
        <f>IF(AND($A440&gt;VLOOKUP(YEAR($A440),'Festive dates'!$A$2:$J$5,2,FALSE),$A440&lt;VLOOKUP(YEAR($A440),'Festive dates'!$A$2:$J$5,3,FALSE)),1,0)</f>
        <v>0</v>
      </c>
      <c r="S440" s="9">
        <f>IF($A440=VLOOKUP(YEAR($A440),'Festive dates'!$A$2:$J$5,2,FALSE),1,0)</f>
        <v>0</v>
      </c>
      <c r="T440" s="9">
        <f>IF($A440=VLOOKUP(YEAR($A440),'Festive dates'!$A$2:$J$5,3,FALSE),1,0)</f>
        <v>0</v>
      </c>
      <c r="U440" s="9">
        <f>IF($A440=VLOOKUP(YEAR($A440),'Festive dates'!$A$2:$J$5,4,FALSE),1,0)</f>
        <v>0</v>
      </c>
      <c r="V440" s="9">
        <f>IF(AND($A440&gt;=VLOOKUP(YEAR($A440),'Festive dates'!$A$2:$J$5,9,FALSE),$A440&lt;=VLOOKUP(YEAR($A440),'Festive dates'!$A$2:$J$5,10,FALSE)),1,0)</f>
        <v>0</v>
      </c>
      <c r="W440" s="9">
        <f>IF($A440=VLOOKUP(YEAR($A440),'Festive dates'!$A$2:$J$5,7,FALSE),1,0)</f>
        <v>0</v>
      </c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>
      <c r="A441" s="8">
        <v>45456</v>
      </c>
      <c r="B441" s="9">
        <v>0</v>
      </c>
      <c r="C441" s="9">
        <v>0</v>
      </c>
      <c r="D441" s="9">
        <v>0</v>
      </c>
      <c r="E441" s="9">
        <v>0</v>
      </c>
      <c r="F441" s="9">
        <v>0</v>
      </c>
      <c r="G441" s="9">
        <v>0</v>
      </c>
      <c r="H441" s="9">
        <v>0</v>
      </c>
      <c r="I441" s="9">
        <v>0</v>
      </c>
      <c r="J441" s="9">
        <v>0</v>
      </c>
      <c r="K441" s="9">
        <v>0</v>
      </c>
      <c r="L441" s="9">
        <v>0</v>
      </c>
      <c r="M441" s="9">
        <v>0</v>
      </c>
      <c r="N441" s="9">
        <v>0</v>
      </c>
      <c r="O441" s="9">
        <v>0</v>
      </c>
      <c r="P441" s="9">
        <v>0</v>
      </c>
      <c r="Q441" s="9">
        <f>MAX(-20,MIN(10,$A441-VLOOKUP(YEAR($A441),'Festive dates'!$A$2:$J$5,8,FALSE)))</f>
        <v>-20</v>
      </c>
      <c r="R441" s="9">
        <f>IF(AND($A441&gt;VLOOKUP(YEAR($A441),'Festive dates'!$A$2:$J$5,2,FALSE),$A441&lt;VLOOKUP(YEAR($A441),'Festive dates'!$A$2:$J$5,3,FALSE)),1,0)</f>
        <v>0</v>
      </c>
      <c r="S441" s="9">
        <f>IF($A441=VLOOKUP(YEAR($A441),'Festive dates'!$A$2:$J$5,2,FALSE),1,0)</f>
        <v>0</v>
      </c>
      <c r="T441" s="9">
        <f>IF($A441=VLOOKUP(YEAR($A441),'Festive dates'!$A$2:$J$5,3,FALSE),1,0)</f>
        <v>0</v>
      </c>
      <c r="U441" s="9">
        <f>IF($A441=VLOOKUP(YEAR($A441),'Festive dates'!$A$2:$J$5,4,FALSE),1,0)</f>
        <v>0</v>
      </c>
      <c r="V441" s="9">
        <f>IF(AND($A441&gt;=VLOOKUP(YEAR($A441),'Festive dates'!$A$2:$J$5,9,FALSE),$A441&lt;=VLOOKUP(YEAR($A441),'Festive dates'!$A$2:$J$5,10,FALSE)),1,0)</f>
        <v>0</v>
      </c>
      <c r="W441" s="9">
        <f>IF($A441=VLOOKUP(YEAR($A441),'Festive dates'!$A$2:$J$5,7,FALSE),1,0)</f>
        <v>0</v>
      </c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>
      <c r="A442" s="8">
        <v>45457</v>
      </c>
      <c r="B442" s="9">
        <v>0</v>
      </c>
      <c r="C442" s="9">
        <v>0</v>
      </c>
      <c r="D442" s="9">
        <v>0</v>
      </c>
      <c r="E442" s="9">
        <v>0</v>
      </c>
      <c r="F442" s="9">
        <v>0</v>
      </c>
      <c r="G442" s="9">
        <v>0</v>
      </c>
      <c r="H442" s="9">
        <v>0</v>
      </c>
      <c r="I442" s="9">
        <v>0</v>
      </c>
      <c r="J442" s="9">
        <v>0</v>
      </c>
      <c r="K442" s="9">
        <v>0</v>
      </c>
      <c r="L442" s="9">
        <v>0</v>
      </c>
      <c r="M442" s="9">
        <v>0</v>
      </c>
      <c r="N442" s="9">
        <v>0</v>
      </c>
      <c r="O442" s="9">
        <v>0</v>
      </c>
      <c r="P442" s="9">
        <v>0</v>
      </c>
      <c r="Q442" s="9">
        <f>MAX(-20,MIN(10,$A442-VLOOKUP(YEAR($A442),'Festive dates'!$A$2:$J$5,8,FALSE)))</f>
        <v>-20</v>
      </c>
      <c r="R442" s="9">
        <f>IF(AND($A442&gt;VLOOKUP(YEAR($A442),'Festive dates'!$A$2:$J$5,2,FALSE),$A442&lt;VLOOKUP(YEAR($A442),'Festive dates'!$A$2:$J$5,3,FALSE)),1,0)</f>
        <v>0</v>
      </c>
      <c r="S442" s="9">
        <f>IF($A442=VLOOKUP(YEAR($A442),'Festive dates'!$A$2:$J$5,2,FALSE),1,0)</f>
        <v>0</v>
      </c>
      <c r="T442" s="9">
        <f>IF($A442=VLOOKUP(YEAR($A442),'Festive dates'!$A$2:$J$5,3,FALSE),1,0)</f>
        <v>0</v>
      </c>
      <c r="U442" s="9">
        <f>IF($A442=VLOOKUP(YEAR($A442),'Festive dates'!$A$2:$J$5,4,FALSE),1,0)</f>
        <v>0</v>
      </c>
      <c r="V442" s="9">
        <f>IF(AND($A442&gt;=VLOOKUP(YEAR($A442),'Festive dates'!$A$2:$J$5,9,FALSE),$A442&lt;=VLOOKUP(YEAR($A442),'Festive dates'!$A$2:$J$5,10,FALSE)),1,0)</f>
        <v>0</v>
      </c>
      <c r="W442" s="9">
        <f>IF($A442=VLOOKUP(YEAR($A442),'Festive dates'!$A$2:$J$5,7,FALSE),1,0)</f>
        <v>0</v>
      </c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>
      <c r="A443" s="8">
        <v>45458</v>
      </c>
      <c r="B443" s="9">
        <v>0</v>
      </c>
      <c r="C443" s="9">
        <v>0</v>
      </c>
      <c r="D443" s="9">
        <v>0</v>
      </c>
      <c r="E443" s="9">
        <v>0</v>
      </c>
      <c r="F443" s="9">
        <v>0</v>
      </c>
      <c r="G443" s="9">
        <v>0</v>
      </c>
      <c r="H443" s="9">
        <v>0</v>
      </c>
      <c r="I443" s="9">
        <v>0</v>
      </c>
      <c r="J443" s="9">
        <v>0</v>
      </c>
      <c r="K443" s="9">
        <v>0</v>
      </c>
      <c r="L443" s="9">
        <v>0</v>
      </c>
      <c r="M443" s="9">
        <v>0</v>
      </c>
      <c r="N443" s="9">
        <v>0</v>
      </c>
      <c r="O443" s="9">
        <v>0</v>
      </c>
      <c r="P443" s="9">
        <v>0</v>
      </c>
      <c r="Q443" s="9">
        <f>MAX(-20,MIN(10,$A443-VLOOKUP(YEAR($A443),'Festive dates'!$A$2:$J$5,8,FALSE)))</f>
        <v>-20</v>
      </c>
      <c r="R443" s="9">
        <f>IF(AND($A443&gt;VLOOKUP(YEAR($A443),'Festive dates'!$A$2:$J$5,2,FALSE),$A443&lt;VLOOKUP(YEAR($A443),'Festive dates'!$A$2:$J$5,3,FALSE)),1,0)</f>
        <v>0</v>
      </c>
      <c r="S443" s="9">
        <f>IF($A443=VLOOKUP(YEAR($A443),'Festive dates'!$A$2:$J$5,2,FALSE),1,0)</f>
        <v>0</v>
      </c>
      <c r="T443" s="9">
        <f>IF($A443=VLOOKUP(YEAR($A443),'Festive dates'!$A$2:$J$5,3,FALSE),1,0)</f>
        <v>0</v>
      </c>
      <c r="U443" s="9">
        <f>IF($A443=VLOOKUP(YEAR($A443),'Festive dates'!$A$2:$J$5,4,FALSE),1,0)</f>
        <v>0</v>
      </c>
      <c r="V443" s="9">
        <f>IF(AND($A443&gt;=VLOOKUP(YEAR($A443),'Festive dates'!$A$2:$J$5,9,FALSE),$A443&lt;=VLOOKUP(YEAR($A443),'Festive dates'!$A$2:$J$5,10,FALSE)),1,0)</f>
        <v>0</v>
      </c>
      <c r="W443" s="9">
        <f>IF($A443=VLOOKUP(YEAR($A443),'Festive dates'!$A$2:$J$5,7,FALSE),1,0)</f>
        <v>0</v>
      </c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>
      <c r="A444" s="8">
        <v>45459</v>
      </c>
      <c r="B444" s="9">
        <v>0</v>
      </c>
      <c r="C444" s="9">
        <v>0</v>
      </c>
      <c r="D444" s="9">
        <v>0</v>
      </c>
      <c r="E444" s="9">
        <v>0</v>
      </c>
      <c r="F444" s="9">
        <v>0</v>
      </c>
      <c r="G444" s="9">
        <v>0</v>
      </c>
      <c r="H444" s="9">
        <v>0</v>
      </c>
      <c r="I444" s="9">
        <v>0</v>
      </c>
      <c r="J444" s="9">
        <v>0</v>
      </c>
      <c r="K444" s="9">
        <v>1</v>
      </c>
      <c r="L444" s="9">
        <v>0</v>
      </c>
      <c r="M444" s="9">
        <v>0</v>
      </c>
      <c r="N444" s="9">
        <v>0</v>
      </c>
      <c r="O444" s="9">
        <v>0</v>
      </c>
      <c r="P444" s="9">
        <v>0</v>
      </c>
      <c r="Q444" s="9">
        <f>MAX(-20,MIN(10,$A444-VLOOKUP(YEAR($A444),'Festive dates'!$A$2:$J$5,8,FALSE)))</f>
        <v>-20</v>
      </c>
      <c r="R444" s="9">
        <f>IF(AND($A444&gt;VLOOKUP(YEAR($A444),'Festive dates'!$A$2:$J$5,2,FALSE),$A444&lt;VLOOKUP(YEAR($A444),'Festive dates'!$A$2:$J$5,3,FALSE)),1,0)</f>
        <v>0</v>
      </c>
      <c r="S444" s="9">
        <f>IF($A444=VLOOKUP(YEAR($A444),'Festive dates'!$A$2:$J$5,2,FALSE),1,0)</f>
        <v>0</v>
      </c>
      <c r="T444" s="9">
        <f>IF($A444=VLOOKUP(YEAR($A444),'Festive dates'!$A$2:$J$5,3,FALSE),1,0)</f>
        <v>0</v>
      </c>
      <c r="U444" s="9">
        <f>IF($A444=VLOOKUP(YEAR($A444),'Festive dates'!$A$2:$J$5,4,FALSE),1,0)</f>
        <v>0</v>
      </c>
      <c r="V444" s="9">
        <f>IF(AND($A444&gt;=VLOOKUP(YEAR($A444),'Festive dates'!$A$2:$J$5,9,FALSE),$A444&lt;=VLOOKUP(YEAR($A444),'Festive dates'!$A$2:$J$5,10,FALSE)),1,0)</f>
        <v>0</v>
      </c>
      <c r="W444" s="9">
        <f>IF($A444=VLOOKUP(YEAR($A444),'Festive dates'!$A$2:$J$5,7,FALSE),1,0)</f>
        <v>0</v>
      </c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>
      <c r="A445" s="8">
        <v>45460</v>
      </c>
      <c r="B445" s="9">
        <v>0</v>
      </c>
      <c r="C445" s="9">
        <v>0</v>
      </c>
      <c r="D445" s="9">
        <v>0</v>
      </c>
      <c r="E445" s="9">
        <v>0</v>
      </c>
      <c r="F445" s="9">
        <v>0</v>
      </c>
      <c r="G445" s="9">
        <v>0</v>
      </c>
      <c r="H445" s="9">
        <v>0</v>
      </c>
      <c r="I445" s="9">
        <v>0</v>
      </c>
      <c r="J445" s="9">
        <v>0</v>
      </c>
      <c r="K445" s="9">
        <v>0</v>
      </c>
      <c r="L445" s="9">
        <v>0</v>
      </c>
      <c r="M445" s="9">
        <v>0</v>
      </c>
      <c r="N445" s="9">
        <v>0</v>
      </c>
      <c r="O445" s="9">
        <v>0</v>
      </c>
      <c r="P445" s="9">
        <v>0</v>
      </c>
      <c r="Q445" s="9">
        <f>MAX(-20,MIN(10,$A445-VLOOKUP(YEAR($A445),'Festive dates'!$A$2:$J$5,8,FALSE)))</f>
        <v>-20</v>
      </c>
      <c r="R445" s="9">
        <f>IF(AND($A445&gt;VLOOKUP(YEAR($A445),'Festive dates'!$A$2:$J$5,2,FALSE),$A445&lt;VLOOKUP(YEAR($A445),'Festive dates'!$A$2:$J$5,3,FALSE)),1,0)</f>
        <v>0</v>
      </c>
      <c r="S445" s="9">
        <f>IF($A445=VLOOKUP(YEAR($A445),'Festive dates'!$A$2:$J$5,2,FALSE),1,0)</f>
        <v>0</v>
      </c>
      <c r="T445" s="9">
        <f>IF($A445=VLOOKUP(YEAR($A445),'Festive dates'!$A$2:$J$5,3,FALSE),1,0)</f>
        <v>0</v>
      </c>
      <c r="U445" s="9">
        <f>IF($A445=VLOOKUP(YEAR($A445),'Festive dates'!$A$2:$J$5,4,FALSE),1,0)</f>
        <v>0</v>
      </c>
      <c r="V445" s="9">
        <f>IF(AND($A445&gt;=VLOOKUP(YEAR($A445),'Festive dates'!$A$2:$J$5,9,FALSE),$A445&lt;=VLOOKUP(YEAR($A445),'Festive dates'!$A$2:$J$5,10,FALSE)),1,0)</f>
        <v>0</v>
      </c>
      <c r="W445" s="9">
        <f>IF($A445=VLOOKUP(YEAR($A445),'Festive dates'!$A$2:$J$5,7,FALSE),1,0)</f>
        <v>0</v>
      </c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>
      <c r="A446" s="8">
        <v>45461</v>
      </c>
      <c r="B446" s="9">
        <v>0</v>
      </c>
      <c r="C446" s="9">
        <v>0</v>
      </c>
      <c r="D446" s="9">
        <v>0</v>
      </c>
      <c r="E446" s="9">
        <v>0</v>
      </c>
      <c r="F446" s="9">
        <v>0</v>
      </c>
      <c r="G446" s="9">
        <v>0</v>
      </c>
      <c r="H446" s="9">
        <v>0</v>
      </c>
      <c r="I446" s="9">
        <v>0</v>
      </c>
      <c r="J446" s="9">
        <v>0</v>
      </c>
      <c r="K446" s="9">
        <v>0</v>
      </c>
      <c r="L446" s="9">
        <v>0</v>
      </c>
      <c r="M446" s="9">
        <v>0</v>
      </c>
      <c r="N446" s="9">
        <v>0</v>
      </c>
      <c r="O446" s="9">
        <v>0</v>
      </c>
      <c r="P446" s="9">
        <v>0</v>
      </c>
      <c r="Q446" s="9">
        <f>MAX(-20,MIN(10,$A446-VLOOKUP(YEAR($A446),'Festive dates'!$A$2:$J$5,8,FALSE)))</f>
        <v>-20</v>
      </c>
      <c r="R446" s="9">
        <f>IF(AND($A446&gt;VLOOKUP(YEAR($A446),'Festive dates'!$A$2:$J$5,2,FALSE),$A446&lt;VLOOKUP(YEAR($A446),'Festive dates'!$A$2:$J$5,3,FALSE)),1,0)</f>
        <v>0</v>
      </c>
      <c r="S446" s="9">
        <f>IF($A446=VLOOKUP(YEAR($A446),'Festive dates'!$A$2:$J$5,2,FALSE),1,0)</f>
        <v>0</v>
      </c>
      <c r="T446" s="9">
        <f>IF($A446=VLOOKUP(YEAR($A446),'Festive dates'!$A$2:$J$5,3,FALSE),1,0)</f>
        <v>0</v>
      </c>
      <c r="U446" s="9">
        <f>IF($A446=VLOOKUP(YEAR($A446),'Festive dates'!$A$2:$J$5,4,FALSE),1,0)</f>
        <v>0</v>
      </c>
      <c r="V446" s="9">
        <f>IF(AND($A446&gt;=VLOOKUP(YEAR($A446),'Festive dates'!$A$2:$J$5,9,FALSE),$A446&lt;=VLOOKUP(YEAR($A446),'Festive dates'!$A$2:$J$5,10,FALSE)),1,0)</f>
        <v>0</v>
      </c>
      <c r="W446" s="9">
        <f>IF($A446=VLOOKUP(YEAR($A446),'Festive dates'!$A$2:$J$5,7,FALSE),1,0)</f>
        <v>0</v>
      </c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>
      <c r="A447" s="8">
        <v>45462</v>
      </c>
      <c r="B447" s="9">
        <v>0</v>
      </c>
      <c r="C447" s="9">
        <v>0</v>
      </c>
      <c r="D447" s="9">
        <v>0</v>
      </c>
      <c r="E447" s="9">
        <v>0</v>
      </c>
      <c r="F447" s="9">
        <v>0</v>
      </c>
      <c r="G447" s="9">
        <v>0</v>
      </c>
      <c r="H447" s="9">
        <v>0</v>
      </c>
      <c r="I447" s="9">
        <v>0</v>
      </c>
      <c r="J447" s="9">
        <v>0</v>
      </c>
      <c r="K447" s="9">
        <v>0</v>
      </c>
      <c r="L447" s="9">
        <v>0</v>
      </c>
      <c r="M447" s="9">
        <v>0</v>
      </c>
      <c r="N447" s="9">
        <v>0</v>
      </c>
      <c r="O447" s="9">
        <v>0</v>
      </c>
      <c r="P447" s="9">
        <v>0</v>
      </c>
      <c r="Q447" s="9">
        <f>MAX(-20,MIN(10,$A447-VLOOKUP(YEAR($A447),'Festive dates'!$A$2:$J$5,8,FALSE)))</f>
        <v>-20</v>
      </c>
      <c r="R447" s="9">
        <f>IF(AND($A447&gt;VLOOKUP(YEAR($A447),'Festive dates'!$A$2:$J$5,2,FALSE),$A447&lt;VLOOKUP(YEAR($A447),'Festive dates'!$A$2:$J$5,3,FALSE)),1,0)</f>
        <v>0</v>
      </c>
      <c r="S447" s="9">
        <f>IF($A447=VLOOKUP(YEAR($A447),'Festive dates'!$A$2:$J$5,2,FALSE),1,0)</f>
        <v>0</v>
      </c>
      <c r="T447" s="9">
        <f>IF($A447=VLOOKUP(YEAR($A447),'Festive dates'!$A$2:$J$5,3,FALSE),1,0)</f>
        <v>0</v>
      </c>
      <c r="U447" s="9">
        <f>IF($A447=VLOOKUP(YEAR($A447),'Festive dates'!$A$2:$J$5,4,FALSE),1,0)</f>
        <v>0</v>
      </c>
      <c r="V447" s="9">
        <f>IF(AND($A447&gt;=VLOOKUP(YEAR($A447),'Festive dates'!$A$2:$J$5,9,FALSE),$A447&lt;=VLOOKUP(YEAR($A447),'Festive dates'!$A$2:$J$5,10,FALSE)),1,0)</f>
        <v>0</v>
      </c>
      <c r="W447" s="9">
        <f>IF($A447=VLOOKUP(YEAR($A447),'Festive dates'!$A$2:$J$5,7,FALSE),1,0)</f>
        <v>0</v>
      </c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>
      <c r="A448" s="8">
        <v>45463</v>
      </c>
      <c r="B448" s="9">
        <v>0</v>
      </c>
      <c r="C448" s="9">
        <v>0</v>
      </c>
      <c r="D448" s="9">
        <v>0</v>
      </c>
      <c r="E448" s="9">
        <v>0</v>
      </c>
      <c r="F448" s="9">
        <v>0</v>
      </c>
      <c r="G448" s="9">
        <v>0</v>
      </c>
      <c r="H448" s="9">
        <v>0</v>
      </c>
      <c r="I448" s="9">
        <v>0</v>
      </c>
      <c r="J448" s="9">
        <v>0</v>
      </c>
      <c r="K448" s="9">
        <v>0</v>
      </c>
      <c r="L448" s="9">
        <v>0</v>
      </c>
      <c r="M448" s="9">
        <v>0</v>
      </c>
      <c r="N448" s="9">
        <v>0</v>
      </c>
      <c r="O448" s="9">
        <v>0</v>
      </c>
      <c r="P448" s="9">
        <v>0</v>
      </c>
      <c r="Q448" s="9">
        <f>MAX(-20,MIN(10,$A448-VLOOKUP(YEAR($A448),'Festive dates'!$A$2:$J$5,8,FALSE)))</f>
        <v>-20</v>
      </c>
      <c r="R448" s="9">
        <f>IF(AND($A448&gt;VLOOKUP(YEAR($A448),'Festive dates'!$A$2:$J$5,2,FALSE),$A448&lt;VLOOKUP(YEAR($A448),'Festive dates'!$A$2:$J$5,3,FALSE)),1,0)</f>
        <v>0</v>
      </c>
      <c r="S448" s="9">
        <f>IF($A448=VLOOKUP(YEAR($A448),'Festive dates'!$A$2:$J$5,2,FALSE),1,0)</f>
        <v>0</v>
      </c>
      <c r="T448" s="9">
        <f>IF($A448=VLOOKUP(YEAR($A448),'Festive dates'!$A$2:$J$5,3,FALSE),1,0)</f>
        <v>0</v>
      </c>
      <c r="U448" s="9">
        <f>IF($A448=VLOOKUP(YEAR($A448),'Festive dates'!$A$2:$J$5,4,FALSE),1,0)</f>
        <v>0</v>
      </c>
      <c r="V448" s="9">
        <f>IF(AND($A448&gt;=VLOOKUP(YEAR($A448),'Festive dates'!$A$2:$J$5,9,FALSE),$A448&lt;=VLOOKUP(YEAR($A448),'Festive dates'!$A$2:$J$5,10,FALSE)),1,0)</f>
        <v>0</v>
      </c>
      <c r="W448" s="9">
        <f>IF($A448=VLOOKUP(YEAR($A448),'Festive dates'!$A$2:$J$5,7,FALSE),1,0)</f>
        <v>0</v>
      </c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>
      <c r="A449" s="8">
        <v>45464</v>
      </c>
      <c r="B449" s="9">
        <v>0</v>
      </c>
      <c r="C449" s="9">
        <v>0</v>
      </c>
      <c r="D449" s="9">
        <v>0</v>
      </c>
      <c r="E449" s="9">
        <v>0</v>
      </c>
      <c r="F449" s="9">
        <v>0</v>
      </c>
      <c r="G449" s="9">
        <v>0</v>
      </c>
      <c r="H449" s="9">
        <v>0</v>
      </c>
      <c r="I449" s="9">
        <v>0</v>
      </c>
      <c r="J449" s="9">
        <v>0</v>
      </c>
      <c r="K449" s="9">
        <v>0</v>
      </c>
      <c r="L449" s="9">
        <v>0</v>
      </c>
      <c r="M449" s="9">
        <v>0</v>
      </c>
      <c r="N449" s="9">
        <v>0</v>
      </c>
      <c r="O449" s="9">
        <v>0</v>
      </c>
      <c r="P449" s="9">
        <v>0</v>
      </c>
      <c r="Q449" s="9">
        <f>MAX(-20,MIN(10,$A449-VLOOKUP(YEAR($A449),'Festive dates'!$A$2:$J$5,8,FALSE)))</f>
        <v>-20</v>
      </c>
      <c r="R449" s="9">
        <f>IF(AND($A449&gt;VLOOKUP(YEAR($A449),'Festive dates'!$A$2:$J$5,2,FALSE),$A449&lt;VLOOKUP(YEAR($A449),'Festive dates'!$A$2:$J$5,3,FALSE)),1,0)</f>
        <v>0</v>
      </c>
      <c r="S449" s="9">
        <f>IF($A449=VLOOKUP(YEAR($A449),'Festive dates'!$A$2:$J$5,2,FALSE),1,0)</f>
        <v>0</v>
      </c>
      <c r="T449" s="9">
        <f>IF($A449=VLOOKUP(YEAR($A449),'Festive dates'!$A$2:$J$5,3,FALSE),1,0)</f>
        <v>0</v>
      </c>
      <c r="U449" s="9">
        <f>IF($A449=VLOOKUP(YEAR($A449),'Festive dates'!$A$2:$J$5,4,FALSE),1,0)</f>
        <v>0</v>
      </c>
      <c r="V449" s="9">
        <f>IF(AND($A449&gt;=VLOOKUP(YEAR($A449),'Festive dates'!$A$2:$J$5,9,FALSE),$A449&lt;=VLOOKUP(YEAR($A449),'Festive dates'!$A$2:$J$5,10,FALSE)),1,0)</f>
        <v>0</v>
      </c>
      <c r="W449" s="9">
        <f>IF($A449=VLOOKUP(YEAR($A449),'Festive dates'!$A$2:$J$5,7,FALSE),1,0)</f>
        <v>0</v>
      </c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>
      <c r="A450" s="8">
        <v>45465</v>
      </c>
      <c r="B450" s="9">
        <v>0</v>
      </c>
      <c r="C450" s="9">
        <v>0</v>
      </c>
      <c r="D450" s="9">
        <v>0</v>
      </c>
      <c r="E450" s="9">
        <v>0</v>
      </c>
      <c r="F450" s="9">
        <v>0</v>
      </c>
      <c r="G450" s="9">
        <v>0</v>
      </c>
      <c r="H450" s="9">
        <v>0</v>
      </c>
      <c r="I450" s="9">
        <v>0</v>
      </c>
      <c r="J450" s="9">
        <v>0</v>
      </c>
      <c r="K450" s="9">
        <v>0</v>
      </c>
      <c r="L450" s="9">
        <v>0</v>
      </c>
      <c r="M450" s="9">
        <v>0</v>
      </c>
      <c r="N450" s="9">
        <v>0</v>
      </c>
      <c r="O450" s="9">
        <v>0</v>
      </c>
      <c r="P450" s="9">
        <v>0</v>
      </c>
      <c r="Q450" s="9">
        <f>MAX(-20,MIN(10,$A450-VLOOKUP(YEAR($A450),'Festive dates'!$A$2:$J$5,8,FALSE)))</f>
        <v>-20</v>
      </c>
      <c r="R450" s="9">
        <f>IF(AND($A450&gt;VLOOKUP(YEAR($A450),'Festive dates'!$A$2:$J$5,2,FALSE),$A450&lt;VLOOKUP(YEAR($A450),'Festive dates'!$A$2:$J$5,3,FALSE)),1,0)</f>
        <v>0</v>
      </c>
      <c r="S450" s="9">
        <f>IF($A450=VLOOKUP(YEAR($A450),'Festive dates'!$A$2:$J$5,2,FALSE),1,0)</f>
        <v>0</v>
      </c>
      <c r="T450" s="9">
        <f>IF($A450=VLOOKUP(YEAR($A450),'Festive dates'!$A$2:$J$5,3,FALSE),1,0)</f>
        <v>0</v>
      </c>
      <c r="U450" s="9">
        <f>IF($A450=VLOOKUP(YEAR($A450),'Festive dates'!$A$2:$J$5,4,FALSE),1,0)</f>
        <v>0</v>
      </c>
      <c r="V450" s="9">
        <f>IF(AND($A450&gt;=VLOOKUP(YEAR($A450),'Festive dates'!$A$2:$J$5,9,FALSE),$A450&lt;=VLOOKUP(YEAR($A450),'Festive dates'!$A$2:$J$5,10,FALSE)),1,0)</f>
        <v>0</v>
      </c>
      <c r="W450" s="9">
        <f>IF($A450=VLOOKUP(YEAR($A450),'Festive dates'!$A$2:$J$5,7,FALSE),1,0)</f>
        <v>0</v>
      </c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>
      <c r="A451" s="8">
        <v>45466</v>
      </c>
      <c r="B451" s="9">
        <v>0</v>
      </c>
      <c r="C451" s="9">
        <v>0</v>
      </c>
      <c r="D451" s="9">
        <v>0</v>
      </c>
      <c r="E451" s="9">
        <v>0</v>
      </c>
      <c r="F451" s="9">
        <v>0</v>
      </c>
      <c r="G451" s="9">
        <v>0</v>
      </c>
      <c r="H451" s="9">
        <v>0</v>
      </c>
      <c r="I451" s="9">
        <v>0</v>
      </c>
      <c r="J451" s="9">
        <v>0</v>
      </c>
      <c r="K451" s="9">
        <v>0</v>
      </c>
      <c r="L451" s="9">
        <v>0</v>
      </c>
      <c r="M451" s="9">
        <v>0</v>
      </c>
      <c r="N451" s="9">
        <v>0</v>
      </c>
      <c r="O451" s="9">
        <v>0</v>
      </c>
      <c r="P451" s="9">
        <v>0</v>
      </c>
      <c r="Q451" s="9">
        <f>MAX(-20,MIN(10,$A451-VLOOKUP(YEAR($A451),'Festive dates'!$A$2:$J$5,8,FALSE)))</f>
        <v>-20</v>
      </c>
      <c r="R451" s="9">
        <f>IF(AND($A451&gt;VLOOKUP(YEAR($A451),'Festive dates'!$A$2:$J$5,2,FALSE),$A451&lt;VLOOKUP(YEAR($A451),'Festive dates'!$A$2:$J$5,3,FALSE)),1,0)</f>
        <v>0</v>
      </c>
      <c r="S451" s="9">
        <f>IF($A451=VLOOKUP(YEAR($A451),'Festive dates'!$A$2:$J$5,2,FALSE),1,0)</f>
        <v>0</v>
      </c>
      <c r="T451" s="9">
        <f>IF($A451=VLOOKUP(YEAR($A451),'Festive dates'!$A$2:$J$5,3,FALSE),1,0)</f>
        <v>0</v>
      </c>
      <c r="U451" s="9">
        <f>IF($A451=VLOOKUP(YEAR($A451),'Festive dates'!$A$2:$J$5,4,FALSE),1,0)</f>
        <v>0</v>
      </c>
      <c r="V451" s="9">
        <f>IF(AND($A451&gt;=VLOOKUP(YEAR($A451),'Festive dates'!$A$2:$J$5,9,FALSE),$A451&lt;=VLOOKUP(YEAR($A451),'Festive dates'!$A$2:$J$5,10,FALSE)),1,0)</f>
        <v>0</v>
      </c>
      <c r="W451" s="9">
        <f>IF($A451=VLOOKUP(YEAR($A451),'Festive dates'!$A$2:$J$5,7,FALSE),1,0)</f>
        <v>0</v>
      </c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>
      <c r="A452" s="8">
        <v>45467</v>
      </c>
      <c r="B452" s="9">
        <v>0</v>
      </c>
      <c r="C452" s="9">
        <v>0</v>
      </c>
      <c r="D452" s="9">
        <v>0</v>
      </c>
      <c r="E452" s="9">
        <v>0</v>
      </c>
      <c r="F452" s="9">
        <v>0</v>
      </c>
      <c r="G452" s="9">
        <v>0</v>
      </c>
      <c r="H452" s="9">
        <v>0</v>
      </c>
      <c r="I452" s="9">
        <v>0</v>
      </c>
      <c r="J452" s="9">
        <v>0</v>
      </c>
      <c r="K452" s="9">
        <v>0</v>
      </c>
      <c r="L452" s="9">
        <v>0</v>
      </c>
      <c r="M452" s="9">
        <v>0</v>
      </c>
      <c r="N452" s="9">
        <v>0</v>
      </c>
      <c r="O452" s="9">
        <v>0</v>
      </c>
      <c r="P452" s="9">
        <v>0</v>
      </c>
      <c r="Q452" s="9">
        <f>MAX(-20,MIN(10,$A452-VLOOKUP(YEAR($A452),'Festive dates'!$A$2:$J$5,8,FALSE)))</f>
        <v>-20</v>
      </c>
      <c r="R452" s="9">
        <f>IF(AND($A452&gt;VLOOKUP(YEAR($A452),'Festive dates'!$A$2:$J$5,2,FALSE),$A452&lt;VLOOKUP(YEAR($A452),'Festive dates'!$A$2:$J$5,3,FALSE)),1,0)</f>
        <v>0</v>
      </c>
      <c r="S452" s="9">
        <f>IF($A452=VLOOKUP(YEAR($A452),'Festive dates'!$A$2:$J$5,2,FALSE),1,0)</f>
        <v>0</v>
      </c>
      <c r="T452" s="9">
        <f>IF($A452=VLOOKUP(YEAR($A452),'Festive dates'!$A$2:$J$5,3,FALSE),1,0)</f>
        <v>0</v>
      </c>
      <c r="U452" s="9">
        <f>IF($A452=VLOOKUP(YEAR($A452),'Festive dates'!$A$2:$J$5,4,FALSE),1,0)</f>
        <v>0</v>
      </c>
      <c r="V452" s="9">
        <f>IF(AND($A452&gt;=VLOOKUP(YEAR($A452),'Festive dates'!$A$2:$J$5,9,FALSE),$A452&lt;=VLOOKUP(YEAR($A452),'Festive dates'!$A$2:$J$5,10,FALSE)),1,0)</f>
        <v>0</v>
      </c>
      <c r="W452" s="9">
        <f>IF($A452=VLOOKUP(YEAR($A452),'Festive dates'!$A$2:$J$5,7,FALSE),1,0)</f>
        <v>0</v>
      </c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>
      <c r="A453" s="8">
        <v>45468</v>
      </c>
      <c r="B453" s="9">
        <v>0</v>
      </c>
      <c r="C453" s="9">
        <v>0</v>
      </c>
      <c r="D453" s="9">
        <v>0</v>
      </c>
      <c r="E453" s="9">
        <v>0</v>
      </c>
      <c r="F453" s="9">
        <v>0</v>
      </c>
      <c r="G453" s="9">
        <v>0</v>
      </c>
      <c r="H453" s="9">
        <v>0</v>
      </c>
      <c r="I453" s="9">
        <v>0</v>
      </c>
      <c r="J453" s="9">
        <v>0</v>
      </c>
      <c r="K453" s="9">
        <v>0</v>
      </c>
      <c r="L453" s="9">
        <v>0</v>
      </c>
      <c r="M453" s="9">
        <v>0</v>
      </c>
      <c r="N453" s="9">
        <v>0</v>
      </c>
      <c r="O453" s="9">
        <v>0</v>
      </c>
      <c r="P453" s="9">
        <v>0</v>
      </c>
      <c r="Q453" s="9">
        <f>MAX(-20,MIN(10,$A453-VLOOKUP(YEAR($A453),'Festive dates'!$A$2:$J$5,8,FALSE)))</f>
        <v>-20</v>
      </c>
      <c r="R453" s="9">
        <f>IF(AND($A453&gt;VLOOKUP(YEAR($A453),'Festive dates'!$A$2:$J$5,2,FALSE),$A453&lt;VLOOKUP(YEAR($A453),'Festive dates'!$A$2:$J$5,3,FALSE)),1,0)</f>
        <v>0</v>
      </c>
      <c r="S453" s="9">
        <f>IF($A453=VLOOKUP(YEAR($A453),'Festive dates'!$A$2:$J$5,2,FALSE),1,0)</f>
        <v>0</v>
      </c>
      <c r="T453" s="9">
        <f>IF($A453=VLOOKUP(YEAR($A453),'Festive dates'!$A$2:$J$5,3,FALSE),1,0)</f>
        <v>0</v>
      </c>
      <c r="U453" s="9">
        <f>IF($A453=VLOOKUP(YEAR($A453),'Festive dates'!$A$2:$J$5,4,FALSE),1,0)</f>
        <v>0</v>
      </c>
      <c r="V453" s="9">
        <f>IF(AND($A453&gt;=VLOOKUP(YEAR($A453),'Festive dates'!$A$2:$J$5,9,FALSE),$A453&lt;=VLOOKUP(YEAR($A453),'Festive dates'!$A$2:$J$5,10,FALSE)),1,0)</f>
        <v>0</v>
      </c>
      <c r="W453" s="9">
        <f>IF($A453=VLOOKUP(YEAR($A453),'Festive dates'!$A$2:$J$5,7,FALSE),1,0)</f>
        <v>0</v>
      </c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>
      <c r="A454" s="8">
        <v>45469</v>
      </c>
      <c r="B454" s="9">
        <v>0</v>
      </c>
      <c r="C454" s="9">
        <v>0</v>
      </c>
      <c r="D454" s="9">
        <v>0</v>
      </c>
      <c r="E454" s="9">
        <v>0</v>
      </c>
      <c r="F454" s="9">
        <v>0</v>
      </c>
      <c r="G454" s="9">
        <v>0</v>
      </c>
      <c r="H454" s="9">
        <v>0</v>
      </c>
      <c r="I454" s="9">
        <v>0</v>
      </c>
      <c r="J454" s="9">
        <v>0</v>
      </c>
      <c r="K454" s="9">
        <v>0</v>
      </c>
      <c r="L454" s="9">
        <v>0</v>
      </c>
      <c r="M454" s="9">
        <v>0</v>
      </c>
      <c r="N454" s="9">
        <v>0</v>
      </c>
      <c r="O454" s="9">
        <v>0</v>
      </c>
      <c r="P454" s="9">
        <v>0</v>
      </c>
      <c r="Q454" s="9">
        <f>MAX(-20,MIN(10,$A454-VLOOKUP(YEAR($A454),'Festive dates'!$A$2:$J$5,8,FALSE)))</f>
        <v>-20</v>
      </c>
      <c r="R454" s="9">
        <f>IF(AND($A454&gt;VLOOKUP(YEAR($A454),'Festive dates'!$A$2:$J$5,2,FALSE),$A454&lt;VLOOKUP(YEAR($A454),'Festive dates'!$A$2:$J$5,3,FALSE)),1,0)</f>
        <v>0</v>
      </c>
      <c r="S454" s="9">
        <f>IF($A454=VLOOKUP(YEAR($A454),'Festive dates'!$A$2:$J$5,2,FALSE),1,0)</f>
        <v>0</v>
      </c>
      <c r="T454" s="9">
        <f>IF($A454=VLOOKUP(YEAR($A454),'Festive dates'!$A$2:$J$5,3,FALSE),1,0)</f>
        <v>0</v>
      </c>
      <c r="U454" s="9">
        <f>IF($A454=VLOOKUP(YEAR($A454),'Festive dates'!$A$2:$J$5,4,FALSE),1,0)</f>
        <v>0</v>
      </c>
      <c r="V454" s="9">
        <f>IF(AND($A454&gt;=VLOOKUP(YEAR($A454),'Festive dates'!$A$2:$J$5,9,FALSE),$A454&lt;=VLOOKUP(YEAR($A454),'Festive dates'!$A$2:$J$5,10,FALSE)),1,0)</f>
        <v>0</v>
      </c>
      <c r="W454" s="9">
        <f>IF($A454=VLOOKUP(YEAR($A454),'Festive dates'!$A$2:$J$5,7,FALSE),1,0)</f>
        <v>0</v>
      </c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>
      <c r="A455" s="8">
        <v>45470</v>
      </c>
      <c r="B455" s="9">
        <v>0</v>
      </c>
      <c r="C455" s="9">
        <v>0</v>
      </c>
      <c r="D455" s="9">
        <v>0</v>
      </c>
      <c r="E455" s="9">
        <v>0</v>
      </c>
      <c r="F455" s="9">
        <v>0</v>
      </c>
      <c r="G455" s="9">
        <v>0</v>
      </c>
      <c r="H455" s="9">
        <v>0</v>
      </c>
      <c r="I455" s="9">
        <v>0</v>
      </c>
      <c r="J455" s="9">
        <v>0</v>
      </c>
      <c r="K455" s="9">
        <v>0</v>
      </c>
      <c r="L455" s="9">
        <v>0</v>
      </c>
      <c r="M455" s="9">
        <v>0</v>
      </c>
      <c r="N455" s="9">
        <v>0</v>
      </c>
      <c r="O455" s="9">
        <v>0</v>
      </c>
      <c r="P455" s="9">
        <v>0</v>
      </c>
      <c r="Q455" s="9">
        <f>MAX(-20,MIN(10,$A455-VLOOKUP(YEAR($A455),'Festive dates'!$A$2:$J$5,8,FALSE)))</f>
        <v>-20</v>
      </c>
      <c r="R455" s="9">
        <f>IF(AND($A455&gt;VLOOKUP(YEAR($A455),'Festive dates'!$A$2:$J$5,2,FALSE),$A455&lt;VLOOKUP(YEAR($A455),'Festive dates'!$A$2:$J$5,3,FALSE)),1,0)</f>
        <v>0</v>
      </c>
      <c r="S455" s="9">
        <f>IF($A455=VLOOKUP(YEAR($A455),'Festive dates'!$A$2:$J$5,2,FALSE),1,0)</f>
        <v>0</v>
      </c>
      <c r="T455" s="9">
        <f>IF($A455=VLOOKUP(YEAR($A455),'Festive dates'!$A$2:$J$5,3,FALSE),1,0)</f>
        <v>0</v>
      </c>
      <c r="U455" s="9">
        <f>IF($A455=VLOOKUP(YEAR($A455),'Festive dates'!$A$2:$J$5,4,FALSE),1,0)</f>
        <v>0</v>
      </c>
      <c r="V455" s="9">
        <f>IF(AND($A455&gt;=VLOOKUP(YEAR($A455),'Festive dates'!$A$2:$J$5,9,FALSE),$A455&lt;=VLOOKUP(YEAR($A455),'Festive dates'!$A$2:$J$5,10,FALSE)),1,0)</f>
        <v>0</v>
      </c>
      <c r="W455" s="9">
        <f>IF($A455=VLOOKUP(YEAR($A455),'Festive dates'!$A$2:$J$5,7,FALSE),1,0)</f>
        <v>0</v>
      </c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>
      <c r="A456" s="8">
        <v>45471</v>
      </c>
      <c r="B456" s="9">
        <v>0</v>
      </c>
      <c r="C456" s="9">
        <v>0</v>
      </c>
      <c r="D456" s="9">
        <v>0</v>
      </c>
      <c r="E456" s="9">
        <v>0</v>
      </c>
      <c r="F456" s="9">
        <v>0</v>
      </c>
      <c r="G456" s="9">
        <v>0</v>
      </c>
      <c r="H456" s="9">
        <v>0</v>
      </c>
      <c r="I456" s="9">
        <v>0</v>
      </c>
      <c r="J456" s="9">
        <v>0</v>
      </c>
      <c r="K456" s="9">
        <v>0</v>
      </c>
      <c r="L456" s="9">
        <v>0</v>
      </c>
      <c r="M456" s="9">
        <v>0</v>
      </c>
      <c r="N456" s="9">
        <v>0</v>
      </c>
      <c r="O456" s="9">
        <v>0</v>
      </c>
      <c r="P456" s="9">
        <v>0</v>
      </c>
      <c r="Q456" s="9">
        <f>MAX(-20,MIN(10,$A456-VLOOKUP(YEAR($A456),'Festive dates'!$A$2:$J$5,8,FALSE)))</f>
        <v>-20</v>
      </c>
      <c r="R456" s="9">
        <f>IF(AND($A456&gt;VLOOKUP(YEAR($A456),'Festive dates'!$A$2:$J$5,2,FALSE),$A456&lt;VLOOKUP(YEAR($A456),'Festive dates'!$A$2:$J$5,3,FALSE)),1,0)</f>
        <v>0</v>
      </c>
      <c r="S456" s="9">
        <f>IF($A456=VLOOKUP(YEAR($A456),'Festive dates'!$A$2:$J$5,2,FALSE),1,0)</f>
        <v>0</v>
      </c>
      <c r="T456" s="9">
        <f>IF($A456=VLOOKUP(YEAR($A456),'Festive dates'!$A$2:$J$5,3,FALSE),1,0)</f>
        <v>0</v>
      </c>
      <c r="U456" s="9">
        <f>IF($A456=VLOOKUP(YEAR($A456),'Festive dates'!$A$2:$J$5,4,FALSE),1,0)</f>
        <v>0</v>
      </c>
      <c r="V456" s="9">
        <f>IF(AND($A456&gt;=VLOOKUP(YEAR($A456),'Festive dates'!$A$2:$J$5,9,FALSE),$A456&lt;=VLOOKUP(YEAR($A456),'Festive dates'!$A$2:$J$5,10,FALSE)),1,0)</f>
        <v>0</v>
      </c>
      <c r="W456" s="9">
        <f>IF($A456=VLOOKUP(YEAR($A456),'Festive dates'!$A$2:$J$5,7,FALSE),1,0)</f>
        <v>0</v>
      </c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>
      <c r="A457" s="8">
        <v>45472</v>
      </c>
      <c r="B457" s="9">
        <v>0</v>
      </c>
      <c r="C457" s="9">
        <v>0</v>
      </c>
      <c r="D457" s="9">
        <v>0</v>
      </c>
      <c r="E457" s="9">
        <v>0</v>
      </c>
      <c r="F457" s="9">
        <v>0</v>
      </c>
      <c r="G457" s="9">
        <v>0</v>
      </c>
      <c r="H457" s="9">
        <v>0</v>
      </c>
      <c r="I457" s="9">
        <v>0</v>
      </c>
      <c r="J457" s="9">
        <v>0</v>
      </c>
      <c r="K457" s="9">
        <v>0</v>
      </c>
      <c r="L457" s="9">
        <v>0</v>
      </c>
      <c r="M457" s="9">
        <v>0</v>
      </c>
      <c r="N457" s="9">
        <v>0</v>
      </c>
      <c r="O457" s="9">
        <v>0</v>
      </c>
      <c r="P457" s="9">
        <v>0</v>
      </c>
      <c r="Q457" s="9">
        <f>MAX(-20,MIN(10,$A457-VLOOKUP(YEAR($A457),'Festive dates'!$A$2:$J$5,8,FALSE)))</f>
        <v>-20</v>
      </c>
      <c r="R457" s="9">
        <f>IF(AND($A457&gt;VLOOKUP(YEAR($A457),'Festive dates'!$A$2:$J$5,2,FALSE),$A457&lt;VLOOKUP(YEAR($A457),'Festive dates'!$A$2:$J$5,3,FALSE)),1,0)</f>
        <v>0</v>
      </c>
      <c r="S457" s="9">
        <f>IF($A457=VLOOKUP(YEAR($A457),'Festive dates'!$A$2:$J$5,2,FALSE),1,0)</f>
        <v>0</v>
      </c>
      <c r="T457" s="9">
        <f>IF($A457=VLOOKUP(YEAR($A457),'Festive dates'!$A$2:$J$5,3,FALSE),1,0)</f>
        <v>0</v>
      </c>
      <c r="U457" s="9">
        <f>IF($A457=VLOOKUP(YEAR($A457),'Festive dates'!$A$2:$J$5,4,FALSE),1,0)</f>
        <v>0</v>
      </c>
      <c r="V457" s="9">
        <f>IF(AND($A457&gt;=VLOOKUP(YEAR($A457),'Festive dates'!$A$2:$J$5,9,FALSE),$A457&lt;=VLOOKUP(YEAR($A457),'Festive dates'!$A$2:$J$5,10,FALSE)),1,0)</f>
        <v>0</v>
      </c>
      <c r="W457" s="9">
        <f>IF($A457=VLOOKUP(YEAR($A457),'Festive dates'!$A$2:$J$5,7,FALSE),1,0)</f>
        <v>0</v>
      </c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>
      <c r="A458" s="8">
        <v>45473</v>
      </c>
      <c r="B458" s="9">
        <v>0</v>
      </c>
      <c r="C458" s="9">
        <v>0</v>
      </c>
      <c r="D458" s="9">
        <v>0</v>
      </c>
      <c r="E458" s="9">
        <v>0</v>
      </c>
      <c r="F458" s="9">
        <v>0</v>
      </c>
      <c r="G458" s="9">
        <v>0</v>
      </c>
      <c r="H458" s="9">
        <v>0</v>
      </c>
      <c r="I458" s="9">
        <v>0</v>
      </c>
      <c r="J458" s="9">
        <v>0</v>
      </c>
      <c r="K458" s="9">
        <v>0</v>
      </c>
      <c r="L458" s="9">
        <v>0</v>
      </c>
      <c r="M458" s="9">
        <v>0</v>
      </c>
      <c r="N458" s="9">
        <v>0</v>
      </c>
      <c r="O458" s="9">
        <v>0</v>
      </c>
      <c r="P458" s="9">
        <v>0</v>
      </c>
      <c r="Q458" s="9">
        <f>MAX(-20,MIN(10,$A458-VLOOKUP(YEAR($A458),'Festive dates'!$A$2:$J$5,8,FALSE)))</f>
        <v>-20</v>
      </c>
      <c r="R458" s="9">
        <f>IF(AND($A458&gt;VLOOKUP(YEAR($A458),'Festive dates'!$A$2:$J$5,2,FALSE),$A458&lt;VLOOKUP(YEAR($A458),'Festive dates'!$A$2:$J$5,3,FALSE)),1,0)</f>
        <v>0</v>
      </c>
      <c r="S458" s="9">
        <f>IF($A458=VLOOKUP(YEAR($A458),'Festive dates'!$A$2:$J$5,2,FALSE),1,0)</f>
        <v>0</v>
      </c>
      <c r="T458" s="9">
        <f>IF($A458=VLOOKUP(YEAR($A458),'Festive dates'!$A$2:$J$5,3,FALSE),1,0)</f>
        <v>0</v>
      </c>
      <c r="U458" s="9">
        <f>IF($A458=VLOOKUP(YEAR($A458),'Festive dates'!$A$2:$J$5,4,FALSE),1,0)</f>
        <v>0</v>
      </c>
      <c r="V458" s="9">
        <f>IF(AND($A458&gt;=VLOOKUP(YEAR($A458),'Festive dates'!$A$2:$J$5,9,FALSE),$A458&lt;=VLOOKUP(YEAR($A458),'Festive dates'!$A$2:$J$5,10,FALSE)),1,0)</f>
        <v>0</v>
      </c>
      <c r="W458" s="9">
        <f>IF($A458=VLOOKUP(YEAR($A458),'Festive dates'!$A$2:$J$5,7,FALSE),1,0)</f>
        <v>0</v>
      </c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>
      <c r="A459" s="8">
        <v>45474</v>
      </c>
      <c r="B459" s="9">
        <v>0</v>
      </c>
      <c r="C459" s="9">
        <v>0</v>
      </c>
      <c r="D459" s="9">
        <v>0</v>
      </c>
      <c r="E459" s="9">
        <v>0</v>
      </c>
      <c r="F459" s="9">
        <v>0</v>
      </c>
      <c r="G459" s="9">
        <v>0</v>
      </c>
      <c r="H459" s="9">
        <v>0</v>
      </c>
      <c r="I459" s="9">
        <v>0</v>
      </c>
      <c r="J459" s="9">
        <v>0</v>
      </c>
      <c r="K459" s="9">
        <v>0</v>
      </c>
      <c r="L459" s="9">
        <v>0</v>
      </c>
      <c r="M459" s="9">
        <v>0</v>
      </c>
      <c r="N459" s="9">
        <v>0</v>
      </c>
      <c r="O459" s="9">
        <v>0</v>
      </c>
      <c r="P459" s="9">
        <v>0</v>
      </c>
      <c r="Q459" s="9">
        <f>MAX(-20,MIN(10,$A459-VLOOKUP(YEAR($A459),'Festive dates'!$A$2:$J$5,8,FALSE)))</f>
        <v>-20</v>
      </c>
      <c r="R459" s="9">
        <f>IF(AND($A459&gt;VLOOKUP(YEAR($A459),'Festive dates'!$A$2:$J$5,2,FALSE),$A459&lt;VLOOKUP(YEAR($A459),'Festive dates'!$A$2:$J$5,3,FALSE)),1,0)</f>
        <v>0</v>
      </c>
      <c r="S459" s="9">
        <f>IF($A459=VLOOKUP(YEAR($A459),'Festive dates'!$A$2:$J$5,2,FALSE),1,0)</f>
        <v>0</v>
      </c>
      <c r="T459" s="9">
        <f>IF($A459=VLOOKUP(YEAR($A459),'Festive dates'!$A$2:$J$5,3,FALSE),1,0)</f>
        <v>0</v>
      </c>
      <c r="U459" s="9">
        <f>IF($A459=VLOOKUP(YEAR($A459),'Festive dates'!$A$2:$J$5,4,FALSE),1,0)</f>
        <v>0</v>
      </c>
      <c r="V459" s="9">
        <f>IF(AND($A459&gt;=VLOOKUP(YEAR($A459),'Festive dates'!$A$2:$J$5,9,FALSE),$A459&lt;=VLOOKUP(YEAR($A459),'Festive dates'!$A$2:$J$5,10,FALSE)),1,0)</f>
        <v>0</v>
      </c>
      <c r="W459" s="9">
        <f>IF($A459=VLOOKUP(YEAR($A459),'Festive dates'!$A$2:$J$5,7,FALSE),1,0)</f>
        <v>0</v>
      </c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>
      <c r="A460" s="8">
        <v>45475</v>
      </c>
      <c r="B460" s="9">
        <v>0</v>
      </c>
      <c r="C460" s="9">
        <v>0</v>
      </c>
      <c r="D460" s="9">
        <v>0</v>
      </c>
      <c r="E460" s="9">
        <v>0</v>
      </c>
      <c r="F460" s="9">
        <v>0</v>
      </c>
      <c r="G460" s="9">
        <v>0</v>
      </c>
      <c r="H460" s="9">
        <v>0</v>
      </c>
      <c r="I460" s="9">
        <v>0</v>
      </c>
      <c r="J460" s="9">
        <v>0</v>
      </c>
      <c r="K460" s="9">
        <v>0</v>
      </c>
      <c r="L460" s="9">
        <v>0</v>
      </c>
      <c r="M460" s="9">
        <v>0</v>
      </c>
      <c r="N460" s="9">
        <v>0</v>
      </c>
      <c r="O460" s="9">
        <v>0</v>
      </c>
      <c r="P460" s="9">
        <v>1</v>
      </c>
      <c r="Q460" s="9">
        <f>MAX(-20,MIN(10,$A460-VLOOKUP(YEAR($A460),'Festive dates'!$A$2:$J$5,8,FALSE)))</f>
        <v>-20</v>
      </c>
      <c r="R460" s="9">
        <f>IF(AND($A460&gt;VLOOKUP(YEAR($A460),'Festive dates'!$A$2:$J$5,2,FALSE),$A460&lt;VLOOKUP(YEAR($A460),'Festive dates'!$A$2:$J$5,3,FALSE)),1,0)</f>
        <v>0</v>
      </c>
      <c r="S460" s="9">
        <f>IF($A460=VLOOKUP(YEAR($A460),'Festive dates'!$A$2:$J$5,2,FALSE),1,0)</f>
        <v>0</v>
      </c>
      <c r="T460" s="9">
        <f>IF($A460=VLOOKUP(YEAR($A460),'Festive dates'!$A$2:$J$5,3,FALSE),1,0)</f>
        <v>0</v>
      </c>
      <c r="U460" s="9">
        <f>IF($A460=VLOOKUP(YEAR($A460),'Festive dates'!$A$2:$J$5,4,FALSE),1,0)</f>
        <v>0</v>
      </c>
      <c r="V460" s="9">
        <f>IF(AND($A460&gt;=VLOOKUP(YEAR($A460),'Festive dates'!$A$2:$J$5,9,FALSE),$A460&lt;=VLOOKUP(YEAR($A460),'Festive dates'!$A$2:$J$5,10,FALSE)),1,0)</f>
        <v>0</v>
      </c>
      <c r="W460" s="9">
        <f>IF($A460=VLOOKUP(YEAR($A460),'Festive dates'!$A$2:$J$5,7,FALSE),1,0)</f>
        <v>0</v>
      </c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>
      <c r="A461" s="8">
        <v>45476</v>
      </c>
      <c r="B461" s="9">
        <v>0</v>
      </c>
      <c r="C461" s="9">
        <v>0</v>
      </c>
      <c r="D461" s="9">
        <v>0</v>
      </c>
      <c r="E461" s="9">
        <v>0</v>
      </c>
      <c r="F461" s="9">
        <v>0</v>
      </c>
      <c r="G461" s="9">
        <v>0</v>
      </c>
      <c r="H461" s="9">
        <v>0</v>
      </c>
      <c r="I461" s="9">
        <v>0</v>
      </c>
      <c r="J461" s="9">
        <v>0</v>
      </c>
      <c r="K461" s="9">
        <v>0</v>
      </c>
      <c r="L461" s="9">
        <v>0</v>
      </c>
      <c r="M461" s="9">
        <v>0</v>
      </c>
      <c r="N461" s="9">
        <v>0</v>
      </c>
      <c r="O461" s="9">
        <v>0</v>
      </c>
      <c r="P461" s="9">
        <v>0</v>
      </c>
      <c r="Q461" s="9">
        <f>MAX(-20,MIN(10,$A461-VLOOKUP(YEAR($A461),'Festive dates'!$A$2:$J$5,8,FALSE)))</f>
        <v>-20</v>
      </c>
      <c r="R461" s="9">
        <f>IF(AND($A461&gt;VLOOKUP(YEAR($A461),'Festive dates'!$A$2:$J$5,2,FALSE),$A461&lt;VLOOKUP(YEAR($A461),'Festive dates'!$A$2:$J$5,3,FALSE)),1,0)</f>
        <v>0</v>
      </c>
      <c r="S461" s="9">
        <f>IF($A461=VLOOKUP(YEAR($A461),'Festive dates'!$A$2:$J$5,2,FALSE),1,0)</f>
        <v>0</v>
      </c>
      <c r="T461" s="9">
        <f>IF($A461=VLOOKUP(YEAR($A461),'Festive dates'!$A$2:$J$5,3,FALSE),1,0)</f>
        <v>0</v>
      </c>
      <c r="U461" s="9">
        <f>IF($A461=VLOOKUP(YEAR($A461),'Festive dates'!$A$2:$J$5,4,FALSE),1,0)</f>
        <v>0</v>
      </c>
      <c r="V461" s="9">
        <f>IF(AND($A461&gt;=VLOOKUP(YEAR($A461),'Festive dates'!$A$2:$J$5,9,FALSE),$A461&lt;=VLOOKUP(YEAR($A461),'Festive dates'!$A$2:$J$5,10,FALSE)),1,0)</f>
        <v>0</v>
      </c>
      <c r="W461" s="9">
        <f>IF($A461=VLOOKUP(YEAR($A461),'Festive dates'!$A$2:$J$5,7,FALSE),1,0)</f>
        <v>0</v>
      </c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>
      <c r="A462" s="8">
        <v>45477</v>
      </c>
      <c r="B462" s="9">
        <v>0</v>
      </c>
      <c r="C462" s="9">
        <v>0</v>
      </c>
      <c r="D462" s="9">
        <v>0</v>
      </c>
      <c r="E462" s="9">
        <v>0</v>
      </c>
      <c r="F462" s="9">
        <v>0</v>
      </c>
      <c r="G462" s="9">
        <v>0</v>
      </c>
      <c r="H462" s="9">
        <v>0</v>
      </c>
      <c r="I462" s="9">
        <v>0</v>
      </c>
      <c r="J462" s="9">
        <v>0</v>
      </c>
      <c r="K462" s="9">
        <v>0</v>
      </c>
      <c r="L462" s="9">
        <v>0</v>
      </c>
      <c r="M462" s="9">
        <v>0</v>
      </c>
      <c r="N462" s="9">
        <v>0</v>
      </c>
      <c r="O462" s="9">
        <v>0</v>
      </c>
      <c r="P462" s="9">
        <v>1</v>
      </c>
      <c r="Q462" s="9">
        <f>MAX(-20,MIN(10,$A462-VLOOKUP(YEAR($A462),'Festive dates'!$A$2:$J$5,8,FALSE)))</f>
        <v>-20</v>
      </c>
      <c r="R462" s="9">
        <f>IF(AND($A462&gt;VLOOKUP(YEAR($A462),'Festive dates'!$A$2:$J$5,2,FALSE),$A462&lt;VLOOKUP(YEAR($A462),'Festive dates'!$A$2:$J$5,3,FALSE)),1,0)</f>
        <v>0</v>
      </c>
      <c r="S462" s="9">
        <f>IF($A462=VLOOKUP(YEAR($A462),'Festive dates'!$A$2:$J$5,2,FALSE),1,0)</f>
        <v>0</v>
      </c>
      <c r="T462" s="9">
        <f>IF($A462=VLOOKUP(YEAR($A462),'Festive dates'!$A$2:$J$5,3,FALSE),1,0)</f>
        <v>0</v>
      </c>
      <c r="U462" s="9">
        <f>IF($A462=VLOOKUP(YEAR($A462),'Festive dates'!$A$2:$J$5,4,FALSE),1,0)</f>
        <v>0</v>
      </c>
      <c r="V462" s="9">
        <f>IF(AND($A462&gt;=VLOOKUP(YEAR($A462),'Festive dates'!$A$2:$J$5,9,FALSE),$A462&lt;=VLOOKUP(YEAR($A462),'Festive dates'!$A$2:$J$5,10,FALSE)),1,0)</f>
        <v>0</v>
      </c>
      <c r="W462" s="9">
        <f>IF($A462=VLOOKUP(YEAR($A462),'Festive dates'!$A$2:$J$5,7,FALSE),1,0)</f>
        <v>0</v>
      </c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>
      <c r="A463" s="8">
        <v>45478</v>
      </c>
      <c r="B463" s="9">
        <v>0</v>
      </c>
      <c r="C463" s="9">
        <v>0</v>
      </c>
      <c r="D463" s="9">
        <v>0</v>
      </c>
      <c r="E463" s="9">
        <v>0</v>
      </c>
      <c r="F463" s="9">
        <v>0</v>
      </c>
      <c r="G463" s="9">
        <v>0</v>
      </c>
      <c r="H463" s="9">
        <v>0</v>
      </c>
      <c r="I463" s="9">
        <v>0</v>
      </c>
      <c r="J463" s="9">
        <v>0</v>
      </c>
      <c r="K463" s="9">
        <v>0</v>
      </c>
      <c r="L463" s="9">
        <v>0</v>
      </c>
      <c r="M463" s="9">
        <v>0</v>
      </c>
      <c r="N463" s="9">
        <v>0</v>
      </c>
      <c r="O463" s="9">
        <v>0</v>
      </c>
      <c r="P463" s="9">
        <v>0</v>
      </c>
      <c r="Q463" s="9">
        <f>MAX(-20,MIN(10,$A463-VLOOKUP(YEAR($A463),'Festive dates'!$A$2:$J$5,8,FALSE)))</f>
        <v>-20</v>
      </c>
      <c r="R463" s="9">
        <f>IF(AND($A463&gt;VLOOKUP(YEAR($A463),'Festive dates'!$A$2:$J$5,2,FALSE),$A463&lt;VLOOKUP(YEAR($A463),'Festive dates'!$A$2:$J$5,3,FALSE)),1,0)</f>
        <v>0</v>
      </c>
      <c r="S463" s="9">
        <f>IF($A463=VLOOKUP(YEAR($A463),'Festive dates'!$A$2:$J$5,2,FALSE),1,0)</f>
        <v>0</v>
      </c>
      <c r="T463" s="9">
        <f>IF($A463=VLOOKUP(YEAR($A463),'Festive dates'!$A$2:$J$5,3,FALSE),1,0)</f>
        <v>0</v>
      </c>
      <c r="U463" s="9">
        <f>IF($A463=VLOOKUP(YEAR($A463),'Festive dates'!$A$2:$J$5,4,FALSE),1,0)</f>
        <v>0</v>
      </c>
      <c r="V463" s="9">
        <f>IF(AND($A463&gt;=VLOOKUP(YEAR($A463),'Festive dates'!$A$2:$J$5,9,FALSE),$A463&lt;=VLOOKUP(YEAR($A463),'Festive dates'!$A$2:$J$5,10,FALSE)),1,0)</f>
        <v>0</v>
      </c>
      <c r="W463" s="9">
        <f>IF($A463=VLOOKUP(YEAR($A463),'Festive dates'!$A$2:$J$5,7,FALSE),1,0)</f>
        <v>0</v>
      </c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>
      <c r="A464" s="8">
        <v>45479</v>
      </c>
      <c r="B464" s="9">
        <v>0</v>
      </c>
      <c r="C464" s="9">
        <v>0</v>
      </c>
      <c r="D464" s="9">
        <v>0</v>
      </c>
      <c r="E464" s="9">
        <v>0</v>
      </c>
      <c r="F464" s="9">
        <v>0</v>
      </c>
      <c r="G464" s="9">
        <v>0</v>
      </c>
      <c r="H464" s="9">
        <v>0</v>
      </c>
      <c r="I464" s="9">
        <v>0</v>
      </c>
      <c r="J464" s="9">
        <v>0</v>
      </c>
      <c r="K464" s="9">
        <v>0</v>
      </c>
      <c r="L464" s="9">
        <v>0</v>
      </c>
      <c r="M464" s="9">
        <v>0</v>
      </c>
      <c r="N464" s="9">
        <v>0</v>
      </c>
      <c r="O464" s="9">
        <v>0</v>
      </c>
      <c r="P464" s="9">
        <v>1</v>
      </c>
      <c r="Q464" s="9">
        <f>MAX(-20,MIN(10,$A464-VLOOKUP(YEAR($A464),'Festive dates'!$A$2:$J$5,8,FALSE)))</f>
        <v>-20</v>
      </c>
      <c r="R464" s="9">
        <f>IF(AND($A464&gt;VLOOKUP(YEAR($A464),'Festive dates'!$A$2:$J$5,2,FALSE),$A464&lt;VLOOKUP(YEAR($A464),'Festive dates'!$A$2:$J$5,3,FALSE)),1,0)</f>
        <v>0</v>
      </c>
      <c r="S464" s="9">
        <f>IF($A464=VLOOKUP(YEAR($A464),'Festive dates'!$A$2:$J$5,2,FALSE),1,0)</f>
        <v>0</v>
      </c>
      <c r="T464" s="9">
        <f>IF($A464=VLOOKUP(YEAR($A464),'Festive dates'!$A$2:$J$5,3,FALSE),1,0)</f>
        <v>0</v>
      </c>
      <c r="U464" s="9">
        <f>IF($A464=VLOOKUP(YEAR($A464),'Festive dates'!$A$2:$J$5,4,FALSE),1,0)</f>
        <v>0</v>
      </c>
      <c r="V464" s="9">
        <f>IF(AND($A464&gt;=VLOOKUP(YEAR($A464),'Festive dates'!$A$2:$J$5,9,FALSE),$A464&lt;=VLOOKUP(YEAR($A464),'Festive dates'!$A$2:$J$5,10,FALSE)),1,0)</f>
        <v>0</v>
      </c>
      <c r="W464" s="9">
        <f>IF($A464=VLOOKUP(YEAR($A464),'Festive dates'!$A$2:$J$5,7,FALSE),1,0)</f>
        <v>0</v>
      </c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>
      <c r="A465" s="8">
        <v>45480</v>
      </c>
      <c r="B465" s="9">
        <v>0</v>
      </c>
      <c r="C465" s="9">
        <v>0</v>
      </c>
      <c r="D465" s="9">
        <v>0</v>
      </c>
      <c r="E465" s="9">
        <v>0</v>
      </c>
      <c r="F465" s="9">
        <v>0</v>
      </c>
      <c r="G465" s="9">
        <v>0</v>
      </c>
      <c r="H465" s="9">
        <v>0</v>
      </c>
      <c r="I465" s="9">
        <v>0</v>
      </c>
      <c r="J465" s="9">
        <v>0</v>
      </c>
      <c r="K465" s="9">
        <v>0</v>
      </c>
      <c r="L465" s="9">
        <v>1</v>
      </c>
      <c r="M465" s="9">
        <v>0</v>
      </c>
      <c r="N465" s="9">
        <v>0</v>
      </c>
      <c r="O465" s="9">
        <v>0</v>
      </c>
      <c r="P465" s="9">
        <v>1</v>
      </c>
      <c r="Q465" s="9">
        <f>MAX(-20,MIN(10,$A465-VLOOKUP(YEAR($A465),'Festive dates'!$A$2:$J$5,8,FALSE)))</f>
        <v>-20</v>
      </c>
      <c r="R465" s="9">
        <f>IF(AND($A465&gt;VLOOKUP(YEAR($A465),'Festive dates'!$A$2:$J$5,2,FALSE),$A465&lt;VLOOKUP(YEAR($A465),'Festive dates'!$A$2:$J$5,3,FALSE)),1,0)</f>
        <v>0</v>
      </c>
      <c r="S465" s="9">
        <f>IF($A465=VLOOKUP(YEAR($A465),'Festive dates'!$A$2:$J$5,2,FALSE),1,0)</f>
        <v>0</v>
      </c>
      <c r="T465" s="9">
        <f>IF($A465=VLOOKUP(YEAR($A465),'Festive dates'!$A$2:$J$5,3,FALSE),1,0)</f>
        <v>0</v>
      </c>
      <c r="U465" s="9">
        <f>IF($A465=VLOOKUP(YEAR($A465),'Festive dates'!$A$2:$J$5,4,FALSE),1,0)</f>
        <v>0</v>
      </c>
      <c r="V465" s="9">
        <f>IF(AND($A465&gt;=VLOOKUP(YEAR($A465),'Festive dates'!$A$2:$J$5,9,FALSE),$A465&lt;=VLOOKUP(YEAR($A465),'Festive dates'!$A$2:$J$5,10,FALSE)),1,0)</f>
        <v>0</v>
      </c>
      <c r="W465" s="9">
        <f>IF($A465=VLOOKUP(YEAR($A465),'Festive dates'!$A$2:$J$5,7,FALSE),1,0)</f>
        <v>0</v>
      </c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>
      <c r="A466" s="8">
        <v>45481</v>
      </c>
      <c r="B466" s="9">
        <v>0</v>
      </c>
      <c r="C466" s="9">
        <v>0</v>
      </c>
      <c r="D466" s="9">
        <v>0</v>
      </c>
      <c r="E466" s="9">
        <v>0</v>
      </c>
      <c r="F466" s="9">
        <v>0</v>
      </c>
      <c r="G466" s="9">
        <v>0</v>
      </c>
      <c r="H466" s="9">
        <v>0</v>
      </c>
      <c r="I466" s="9">
        <v>0</v>
      </c>
      <c r="J466" s="9">
        <v>0</v>
      </c>
      <c r="K466" s="9">
        <v>0</v>
      </c>
      <c r="L466" s="9">
        <v>0</v>
      </c>
      <c r="M466" s="9">
        <v>0</v>
      </c>
      <c r="N466" s="9">
        <v>0</v>
      </c>
      <c r="O466" s="9">
        <v>0</v>
      </c>
      <c r="P466" s="9">
        <v>1</v>
      </c>
      <c r="Q466" s="9">
        <f>MAX(-20,MIN(10,$A466-VLOOKUP(YEAR($A466),'Festive dates'!$A$2:$J$5,8,FALSE)))</f>
        <v>-20</v>
      </c>
      <c r="R466" s="9">
        <f>IF(AND($A466&gt;VLOOKUP(YEAR($A466),'Festive dates'!$A$2:$J$5,2,FALSE),$A466&lt;VLOOKUP(YEAR($A466),'Festive dates'!$A$2:$J$5,3,FALSE)),1,0)</f>
        <v>0</v>
      </c>
      <c r="S466" s="9">
        <f>IF($A466=VLOOKUP(YEAR($A466),'Festive dates'!$A$2:$J$5,2,FALSE),1,0)</f>
        <v>0</v>
      </c>
      <c r="T466" s="9">
        <f>IF($A466=VLOOKUP(YEAR($A466),'Festive dates'!$A$2:$J$5,3,FALSE),1,0)</f>
        <v>0</v>
      </c>
      <c r="U466" s="9">
        <f>IF($A466=VLOOKUP(YEAR($A466),'Festive dates'!$A$2:$J$5,4,FALSE),1,0)</f>
        <v>0</v>
      </c>
      <c r="V466" s="9">
        <f>IF(AND($A466&gt;=VLOOKUP(YEAR($A466),'Festive dates'!$A$2:$J$5,9,FALSE),$A466&lt;=VLOOKUP(YEAR($A466),'Festive dates'!$A$2:$J$5,10,FALSE)),1,0)</f>
        <v>0</v>
      </c>
      <c r="W466" s="9">
        <f>IF($A466=VLOOKUP(YEAR($A466),'Festive dates'!$A$2:$J$5,7,FALSE),1,0)</f>
        <v>0</v>
      </c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>
      <c r="A467" s="8">
        <v>45482</v>
      </c>
      <c r="B467" s="9">
        <v>0</v>
      </c>
      <c r="C467" s="9">
        <v>0</v>
      </c>
      <c r="D467" s="9">
        <v>0</v>
      </c>
      <c r="E467" s="9">
        <v>0</v>
      </c>
      <c r="F467" s="9">
        <v>0</v>
      </c>
      <c r="G467" s="9">
        <v>0</v>
      </c>
      <c r="H467" s="9">
        <v>0</v>
      </c>
      <c r="I467" s="9">
        <v>0</v>
      </c>
      <c r="J467" s="9">
        <v>0</v>
      </c>
      <c r="K467" s="9">
        <v>0</v>
      </c>
      <c r="L467" s="9">
        <v>0</v>
      </c>
      <c r="M467" s="9">
        <v>0</v>
      </c>
      <c r="N467" s="9">
        <v>0</v>
      </c>
      <c r="O467" s="9">
        <v>0</v>
      </c>
      <c r="P467" s="9">
        <v>0</v>
      </c>
      <c r="Q467" s="9">
        <f>MAX(-20,MIN(10,$A467-VLOOKUP(YEAR($A467),'Festive dates'!$A$2:$J$5,8,FALSE)))</f>
        <v>-20</v>
      </c>
      <c r="R467" s="9">
        <f>IF(AND($A467&gt;VLOOKUP(YEAR($A467),'Festive dates'!$A$2:$J$5,2,FALSE),$A467&lt;VLOOKUP(YEAR($A467),'Festive dates'!$A$2:$J$5,3,FALSE)),1,0)</f>
        <v>0</v>
      </c>
      <c r="S467" s="9">
        <f>IF($A467=VLOOKUP(YEAR($A467),'Festive dates'!$A$2:$J$5,2,FALSE),1,0)</f>
        <v>0</v>
      </c>
      <c r="T467" s="9">
        <f>IF($A467=VLOOKUP(YEAR($A467),'Festive dates'!$A$2:$J$5,3,FALSE),1,0)</f>
        <v>0</v>
      </c>
      <c r="U467" s="9">
        <f>IF($A467=VLOOKUP(YEAR($A467),'Festive dates'!$A$2:$J$5,4,FALSE),1,0)</f>
        <v>0</v>
      </c>
      <c r="V467" s="9">
        <f>IF(AND($A467&gt;=VLOOKUP(YEAR($A467),'Festive dates'!$A$2:$J$5,9,FALSE),$A467&lt;=VLOOKUP(YEAR($A467),'Festive dates'!$A$2:$J$5,10,FALSE)),1,0)</f>
        <v>0</v>
      </c>
      <c r="W467" s="9">
        <f>IF($A467=VLOOKUP(YEAR($A467),'Festive dates'!$A$2:$J$5,7,FALSE),1,0)</f>
        <v>0</v>
      </c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>
      <c r="A468" s="8">
        <v>45483</v>
      </c>
      <c r="B468" s="9">
        <v>0</v>
      </c>
      <c r="C468" s="9">
        <v>0</v>
      </c>
      <c r="D468" s="9">
        <v>0</v>
      </c>
      <c r="E468" s="9">
        <v>0</v>
      </c>
      <c r="F468" s="9">
        <v>0</v>
      </c>
      <c r="G468" s="9">
        <v>0</v>
      </c>
      <c r="H468" s="9">
        <v>0</v>
      </c>
      <c r="I468" s="9">
        <v>0</v>
      </c>
      <c r="J468" s="9">
        <v>0</v>
      </c>
      <c r="K468" s="9">
        <v>0</v>
      </c>
      <c r="L468" s="9">
        <v>0</v>
      </c>
      <c r="M468" s="9">
        <v>0</v>
      </c>
      <c r="N468" s="9">
        <v>0</v>
      </c>
      <c r="O468" s="9">
        <v>0</v>
      </c>
      <c r="P468" s="9">
        <v>0</v>
      </c>
      <c r="Q468" s="9">
        <f>MAX(-20,MIN(10,$A468-VLOOKUP(YEAR($A468),'Festive dates'!$A$2:$J$5,8,FALSE)))</f>
        <v>-20</v>
      </c>
      <c r="R468" s="9">
        <f>IF(AND($A468&gt;VLOOKUP(YEAR($A468),'Festive dates'!$A$2:$J$5,2,FALSE),$A468&lt;VLOOKUP(YEAR($A468),'Festive dates'!$A$2:$J$5,3,FALSE)),1,0)</f>
        <v>0</v>
      </c>
      <c r="S468" s="9">
        <f>IF($A468=VLOOKUP(YEAR($A468),'Festive dates'!$A$2:$J$5,2,FALSE),1,0)</f>
        <v>0</v>
      </c>
      <c r="T468" s="9">
        <f>IF($A468=VLOOKUP(YEAR($A468),'Festive dates'!$A$2:$J$5,3,FALSE),1,0)</f>
        <v>0</v>
      </c>
      <c r="U468" s="9">
        <f>IF($A468=VLOOKUP(YEAR($A468),'Festive dates'!$A$2:$J$5,4,FALSE),1,0)</f>
        <v>0</v>
      </c>
      <c r="V468" s="9">
        <f>IF(AND($A468&gt;=VLOOKUP(YEAR($A468),'Festive dates'!$A$2:$J$5,9,FALSE),$A468&lt;=VLOOKUP(YEAR($A468),'Festive dates'!$A$2:$J$5,10,FALSE)),1,0)</f>
        <v>0</v>
      </c>
      <c r="W468" s="9">
        <f>IF($A468=VLOOKUP(YEAR($A468),'Festive dates'!$A$2:$J$5,7,FALSE),1,0)</f>
        <v>0</v>
      </c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>
      <c r="A469" s="8">
        <v>45484</v>
      </c>
      <c r="B469" s="9">
        <v>0</v>
      </c>
      <c r="C469" s="9">
        <v>0</v>
      </c>
      <c r="D469" s="9">
        <v>0</v>
      </c>
      <c r="E469" s="9">
        <v>0</v>
      </c>
      <c r="F469" s="9">
        <v>0</v>
      </c>
      <c r="G469" s="9">
        <v>0</v>
      </c>
      <c r="H469" s="9">
        <v>0</v>
      </c>
      <c r="I469" s="9">
        <v>0</v>
      </c>
      <c r="J469" s="9">
        <v>0</v>
      </c>
      <c r="K469" s="9">
        <v>0</v>
      </c>
      <c r="L469" s="9">
        <v>0</v>
      </c>
      <c r="M469" s="9">
        <v>0</v>
      </c>
      <c r="N469" s="9">
        <v>0</v>
      </c>
      <c r="O469" s="9">
        <v>0</v>
      </c>
      <c r="P469" s="9">
        <v>0</v>
      </c>
      <c r="Q469" s="9">
        <f>MAX(-20,MIN(10,$A469-VLOOKUP(YEAR($A469),'Festive dates'!$A$2:$J$5,8,FALSE)))</f>
        <v>-20</v>
      </c>
      <c r="R469" s="9">
        <f>IF(AND($A469&gt;VLOOKUP(YEAR($A469),'Festive dates'!$A$2:$J$5,2,FALSE),$A469&lt;VLOOKUP(YEAR($A469),'Festive dates'!$A$2:$J$5,3,FALSE)),1,0)</f>
        <v>0</v>
      </c>
      <c r="S469" s="9">
        <f>IF($A469=VLOOKUP(YEAR($A469),'Festive dates'!$A$2:$J$5,2,FALSE),1,0)</f>
        <v>0</v>
      </c>
      <c r="T469" s="9">
        <f>IF($A469=VLOOKUP(YEAR($A469),'Festive dates'!$A$2:$J$5,3,FALSE),1,0)</f>
        <v>0</v>
      </c>
      <c r="U469" s="9">
        <f>IF($A469=VLOOKUP(YEAR($A469),'Festive dates'!$A$2:$J$5,4,FALSE),1,0)</f>
        <v>0</v>
      </c>
      <c r="V469" s="9">
        <f>IF(AND($A469&gt;=VLOOKUP(YEAR($A469),'Festive dates'!$A$2:$J$5,9,FALSE),$A469&lt;=VLOOKUP(YEAR($A469),'Festive dates'!$A$2:$J$5,10,FALSE)),1,0)</f>
        <v>0</v>
      </c>
      <c r="W469" s="9">
        <f>IF($A469=VLOOKUP(YEAR($A469),'Festive dates'!$A$2:$J$5,7,FALSE),1,0)</f>
        <v>0</v>
      </c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>
      <c r="A470" s="8">
        <v>45485</v>
      </c>
      <c r="B470" s="9">
        <v>0</v>
      </c>
      <c r="C470" s="9">
        <v>0</v>
      </c>
      <c r="D470" s="9">
        <v>0</v>
      </c>
      <c r="E470" s="9">
        <v>0</v>
      </c>
      <c r="F470" s="9">
        <v>0</v>
      </c>
      <c r="G470" s="9">
        <v>0</v>
      </c>
      <c r="H470" s="9">
        <v>0</v>
      </c>
      <c r="I470" s="9">
        <v>0</v>
      </c>
      <c r="J470" s="9">
        <v>0</v>
      </c>
      <c r="K470" s="9">
        <v>0</v>
      </c>
      <c r="L470" s="9">
        <v>0</v>
      </c>
      <c r="M470" s="9">
        <v>0</v>
      </c>
      <c r="N470" s="9">
        <v>0</v>
      </c>
      <c r="O470" s="9">
        <v>0</v>
      </c>
      <c r="P470" s="9">
        <v>0</v>
      </c>
      <c r="Q470" s="9">
        <f>MAX(-20,MIN(10,$A470-VLOOKUP(YEAR($A470),'Festive dates'!$A$2:$J$5,8,FALSE)))</f>
        <v>-20</v>
      </c>
      <c r="R470" s="9">
        <f>IF(AND($A470&gt;VLOOKUP(YEAR($A470),'Festive dates'!$A$2:$J$5,2,FALSE),$A470&lt;VLOOKUP(YEAR($A470),'Festive dates'!$A$2:$J$5,3,FALSE)),1,0)</f>
        <v>0</v>
      </c>
      <c r="S470" s="9">
        <f>IF($A470=VLOOKUP(YEAR($A470),'Festive dates'!$A$2:$J$5,2,FALSE),1,0)</f>
        <v>0</v>
      </c>
      <c r="T470" s="9">
        <f>IF($A470=VLOOKUP(YEAR($A470),'Festive dates'!$A$2:$J$5,3,FALSE),1,0)</f>
        <v>0</v>
      </c>
      <c r="U470" s="9">
        <f>IF($A470=VLOOKUP(YEAR($A470),'Festive dates'!$A$2:$J$5,4,FALSE),1,0)</f>
        <v>0</v>
      </c>
      <c r="V470" s="9">
        <f>IF(AND($A470&gt;=VLOOKUP(YEAR($A470),'Festive dates'!$A$2:$J$5,9,FALSE),$A470&lt;=VLOOKUP(YEAR($A470),'Festive dates'!$A$2:$J$5,10,FALSE)),1,0)</f>
        <v>0</v>
      </c>
      <c r="W470" s="9">
        <f>IF($A470=VLOOKUP(YEAR($A470),'Festive dates'!$A$2:$J$5,7,FALSE),1,0)</f>
        <v>0</v>
      </c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>
      <c r="A471" s="8">
        <v>45486</v>
      </c>
      <c r="B471" s="9">
        <v>0</v>
      </c>
      <c r="C471" s="9">
        <v>0</v>
      </c>
      <c r="D471" s="9">
        <v>0</v>
      </c>
      <c r="E471" s="9">
        <v>0</v>
      </c>
      <c r="F471" s="9">
        <v>0</v>
      </c>
      <c r="G471" s="9">
        <v>0</v>
      </c>
      <c r="H471" s="9">
        <v>0</v>
      </c>
      <c r="I471" s="9">
        <v>0</v>
      </c>
      <c r="J471" s="9">
        <v>0</v>
      </c>
      <c r="K471" s="9">
        <v>0</v>
      </c>
      <c r="L471" s="9">
        <v>0</v>
      </c>
      <c r="M471" s="9">
        <v>0</v>
      </c>
      <c r="N471" s="9">
        <v>0</v>
      </c>
      <c r="O471" s="9">
        <v>0</v>
      </c>
      <c r="P471" s="9">
        <v>0</v>
      </c>
      <c r="Q471" s="9">
        <f>MAX(-20,MIN(10,$A471-VLOOKUP(YEAR($A471),'Festive dates'!$A$2:$J$5,8,FALSE)))</f>
        <v>-20</v>
      </c>
      <c r="R471" s="9">
        <f>IF(AND($A471&gt;VLOOKUP(YEAR($A471),'Festive dates'!$A$2:$J$5,2,FALSE),$A471&lt;VLOOKUP(YEAR($A471),'Festive dates'!$A$2:$J$5,3,FALSE)),1,0)</f>
        <v>0</v>
      </c>
      <c r="S471" s="9">
        <f>IF($A471=VLOOKUP(YEAR($A471),'Festive dates'!$A$2:$J$5,2,FALSE),1,0)</f>
        <v>0</v>
      </c>
      <c r="T471" s="9">
        <f>IF($A471=VLOOKUP(YEAR($A471),'Festive dates'!$A$2:$J$5,3,FALSE),1,0)</f>
        <v>0</v>
      </c>
      <c r="U471" s="9">
        <f>IF($A471=VLOOKUP(YEAR($A471),'Festive dates'!$A$2:$J$5,4,FALSE),1,0)</f>
        <v>0</v>
      </c>
      <c r="V471" s="9">
        <f>IF(AND($A471&gt;=VLOOKUP(YEAR($A471),'Festive dates'!$A$2:$J$5,9,FALSE),$A471&lt;=VLOOKUP(YEAR($A471),'Festive dates'!$A$2:$J$5,10,FALSE)),1,0)</f>
        <v>0</v>
      </c>
      <c r="W471" s="9">
        <f>IF($A471=VLOOKUP(YEAR($A471),'Festive dates'!$A$2:$J$5,7,FALSE),1,0)</f>
        <v>0</v>
      </c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>
      <c r="A472" s="8">
        <v>45487</v>
      </c>
      <c r="B472" s="9">
        <v>0</v>
      </c>
      <c r="C472" s="9">
        <v>0</v>
      </c>
      <c r="D472" s="9">
        <v>0</v>
      </c>
      <c r="E472" s="9">
        <v>0</v>
      </c>
      <c r="F472" s="9">
        <v>0</v>
      </c>
      <c r="G472" s="9">
        <v>0</v>
      </c>
      <c r="H472" s="9">
        <v>0</v>
      </c>
      <c r="I472" s="9">
        <v>0</v>
      </c>
      <c r="J472" s="9">
        <v>0</v>
      </c>
      <c r="K472" s="9">
        <v>0</v>
      </c>
      <c r="L472" s="9">
        <v>0</v>
      </c>
      <c r="M472" s="9">
        <v>0</v>
      </c>
      <c r="N472" s="9">
        <v>0</v>
      </c>
      <c r="O472" s="9">
        <v>0</v>
      </c>
      <c r="P472" s="9">
        <v>0</v>
      </c>
      <c r="Q472" s="9">
        <f>MAX(-20,MIN(10,$A472-VLOOKUP(YEAR($A472),'Festive dates'!$A$2:$J$5,8,FALSE)))</f>
        <v>-20</v>
      </c>
      <c r="R472" s="9">
        <f>IF(AND($A472&gt;VLOOKUP(YEAR($A472),'Festive dates'!$A$2:$J$5,2,FALSE),$A472&lt;VLOOKUP(YEAR($A472),'Festive dates'!$A$2:$J$5,3,FALSE)),1,0)</f>
        <v>0</v>
      </c>
      <c r="S472" s="9">
        <f>IF($A472=VLOOKUP(YEAR($A472),'Festive dates'!$A$2:$J$5,2,FALSE),1,0)</f>
        <v>0</v>
      </c>
      <c r="T472" s="9">
        <f>IF($A472=VLOOKUP(YEAR($A472),'Festive dates'!$A$2:$J$5,3,FALSE),1,0)</f>
        <v>0</v>
      </c>
      <c r="U472" s="9">
        <f>IF($A472=VLOOKUP(YEAR($A472),'Festive dates'!$A$2:$J$5,4,FALSE),1,0)</f>
        <v>0</v>
      </c>
      <c r="V472" s="9">
        <f>IF(AND($A472&gt;=VLOOKUP(YEAR($A472),'Festive dates'!$A$2:$J$5,9,FALSE),$A472&lt;=VLOOKUP(YEAR($A472),'Festive dates'!$A$2:$J$5,10,FALSE)),1,0)</f>
        <v>0</v>
      </c>
      <c r="W472" s="9">
        <f>IF($A472=VLOOKUP(YEAR($A472),'Festive dates'!$A$2:$J$5,7,FALSE),1,0)</f>
        <v>0</v>
      </c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>
      <c r="A473" s="8">
        <v>45488</v>
      </c>
      <c r="B473" s="9">
        <v>0</v>
      </c>
      <c r="C473" s="9">
        <v>0</v>
      </c>
      <c r="D473" s="9">
        <v>0</v>
      </c>
      <c r="E473" s="9">
        <v>0</v>
      </c>
      <c r="F473" s="9">
        <v>0</v>
      </c>
      <c r="G473" s="9">
        <v>0</v>
      </c>
      <c r="H473" s="9">
        <v>0</v>
      </c>
      <c r="I473" s="9">
        <v>0</v>
      </c>
      <c r="J473" s="9">
        <v>0</v>
      </c>
      <c r="K473" s="9">
        <v>0</v>
      </c>
      <c r="L473" s="9">
        <v>0</v>
      </c>
      <c r="M473" s="9">
        <v>0</v>
      </c>
      <c r="N473" s="9">
        <v>0</v>
      </c>
      <c r="O473" s="9">
        <v>0</v>
      </c>
      <c r="P473" s="9">
        <v>0</v>
      </c>
      <c r="Q473" s="9">
        <f>MAX(-20,MIN(10,$A473-VLOOKUP(YEAR($A473),'Festive dates'!$A$2:$J$5,8,FALSE)))</f>
        <v>-20</v>
      </c>
      <c r="R473" s="9">
        <f>IF(AND($A473&gt;VLOOKUP(YEAR($A473),'Festive dates'!$A$2:$J$5,2,FALSE),$A473&lt;VLOOKUP(YEAR($A473),'Festive dates'!$A$2:$J$5,3,FALSE)),1,0)</f>
        <v>0</v>
      </c>
      <c r="S473" s="9">
        <f>IF($A473=VLOOKUP(YEAR($A473),'Festive dates'!$A$2:$J$5,2,FALSE),1,0)</f>
        <v>0</v>
      </c>
      <c r="T473" s="9">
        <f>IF($A473=VLOOKUP(YEAR($A473),'Festive dates'!$A$2:$J$5,3,FALSE),1,0)</f>
        <v>0</v>
      </c>
      <c r="U473" s="9">
        <f>IF($A473=VLOOKUP(YEAR($A473),'Festive dates'!$A$2:$J$5,4,FALSE),1,0)</f>
        <v>0</v>
      </c>
      <c r="V473" s="9">
        <f>IF(AND($A473&gt;=VLOOKUP(YEAR($A473),'Festive dates'!$A$2:$J$5,9,FALSE),$A473&lt;=VLOOKUP(YEAR($A473),'Festive dates'!$A$2:$J$5,10,FALSE)),1,0)</f>
        <v>0</v>
      </c>
      <c r="W473" s="9">
        <f>IF($A473=VLOOKUP(YEAR($A473),'Festive dates'!$A$2:$J$5,7,FALSE),1,0)</f>
        <v>0</v>
      </c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>
      <c r="A474" s="8">
        <v>45489</v>
      </c>
      <c r="B474" s="9">
        <v>0</v>
      </c>
      <c r="C474" s="9">
        <v>0</v>
      </c>
      <c r="D474" s="9">
        <v>0</v>
      </c>
      <c r="E474" s="9">
        <v>0</v>
      </c>
      <c r="F474" s="9">
        <v>0</v>
      </c>
      <c r="G474" s="9">
        <v>0</v>
      </c>
      <c r="H474" s="9">
        <v>0</v>
      </c>
      <c r="I474" s="9">
        <v>0</v>
      </c>
      <c r="J474" s="9">
        <v>0</v>
      </c>
      <c r="K474" s="9">
        <v>0</v>
      </c>
      <c r="L474" s="9">
        <v>0</v>
      </c>
      <c r="M474" s="9">
        <v>0</v>
      </c>
      <c r="N474" s="9">
        <v>0</v>
      </c>
      <c r="O474" s="9">
        <v>0</v>
      </c>
      <c r="P474" s="9">
        <v>0</v>
      </c>
      <c r="Q474" s="9">
        <f>MAX(-20,MIN(10,$A474-VLOOKUP(YEAR($A474),'Festive dates'!$A$2:$J$5,8,FALSE)))</f>
        <v>-20</v>
      </c>
      <c r="R474" s="9">
        <f>IF(AND($A474&gt;VLOOKUP(YEAR($A474),'Festive dates'!$A$2:$J$5,2,FALSE),$A474&lt;VLOOKUP(YEAR($A474),'Festive dates'!$A$2:$J$5,3,FALSE)),1,0)</f>
        <v>0</v>
      </c>
      <c r="S474" s="9">
        <f>IF($A474=VLOOKUP(YEAR($A474),'Festive dates'!$A$2:$J$5,2,FALSE),1,0)</f>
        <v>0</v>
      </c>
      <c r="T474" s="9">
        <f>IF($A474=VLOOKUP(YEAR($A474),'Festive dates'!$A$2:$J$5,3,FALSE),1,0)</f>
        <v>0</v>
      </c>
      <c r="U474" s="9">
        <f>IF($A474=VLOOKUP(YEAR($A474),'Festive dates'!$A$2:$J$5,4,FALSE),1,0)</f>
        <v>0</v>
      </c>
      <c r="V474" s="9">
        <f>IF(AND($A474&gt;=VLOOKUP(YEAR($A474),'Festive dates'!$A$2:$J$5,9,FALSE),$A474&lt;=VLOOKUP(YEAR($A474),'Festive dates'!$A$2:$J$5,10,FALSE)),1,0)</f>
        <v>0</v>
      </c>
      <c r="W474" s="9">
        <f>IF($A474=VLOOKUP(YEAR($A474),'Festive dates'!$A$2:$J$5,7,FALSE),1,0)</f>
        <v>0</v>
      </c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>
      <c r="A475" s="8">
        <v>45490</v>
      </c>
      <c r="B475" s="9">
        <v>0</v>
      </c>
      <c r="C475" s="9">
        <v>0</v>
      </c>
      <c r="D475" s="9">
        <v>0</v>
      </c>
      <c r="E475" s="9">
        <v>0</v>
      </c>
      <c r="F475" s="9">
        <v>0</v>
      </c>
      <c r="G475" s="9">
        <v>0</v>
      </c>
      <c r="H475" s="9">
        <v>0</v>
      </c>
      <c r="I475" s="9">
        <v>0</v>
      </c>
      <c r="J475" s="9">
        <v>0</v>
      </c>
      <c r="K475" s="9">
        <v>0</v>
      </c>
      <c r="L475" s="9">
        <v>0</v>
      </c>
      <c r="M475" s="9">
        <v>0</v>
      </c>
      <c r="N475" s="9">
        <v>0</v>
      </c>
      <c r="O475" s="9">
        <v>0</v>
      </c>
      <c r="P475" s="9">
        <v>0</v>
      </c>
      <c r="Q475" s="9">
        <f>MAX(-20,MIN(10,$A475-VLOOKUP(YEAR($A475),'Festive dates'!$A$2:$J$5,8,FALSE)))</f>
        <v>-20</v>
      </c>
      <c r="R475" s="9">
        <f>IF(AND($A475&gt;VLOOKUP(YEAR($A475),'Festive dates'!$A$2:$J$5,2,FALSE),$A475&lt;VLOOKUP(YEAR($A475),'Festive dates'!$A$2:$J$5,3,FALSE)),1,0)</f>
        <v>0</v>
      </c>
      <c r="S475" s="9">
        <f>IF($A475=VLOOKUP(YEAR($A475),'Festive dates'!$A$2:$J$5,2,FALSE),1,0)</f>
        <v>0</v>
      </c>
      <c r="T475" s="9">
        <f>IF($A475=VLOOKUP(YEAR($A475),'Festive dates'!$A$2:$J$5,3,FALSE),1,0)</f>
        <v>0</v>
      </c>
      <c r="U475" s="9">
        <f>IF($A475=VLOOKUP(YEAR($A475),'Festive dates'!$A$2:$J$5,4,FALSE),1,0)</f>
        <v>0</v>
      </c>
      <c r="V475" s="9">
        <f>IF(AND($A475&gt;=VLOOKUP(YEAR($A475),'Festive dates'!$A$2:$J$5,9,FALSE),$A475&lt;=VLOOKUP(YEAR($A475),'Festive dates'!$A$2:$J$5,10,FALSE)),1,0)</f>
        <v>0</v>
      </c>
      <c r="W475" s="9">
        <f>IF($A475=VLOOKUP(YEAR($A475),'Festive dates'!$A$2:$J$5,7,FALSE),1,0)</f>
        <v>0</v>
      </c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>
      <c r="A476" s="8">
        <v>45491</v>
      </c>
      <c r="B476" s="9">
        <v>0</v>
      </c>
      <c r="C476" s="9">
        <v>0</v>
      </c>
      <c r="D476" s="9">
        <v>0</v>
      </c>
      <c r="E476" s="9">
        <v>0</v>
      </c>
      <c r="F476" s="9">
        <v>0</v>
      </c>
      <c r="G476" s="9">
        <v>0</v>
      </c>
      <c r="H476" s="9">
        <v>0</v>
      </c>
      <c r="I476" s="9">
        <v>0</v>
      </c>
      <c r="J476" s="9">
        <v>0</v>
      </c>
      <c r="K476" s="9">
        <v>0</v>
      </c>
      <c r="L476" s="9">
        <v>0</v>
      </c>
      <c r="M476" s="9">
        <v>0</v>
      </c>
      <c r="N476" s="9">
        <v>0</v>
      </c>
      <c r="O476" s="9">
        <v>0</v>
      </c>
      <c r="P476" s="9">
        <v>0</v>
      </c>
      <c r="Q476" s="9">
        <f>MAX(-20,MIN(10,$A476-VLOOKUP(YEAR($A476),'Festive dates'!$A$2:$J$5,8,FALSE)))</f>
        <v>-20</v>
      </c>
      <c r="R476" s="9">
        <f>IF(AND($A476&gt;VLOOKUP(YEAR($A476),'Festive dates'!$A$2:$J$5,2,FALSE),$A476&lt;VLOOKUP(YEAR($A476),'Festive dates'!$A$2:$J$5,3,FALSE)),1,0)</f>
        <v>0</v>
      </c>
      <c r="S476" s="9">
        <f>IF($A476=VLOOKUP(YEAR($A476),'Festive dates'!$A$2:$J$5,2,FALSE),1,0)</f>
        <v>0</v>
      </c>
      <c r="T476" s="9">
        <f>IF($A476=VLOOKUP(YEAR($A476),'Festive dates'!$A$2:$J$5,3,FALSE),1,0)</f>
        <v>0</v>
      </c>
      <c r="U476" s="9">
        <f>IF($A476=VLOOKUP(YEAR($A476),'Festive dates'!$A$2:$J$5,4,FALSE),1,0)</f>
        <v>0</v>
      </c>
      <c r="V476" s="9">
        <f>IF(AND($A476&gt;=VLOOKUP(YEAR($A476),'Festive dates'!$A$2:$J$5,9,FALSE),$A476&lt;=VLOOKUP(YEAR($A476),'Festive dates'!$A$2:$J$5,10,FALSE)),1,0)</f>
        <v>0</v>
      </c>
      <c r="W476" s="9">
        <f>IF($A476=VLOOKUP(YEAR($A476),'Festive dates'!$A$2:$J$5,7,FALSE),1,0)</f>
        <v>0</v>
      </c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>
      <c r="A477" s="8">
        <v>45492</v>
      </c>
      <c r="B477" s="9">
        <v>0</v>
      </c>
      <c r="C477" s="9">
        <v>0</v>
      </c>
      <c r="D477" s="9">
        <v>0</v>
      </c>
      <c r="E477" s="9">
        <v>0</v>
      </c>
      <c r="F477" s="9">
        <v>0</v>
      </c>
      <c r="G477" s="9">
        <v>0</v>
      </c>
      <c r="H477" s="9">
        <v>0</v>
      </c>
      <c r="I477" s="9">
        <v>0</v>
      </c>
      <c r="J477" s="9">
        <v>0</v>
      </c>
      <c r="K477" s="9">
        <v>0</v>
      </c>
      <c r="L477" s="9">
        <v>0</v>
      </c>
      <c r="M477" s="9">
        <v>0</v>
      </c>
      <c r="N477" s="9">
        <v>0</v>
      </c>
      <c r="O477" s="9">
        <v>0</v>
      </c>
      <c r="P477" s="9">
        <v>0</v>
      </c>
      <c r="Q477" s="9">
        <f>MAX(-20,MIN(10,$A477-VLOOKUP(YEAR($A477),'Festive dates'!$A$2:$J$5,8,FALSE)))</f>
        <v>-20</v>
      </c>
      <c r="R477" s="9">
        <f>IF(AND($A477&gt;VLOOKUP(YEAR($A477),'Festive dates'!$A$2:$J$5,2,FALSE),$A477&lt;VLOOKUP(YEAR($A477),'Festive dates'!$A$2:$J$5,3,FALSE)),1,0)</f>
        <v>0</v>
      </c>
      <c r="S477" s="9">
        <f>IF($A477=VLOOKUP(YEAR($A477),'Festive dates'!$A$2:$J$5,2,FALSE),1,0)</f>
        <v>0</v>
      </c>
      <c r="T477" s="9">
        <f>IF($A477=VLOOKUP(YEAR($A477),'Festive dates'!$A$2:$J$5,3,FALSE),1,0)</f>
        <v>0</v>
      </c>
      <c r="U477" s="9">
        <f>IF($A477=VLOOKUP(YEAR($A477),'Festive dates'!$A$2:$J$5,4,FALSE),1,0)</f>
        <v>0</v>
      </c>
      <c r="V477" s="9">
        <f>IF(AND($A477&gt;=VLOOKUP(YEAR($A477),'Festive dates'!$A$2:$J$5,9,FALSE),$A477&lt;=VLOOKUP(YEAR($A477),'Festive dates'!$A$2:$J$5,10,FALSE)),1,0)</f>
        <v>0</v>
      </c>
      <c r="W477" s="9">
        <f>IF($A477=VLOOKUP(YEAR($A477),'Festive dates'!$A$2:$J$5,7,FALSE),1,0)</f>
        <v>0</v>
      </c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>
      <c r="A478" s="8">
        <v>45493</v>
      </c>
      <c r="B478" s="9">
        <v>0</v>
      </c>
      <c r="C478" s="9">
        <v>0</v>
      </c>
      <c r="D478" s="9">
        <v>0</v>
      </c>
      <c r="E478" s="9">
        <v>0</v>
      </c>
      <c r="F478" s="9">
        <v>0</v>
      </c>
      <c r="G478" s="9">
        <v>0</v>
      </c>
      <c r="H478" s="9">
        <v>0</v>
      </c>
      <c r="I478" s="9">
        <v>0</v>
      </c>
      <c r="J478" s="9">
        <v>0</v>
      </c>
      <c r="K478" s="9">
        <v>0</v>
      </c>
      <c r="L478" s="9">
        <v>0</v>
      </c>
      <c r="M478" s="9">
        <v>0</v>
      </c>
      <c r="N478" s="9">
        <v>0</v>
      </c>
      <c r="O478" s="9">
        <v>0</v>
      </c>
      <c r="P478" s="9">
        <v>0</v>
      </c>
      <c r="Q478" s="9">
        <f>MAX(-20,MIN(10,$A478-VLOOKUP(YEAR($A478),'Festive dates'!$A$2:$J$5,8,FALSE)))</f>
        <v>-20</v>
      </c>
      <c r="R478" s="9">
        <f>IF(AND($A478&gt;VLOOKUP(YEAR($A478),'Festive dates'!$A$2:$J$5,2,FALSE),$A478&lt;VLOOKUP(YEAR($A478),'Festive dates'!$A$2:$J$5,3,FALSE)),1,0)</f>
        <v>0</v>
      </c>
      <c r="S478" s="9">
        <f>IF($A478=VLOOKUP(YEAR($A478),'Festive dates'!$A$2:$J$5,2,FALSE),1,0)</f>
        <v>0</v>
      </c>
      <c r="T478" s="9">
        <f>IF($A478=VLOOKUP(YEAR($A478),'Festive dates'!$A$2:$J$5,3,FALSE),1,0)</f>
        <v>0</v>
      </c>
      <c r="U478" s="9">
        <f>IF($A478=VLOOKUP(YEAR($A478),'Festive dates'!$A$2:$J$5,4,FALSE),1,0)</f>
        <v>0</v>
      </c>
      <c r="V478" s="9">
        <f>IF(AND($A478&gt;=VLOOKUP(YEAR($A478),'Festive dates'!$A$2:$J$5,9,FALSE),$A478&lt;=VLOOKUP(YEAR($A478),'Festive dates'!$A$2:$J$5,10,FALSE)),1,0)</f>
        <v>0</v>
      </c>
      <c r="W478" s="9">
        <f>IF($A478=VLOOKUP(YEAR($A478),'Festive dates'!$A$2:$J$5,7,FALSE),1,0)</f>
        <v>0</v>
      </c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>
      <c r="A479" s="8">
        <v>45494</v>
      </c>
      <c r="B479" s="9">
        <v>0</v>
      </c>
      <c r="C479" s="9">
        <v>0</v>
      </c>
      <c r="D479" s="9">
        <v>0</v>
      </c>
      <c r="E479" s="9">
        <v>0</v>
      </c>
      <c r="F479" s="9">
        <v>0</v>
      </c>
      <c r="G479" s="9">
        <v>0</v>
      </c>
      <c r="H479" s="9">
        <v>0</v>
      </c>
      <c r="I479" s="9">
        <v>0</v>
      </c>
      <c r="J479" s="9">
        <v>0</v>
      </c>
      <c r="K479" s="9">
        <v>0</v>
      </c>
      <c r="L479" s="9">
        <v>0</v>
      </c>
      <c r="M479" s="9">
        <v>1</v>
      </c>
      <c r="N479" s="9">
        <v>0</v>
      </c>
      <c r="O479" s="9">
        <v>0</v>
      </c>
      <c r="P479" s="9">
        <v>0</v>
      </c>
      <c r="Q479" s="9">
        <f>MAX(-20,MIN(10,$A479-VLOOKUP(YEAR($A479),'Festive dates'!$A$2:$J$5,8,FALSE)))</f>
        <v>-20</v>
      </c>
      <c r="R479" s="9">
        <f>IF(AND($A479&gt;VLOOKUP(YEAR($A479),'Festive dates'!$A$2:$J$5,2,FALSE),$A479&lt;VLOOKUP(YEAR($A479),'Festive dates'!$A$2:$J$5,3,FALSE)),1,0)</f>
        <v>0</v>
      </c>
      <c r="S479" s="9">
        <f>IF($A479=VLOOKUP(YEAR($A479),'Festive dates'!$A$2:$J$5,2,FALSE),1,0)</f>
        <v>0</v>
      </c>
      <c r="T479" s="9">
        <f>IF($A479=VLOOKUP(YEAR($A479),'Festive dates'!$A$2:$J$5,3,FALSE),1,0)</f>
        <v>0</v>
      </c>
      <c r="U479" s="9">
        <f>IF($A479=VLOOKUP(YEAR($A479),'Festive dates'!$A$2:$J$5,4,FALSE),1,0)</f>
        <v>0</v>
      </c>
      <c r="V479" s="9">
        <f>IF(AND($A479&gt;=VLOOKUP(YEAR($A479),'Festive dates'!$A$2:$J$5,9,FALSE),$A479&lt;=VLOOKUP(YEAR($A479),'Festive dates'!$A$2:$J$5,10,FALSE)),1,0)</f>
        <v>0</v>
      </c>
      <c r="W479" s="9">
        <f>IF($A479=VLOOKUP(YEAR($A479),'Festive dates'!$A$2:$J$5,7,FALSE),1,0)</f>
        <v>0</v>
      </c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>
      <c r="A480" s="8">
        <v>45495</v>
      </c>
      <c r="B480" s="9">
        <v>0</v>
      </c>
      <c r="C480" s="9">
        <v>0</v>
      </c>
      <c r="D480" s="9">
        <v>0</v>
      </c>
      <c r="E480" s="9">
        <v>0</v>
      </c>
      <c r="F480" s="9">
        <v>0</v>
      </c>
      <c r="G480" s="9">
        <v>0</v>
      </c>
      <c r="H480" s="9">
        <v>0</v>
      </c>
      <c r="I480" s="9">
        <v>0</v>
      </c>
      <c r="J480" s="9">
        <v>0</v>
      </c>
      <c r="K480" s="9">
        <v>0</v>
      </c>
      <c r="L480" s="9">
        <v>0</v>
      </c>
      <c r="M480" s="9">
        <v>0</v>
      </c>
      <c r="N480" s="9">
        <v>0</v>
      </c>
      <c r="O480" s="9">
        <v>0</v>
      </c>
      <c r="P480" s="9">
        <v>0</v>
      </c>
      <c r="Q480" s="9">
        <f>MAX(-20,MIN(10,$A480-VLOOKUP(YEAR($A480),'Festive dates'!$A$2:$J$5,8,FALSE)))</f>
        <v>-20</v>
      </c>
      <c r="R480" s="9">
        <f>IF(AND($A480&gt;VLOOKUP(YEAR($A480),'Festive dates'!$A$2:$J$5,2,FALSE),$A480&lt;VLOOKUP(YEAR($A480),'Festive dates'!$A$2:$J$5,3,FALSE)),1,0)</f>
        <v>0</v>
      </c>
      <c r="S480" s="9">
        <f>IF($A480=VLOOKUP(YEAR($A480),'Festive dates'!$A$2:$J$5,2,FALSE),1,0)</f>
        <v>0</v>
      </c>
      <c r="T480" s="9">
        <f>IF($A480=VLOOKUP(YEAR($A480),'Festive dates'!$A$2:$J$5,3,FALSE),1,0)</f>
        <v>0</v>
      </c>
      <c r="U480" s="9">
        <f>IF($A480=VLOOKUP(YEAR($A480),'Festive dates'!$A$2:$J$5,4,FALSE),1,0)</f>
        <v>0</v>
      </c>
      <c r="V480" s="9">
        <f>IF(AND($A480&gt;=VLOOKUP(YEAR($A480),'Festive dates'!$A$2:$J$5,9,FALSE),$A480&lt;=VLOOKUP(YEAR($A480),'Festive dates'!$A$2:$J$5,10,FALSE)),1,0)</f>
        <v>0</v>
      </c>
      <c r="W480" s="9">
        <f>IF($A480=VLOOKUP(YEAR($A480),'Festive dates'!$A$2:$J$5,7,FALSE),1,0)</f>
        <v>0</v>
      </c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>
      <c r="A481" s="8">
        <v>45496</v>
      </c>
      <c r="B481" s="9">
        <v>0</v>
      </c>
      <c r="C481" s="9">
        <v>0</v>
      </c>
      <c r="D481" s="9">
        <v>0</v>
      </c>
      <c r="E481" s="9">
        <v>0</v>
      </c>
      <c r="F481" s="9">
        <v>0</v>
      </c>
      <c r="G481" s="9">
        <v>0</v>
      </c>
      <c r="H481" s="9">
        <v>0</v>
      </c>
      <c r="I481" s="9">
        <v>0</v>
      </c>
      <c r="J481" s="9">
        <v>0</v>
      </c>
      <c r="K481" s="9">
        <v>0</v>
      </c>
      <c r="L481" s="9">
        <v>0</v>
      </c>
      <c r="M481" s="9">
        <v>0</v>
      </c>
      <c r="N481" s="9">
        <v>0</v>
      </c>
      <c r="O481" s="9">
        <v>0</v>
      </c>
      <c r="P481" s="9">
        <v>0</v>
      </c>
      <c r="Q481" s="9">
        <f>MAX(-20,MIN(10,$A481-VLOOKUP(YEAR($A481),'Festive dates'!$A$2:$J$5,8,FALSE)))</f>
        <v>-20</v>
      </c>
      <c r="R481" s="9">
        <f>IF(AND($A481&gt;VLOOKUP(YEAR($A481),'Festive dates'!$A$2:$J$5,2,FALSE),$A481&lt;VLOOKUP(YEAR($A481),'Festive dates'!$A$2:$J$5,3,FALSE)),1,0)</f>
        <v>0</v>
      </c>
      <c r="S481" s="9">
        <f>IF($A481=VLOOKUP(YEAR($A481),'Festive dates'!$A$2:$J$5,2,FALSE),1,0)</f>
        <v>0</v>
      </c>
      <c r="T481" s="9">
        <f>IF($A481=VLOOKUP(YEAR($A481),'Festive dates'!$A$2:$J$5,3,FALSE),1,0)</f>
        <v>0</v>
      </c>
      <c r="U481" s="9">
        <f>IF($A481=VLOOKUP(YEAR($A481),'Festive dates'!$A$2:$J$5,4,FALSE),1,0)</f>
        <v>0</v>
      </c>
      <c r="V481" s="9">
        <f>IF(AND($A481&gt;=VLOOKUP(YEAR($A481),'Festive dates'!$A$2:$J$5,9,FALSE),$A481&lt;=VLOOKUP(YEAR($A481),'Festive dates'!$A$2:$J$5,10,FALSE)),1,0)</f>
        <v>0</v>
      </c>
      <c r="W481" s="9">
        <f>IF($A481=VLOOKUP(YEAR($A481),'Festive dates'!$A$2:$J$5,7,FALSE),1,0)</f>
        <v>0</v>
      </c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>
      <c r="A482" s="8">
        <v>45497</v>
      </c>
      <c r="B482" s="9">
        <v>0</v>
      </c>
      <c r="C482" s="9">
        <v>0</v>
      </c>
      <c r="D482" s="9">
        <v>0</v>
      </c>
      <c r="E482" s="9">
        <v>0</v>
      </c>
      <c r="F482" s="9">
        <v>0</v>
      </c>
      <c r="G482" s="9">
        <v>0</v>
      </c>
      <c r="H482" s="9">
        <v>0</v>
      </c>
      <c r="I482" s="9">
        <v>0</v>
      </c>
      <c r="J482" s="9">
        <v>0</v>
      </c>
      <c r="K482" s="9">
        <v>0</v>
      </c>
      <c r="L482" s="9">
        <v>0</v>
      </c>
      <c r="M482" s="9">
        <v>0</v>
      </c>
      <c r="N482" s="9">
        <v>0</v>
      </c>
      <c r="O482" s="9">
        <v>0</v>
      </c>
      <c r="P482" s="9">
        <v>0</v>
      </c>
      <c r="Q482" s="9">
        <f>MAX(-20,MIN(10,$A482-VLOOKUP(YEAR($A482),'Festive dates'!$A$2:$J$5,8,FALSE)))</f>
        <v>-20</v>
      </c>
      <c r="R482" s="9">
        <f>IF(AND($A482&gt;VLOOKUP(YEAR($A482),'Festive dates'!$A$2:$J$5,2,FALSE),$A482&lt;VLOOKUP(YEAR($A482),'Festive dates'!$A$2:$J$5,3,FALSE)),1,0)</f>
        <v>0</v>
      </c>
      <c r="S482" s="9">
        <f>IF($A482=VLOOKUP(YEAR($A482),'Festive dates'!$A$2:$J$5,2,FALSE),1,0)</f>
        <v>0</v>
      </c>
      <c r="T482" s="9">
        <f>IF($A482=VLOOKUP(YEAR($A482),'Festive dates'!$A$2:$J$5,3,FALSE),1,0)</f>
        <v>0</v>
      </c>
      <c r="U482" s="9">
        <f>IF($A482=VLOOKUP(YEAR($A482),'Festive dates'!$A$2:$J$5,4,FALSE),1,0)</f>
        <v>0</v>
      </c>
      <c r="V482" s="9">
        <f>IF(AND($A482&gt;=VLOOKUP(YEAR($A482),'Festive dates'!$A$2:$J$5,9,FALSE),$A482&lt;=VLOOKUP(YEAR($A482),'Festive dates'!$A$2:$J$5,10,FALSE)),1,0)</f>
        <v>0</v>
      </c>
      <c r="W482" s="9">
        <f>IF($A482=VLOOKUP(YEAR($A482),'Festive dates'!$A$2:$J$5,7,FALSE),1,0)</f>
        <v>0</v>
      </c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>
      <c r="A483" s="8">
        <v>45498</v>
      </c>
      <c r="B483" s="9">
        <v>0</v>
      </c>
      <c r="C483" s="9">
        <v>0</v>
      </c>
      <c r="D483" s="9">
        <v>0</v>
      </c>
      <c r="E483" s="9">
        <v>0</v>
      </c>
      <c r="F483" s="9">
        <v>0</v>
      </c>
      <c r="G483" s="9">
        <v>0</v>
      </c>
      <c r="H483" s="9">
        <v>0</v>
      </c>
      <c r="I483" s="9">
        <v>0</v>
      </c>
      <c r="J483" s="9">
        <v>0</v>
      </c>
      <c r="K483" s="9">
        <v>0</v>
      </c>
      <c r="L483" s="9">
        <v>0</v>
      </c>
      <c r="M483" s="9">
        <v>0</v>
      </c>
      <c r="N483" s="9">
        <v>0</v>
      </c>
      <c r="O483" s="9">
        <v>0</v>
      </c>
      <c r="P483" s="9">
        <v>0</v>
      </c>
      <c r="Q483" s="9">
        <f>MAX(-20,MIN(10,$A483-VLOOKUP(YEAR($A483),'Festive dates'!$A$2:$J$5,8,FALSE)))</f>
        <v>-20</v>
      </c>
      <c r="R483" s="9">
        <f>IF(AND($A483&gt;VLOOKUP(YEAR($A483),'Festive dates'!$A$2:$J$5,2,FALSE),$A483&lt;VLOOKUP(YEAR($A483),'Festive dates'!$A$2:$J$5,3,FALSE)),1,0)</f>
        <v>0</v>
      </c>
      <c r="S483" s="9">
        <f>IF($A483=VLOOKUP(YEAR($A483),'Festive dates'!$A$2:$J$5,2,FALSE),1,0)</f>
        <v>0</v>
      </c>
      <c r="T483" s="9">
        <f>IF($A483=VLOOKUP(YEAR($A483),'Festive dates'!$A$2:$J$5,3,FALSE),1,0)</f>
        <v>0</v>
      </c>
      <c r="U483" s="9">
        <f>IF($A483=VLOOKUP(YEAR($A483),'Festive dates'!$A$2:$J$5,4,FALSE),1,0)</f>
        <v>0</v>
      </c>
      <c r="V483" s="9">
        <f>IF(AND($A483&gt;=VLOOKUP(YEAR($A483),'Festive dates'!$A$2:$J$5,9,FALSE),$A483&lt;=VLOOKUP(YEAR($A483),'Festive dates'!$A$2:$J$5,10,FALSE)),1,0)</f>
        <v>0</v>
      </c>
      <c r="W483" s="9">
        <f>IF($A483=VLOOKUP(YEAR($A483),'Festive dates'!$A$2:$J$5,7,FALSE),1,0)</f>
        <v>0</v>
      </c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>
      <c r="A484" s="8">
        <v>45499</v>
      </c>
      <c r="B484" s="9">
        <v>0</v>
      </c>
      <c r="C484" s="9">
        <v>0</v>
      </c>
      <c r="D484" s="9">
        <v>0</v>
      </c>
      <c r="E484" s="9">
        <v>0</v>
      </c>
      <c r="F484" s="9">
        <v>0</v>
      </c>
      <c r="G484" s="9">
        <v>0</v>
      </c>
      <c r="H484" s="9">
        <v>0</v>
      </c>
      <c r="I484" s="9">
        <v>0</v>
      </c>
      <c r="J484" s="9">
        <v>0</v>
      </c>
      <c r="K484" s="9">
        <v>0</v>
      </c>
      <c r="L484" s="9">
        <v>0</v>
      </c>
      <c r="M484" s="9">
        <v>0</v>
      </c>
      <c r="N484" s="9">
        <v>0</v>
      </c>
      <c r="O484" s="9">
        <v>0</v>
      </c>
      <c r="P484" s="9">
        <v>0</v>
      </c>
      <c r="Q484" s="9">
        <f>MAX(-20,MIN(10,$A484-VLOOKUP(YEAR($A484),'Festive dates'!$A$2:$J$5,8,FALSE)))</f>
        <v>-20</v>
      </c>
      <c r="R484" s="9">
        <f>IF(AND($A484&gt;VLOOKUP(YEAR($A484),'Festive dates'!$A$2:$J$5,2,FALSE),$A484&lt;VLOOKUP(YEAR($A484),'Festive dates'!$A$2:$J$5,3,FALSE)),1,0)</f>
        <v>0</v>
      </c>
      <c r="S484" s="9">
        <f>IF($A484=VLOOKUP(YEAR($A484),'Festive dates'!$A$2:$J$5,2,FALSE),1,0)</f>
        <v>0</v>
      </c>
      <c r="T484" s="9">
        <f>IF($A484=VLOOKUP(YEAR($A484),'Festive dates'!$A$2:$J$5,3,FALSE),1,0)</f>
        <v>0</v>
      </c>
      <c r="U484" s="9">
        <f>IF($A484=VLOOKUP(YEAR($A484),'Festive dates'!$A$2:$J$5,4,FALSE),1,0)</f>
        <v>0</v>
      </c>
      <c r="V484" s="9">
        <f>IF(AND($A484&gt;=VLOOKUP(YEAR($A484),'Festive dates'!$A$2:$J$5,9,FALSE),$A484&lt;=VLOOKUP(YEAR($A484),'Festive dates'!$A$2:$J$5,10,FALSE)),1,0)</f>
        <v>0</v>
      </c>
      <c r="W484" s="9">
        <f>IF($A484=VLOOKUP(YEAR($A484),'Festive dates'!$A$2:$J$5,7,FALSE),1,0)</f>
        <v>0</v>
      </c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>
      <c r="A485" s="8">
        <v>45500</v>
      </c>
      <c r="B485" s="9">
        <v>0</v>
      </c>
      <c r="C485" s="9">
        <v>0</v>
      </c>
      <c r="D485" s="9">
        <v>0</v>
      </c>
      <c r="E485" s="9">
        <v>0</v>
      </c>
      <c r="F485" s="9">
        <v>0</v>
      </c>
      <c r="G485" s="9">
        <v>0</v>
      </c>
      <c r="H485" s="9">
        <v>0</v>
      </c>
      <c r="I485" s="9">
        <v>0</v>
      </c>
      <c r="J485" s="9">
        <v>0</v>
      </c>
      <c r="K485" s="9">
        <v>0</v>
      </c>
      <c r="L485" s="9">
        <v>0</v>
      </c>
      <c r="M485" s="9">
        <v>0</v>
      </c>
      <c r="N485" s="9">
        <v>0</v>
      </c>
      <c r="O485" s="9">
        <v>0</v>
      </c>
      <c r="P485" s="9">
        <v>0</v>
      </c>
      <c r="Q485" s="9">
        <f>MAX(-20,MIN(10,$A485-VLOOKUP(YEAR($A485),'Festive dates'!$A$2:$J$5,8,FALSE)))</f>
        <v>-20</v>
      </c>
      <c r="R485" s="9">
        <f>IF(AND($A485&gt;VLOOKUP(YEAR($A485),'Festive dates'!$A$2:$J$5,2,FALSE),$A485&lt;VLOOKUP(YEAR($A485),'Festive dates'!$A$2:$J$5,3,FALSE)),1,0)</f>
        <v>0</v>
      </c>
      <c r="S485" s="9">
        <f>IF($A485=VLOOKUP(YEAR($A485),'Festive dates'!$A$2:$J$5,2,FALSE),1,0)</f>
        <v>0</v>
      </c>
      <c r="T485" s="9">
        <f>IF($A485=VLOOKUP(YEAR($A485),'Festive dates'!$A$2:$J$5,3,FALSE),1,0)</f>
        <v>0</v>
      </c>
      <c r="U485" s="9">
        <f>IF($A485=VLOOKUP(YEAR($A485),'Festive dates'!$A$2:$J$5,4,FALSE),1,0)</f>
        <v>0</v>
      </c>
      <c r="V485" s="9">
        <f>IF(AND($A485&gt;=VLOOKUP(YEAR($A485),'Festive dates'!$A$2:$J$5,9,FALSE),$A485&lt;=VLOOKUP(YEAR($A485),'Festive dates'!$A$2:$J$5,10,FALSE)),1,0)</f>
        <v>0</v>
      </c>
      <c r="W485" s="9">
        <f>IF($A485=VLOOKUP(YEAR($A485),'Festive dates'!$A$2:$J$5,7,FALSE),1,0)</f>
        <v>0</v>
      </c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>
      <c r="A486" s="8">
        <v>45501</v>
      </c>
      <c r="B486" s="9">
        <v>0</v>
      </c>
      <c r="C486" s="9">
        <v>0</v>
      </c>
      <c r="D486" s="9">
        <v>0</v>
      </c>
      <c r="E486" s="9">
        <v>0</v>
      </c>
      <c r="F486" s="9">
        <v>0</v>
      </c>
      <c r="G486" s="9">
        <v>0</v>
      </c>
      <c r="H486" s="9">
        <v>0</v>
      </c>
      <c r="I486" s="9">
        <v>0</v>
      </c>
      <c r="J486" s="9">
        <v>0</v>
      </c>
      <c r="K486" s="9">
        <v>0</v>
      </c>
      <c r="L486" s="9">
        <v>0</v>
      </c>
      <c r="M486" s="9">
        <v>0</v>
      </c>
      <c r="N486" s="9">
        <v>0</v>
      </c>
      <c r="O486" s="9">
        <v>0</v>
      </c>
      <c r="P486" s="9">
        <v>0</v>
      </c>
      <c r="Q486" s="9">
        <f>MAX(-20,MIN(10,$A486-VLOOKUP(YEAR($A486),'Festive dates'!$A$2:$J$5,8,FALSE)))</f>
        <v>-20</v>
      </c>
      <c r="R486" s="9">
        <f>IF(AND($A486&gt;VLOOKUP(YEAR($A486),'Festive dates'!$A$2:$J$5,2,FALSE),$A486&lt;VLOOKUP(YEAR($A486),'Festive dates'!$A$2:$J$5,3,FALSE)),1,0)</f>
        <v>0</v>
      </c>
      <c r="S486" s="9">
        <f>IF($A486=VLOOKUP(YEAR($A486),'Festive dates'!$A$2:$J$5,2,FALSE),1,0)</f>
        <v>0</v>
      </c>
      <c r="T486" s="9">
        <f>IF($A486=VLOOKUP(YEAR($A486),'Festive dates'!$A$2:$J$5,3,FALSE),1,0)</f>
        <v>0</v>
      </c>
      <c r="U486" s="9">
        <f>IF($A486=VLOOKUP(YEAR($A486),'Festive dates'!$A$2:$J$5,4,FALSE),1,0)</f>
        <v>0</v>
      </c>
      <c r="V486" s="9">
        <f>IF(AND($A486&gt;=VLOOKUP(YEAR($A486),'Festive dates'!$A$2:$J$5,9,FALSE),$A486&lt;=VLOOKUP(YEAR($A486),'Festive dates'!$A$2:$J$5,10,FALSE)),1,0)</f>
        <v>0</v>
      </c>
      <c r="W486" s="9">
        <f>IF($A486=VLOOKUP(YEAR($A486),'Festive dates'!$A$2:$J$5,7,FALSE),1,0)</f>
        <v>0</v>
      </c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>
      <c r="A487" s="8">
        <v>45502</v>
      </c>
      <c r="B487" s="9">
        <v>0</v>
      </c>
      <c r="C487" s="9">
        <v>0</v>
      </c>
      <c r="D487" s="9">
        <v>0</v>
      </c>
      <c r="E487" s="9">
        <v>0</v>
      </c>
      <c r="F487" s="9">
        <v>0</v>
      </c>
      <c r="G487" s="9">
        <v>0</v>
      </c>
      <c r="H487" s="9">
        <v>0</v>
      </c>
      <c r="I487" s="9">
        <v>0</v>
      </c>
      <c r="J487" s="9">
        <v>0</v>
      </c>
      <c r="K487" s="9">
        <v>0</v>
      </c>
      <c r="L487" s="9">
        <v>0</v>
      </c>
      <c r="M487" s="9">
        <v>0</v>
      </c>
      <c r="N487" s="9">
        <v>0</v>
      </c>
      <c r="O487" s="9">
        <v>0</v>
      </c>
      <c r="P487" s="9">
        <v>0</v>
      </c>
      <c r="Q487" s="9">
        <f>MAX(-20,MIN(10,$A487-VLOOKUP(YEAR($A487),'Festive dates'!$A$2:$J$5,8,FALSE)))</f>
        <v>-20</v>
      </c>
      <c r="R487" s="9">
        <f>IF(AND($A487&gt;VLOOKUP(YEAR($A487),'Festive dates'!$A$2:$J$5,2,FALSE),$A487&lt;VLOOKUP(YEAR($A487),'Festive dates'!$A$2:$J$5,3,FALSE)),1,0)</f>
        <v>0</v>
      </c>
      <c r="S487" s="9">
        <f>IF($A487=VLOOKUP(YEAR($A487),'Festive dates'!$A$2:$J$5,2,FALSE),1,0)</f>
        <v>0</v>
      </c>
      <c r="T487" s="9">
        <f>IF($A487=VLOOKUP(YEAR($A487),'Festive dates'!$A$2:$J$5,3,FALSE),1,0)</f>
        <v>0</v>
      </c>
      <c r="U487" s="9">
        <f>IF($A487=VLOOKUP(YEAR($A487),'Festive dates'!$A$2:$J$5,4,FALSE),1,0)</f>
        <v>0</v>
      </c>
      <c r="V487" s="9">
        <f>IF(AND($A487&gt;=VLOOKUP(YEAR($A487),'Festive dates'!$A$2:$J$5,9,FALSE),$A487&lt;=VLOOKUP(YEAR($A487),'Festive dates'!$A$2:$J$5,10,FALSE)),1,0)</f>
        <v>0</v>
      </c>
      <c r="W487" s="9">
        <f>IF($A487=VLOOKUP(YEAR($A487),'Festive dates'!$A$2:$J$5,7,FALSE),1,0)</f>
        <v>0</v>
      </c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>
      <c r="A488" s="8">
        <v>45503</v>
      </c>
      <c r="B488" s="9">
        <v>0</v>
      </c>
      <c r="C488" s="9">
        <v>0</v>
      </c>
      <c r="D488" s="9">
        <v>0</v>
      </c>
      <c r="E488" s="9">
        <v>0</v>
      </c>
      <c r="F488" s="9">
        <v>0</v>
      </c>
      <c r="G488" s="9">
        <v>0</v>
      </c>
      <c r="H488" s="9">
        <v>0</v>
      </c>
      <c r="I488" s="9">
        <v>0</v>
      </c>
      <c r="J488" s="9">
        <v>0</v>
      </c>
      <c r="K488" s="9">
        <v>0</v>
      </c>
      <c r="L488" s="9">
        <v>0</v>
      </c>
      <c r="M488" s="9">
        <v>0</v>
      </c>
      <c r="N488" s="9">
        <v>0</v>
      </c>
      <c r="O488" s="9">
        <v>0</v>
      </c>
      <c r="P488" s="9">
        <v>0</v>
      </c>
      <c r="Q488" s="9">
        <f>MAX(-20,MIN(10,$A488-VLOOKUP(YEAR($A488),'Festive dates'!$A$2:$J$5,8,FALSE)))</f>
        <v>-20</v>
      </c>
      <c r="R488" s="9">
        <f>IF(AND($A488&gt;VLOOKUP(YEAR($A488),'Festive dates'!$A$2:$J$5,2,FALSE),$A488&lt;VLOOKUP(YEAR($A488),'Festive dates'!$A$2:$J$5,3,FALSE)),1,0)</f>
        <v>0</v>
      </c>
      <c r="S488" s="9">
        <f>IF($A488=VLOOKUP(YEAR($A488),'Festive dates'!$A$2:$J$5,2,FALSE),1,0)</f>
        <v>0</v>
      </c>
      <c r="T488" s="9">
        <f>IF($A488=VLOOKUP(YEAR($A488),'Festive dates'!$A$2:$J$5,3,FALSE),1,0)</f>
        <v>0</v>
      </c>
      <c r="U488" s="9">
        <f>IF($A488=VLOOKUP(YEAR($A488),'Festive dates'!$A$2:$J$5,4,FALSE),1,0)</f>
        <v>0</v>
      </c>
      <c r="V488" s="9">
        <f>IF(AND($A488&gt;=VLOOKUP(YEAR($A488),'Festive dates'!$A$2:$J$5,9,FALSE),$A488&lt;=VLOOKUP(YEAR($A488),'Festive dates'!$A$2:$J$5,10,FALSE)),1,0)</f>
        <v>0</v>
      </c>
      <c r="W488" s="9">
        <f>IF($A488=VLOOKUP(YEAR($A488),'Festive dates'!$A$2:$J$5,7,FALSE),1,0)</f>
        <v>0</v>
      </c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>
      <c r="A489" s="8">
        <v>45504</v>
      </c>
      <c r="B489" s="9">
        <v>0</v>
      </c>
      <c r="C489" s="9">
        <v>0</v>
      </c>
      <c r="D489" s="9">
        <v>0</v>
      </c>
      <c r="E489" s="9">
        <v>0</v>
      </c>
      <c r="F489" s="9">
        <v>0</v>
      </c>
      <c r="G489" s="9">
        <v>0</v>
      </c>
      <c r="H489" s="9">
        <v>0</v>
      </c>
      <c r="I489" s="9">
        <v>0</v>
      </c>
      <c r="J489" s="9">
        <v>0</v>
      </c>
      <c r="K489" s="9">
        <v>0</v>
      </c>
      <c r="L489" s="9">
        <v>0</v>
      </c>
      <c r="M489" s="9">
        <v>0</v>
      </c>
      <c r="N489" s="9">
        <v>0</v>
      </c>
      <c r="O489" s="9">
        <v>0</v>
      </c>
      <c r="P489" s="9">
        <v>0</v>
      </c>
      <c r="Q489" s="9">
        <f>MAX(-20,MIN(10,$A489-VLOOKUP(YEAR($A489),'Festive dates'!$A$2:$J$5,8,FALSE)))</f>
        <v>-20</v>
      </c>
      <c r="R489" s="9">
        <f>IF(AND($A489&gt;VLOOKUP(YEAR($A489),'Festive dates'!$A$2:$J$5,2,FALSE),$A489&lt;VLOOKUP(YEAR($A489),'Festive dates'!$A$2:$J$5,3,FALSE)),1,0)</f>
        <v>0</v>
      </c>
      <c r="S489" s="9">
        <f>IF($A489=VLOOKUP(YEAR($A489),'Festive dates'!$A$2:$J$5,2,FALSE),1,0)</f>
        <v>0</v>
      </c>
      <c r="T489" s="9">
        <f>IF($A489=VLOOKUP(YEAR($A489),'Festive dates'!$A$2:$J$5,3,FALSE),1,0)</f>
        <v>0</v>
      </c>
      <c r="U489" s="9">
        <f>IF($A489=VLOOKUP(YEAR($A489),'Festive dates'!$A$2:$J$5,4,FALSE),1,0)</f>
        <v>0</v>
      </c>
      <c r="V489" s="9">
        <f>IF(AND($A489&gt;=VLOOKUP(YEAR($A489),'Festive dates'!$A$2:$J$5,9,FALSE),$A489&lt;=VLOOKUP(YEAR($A489),'Festive dates'!$A$2:$J$5,10,FALSE)),1,0)</f>
        <v>0</v>
      </c>
      <c r="W489" s="9">
        <f>IF($A489=VLOOKUP(YEAR($A489),'Festive dates'!$A$2:$J$5,7,FALSE),1,0)</f>
        <v>0</v>
      </c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>
      <c r="A490" s="8">
        <v>45505</v>
      </c>
      <c r="B490" s="9">
        <v>0</v>
      </c>
      <c r="C490" s="9">
        <v>0</v>
      </c>
      <c r="D490" s="9">
        <v>0</v>
      </c>
      <c r="E490" s="9">
        <v>0</v>
      </c>
      <c r="F490" s="9">
        <v>0</v>
      </c>
      <c r="G490" s="9">
        <v>0</v>
      </c>
      <c r="H490" s="9">
        <v>0</v>
      </c>
      <c r="I490" s="9">
        <v>0</v>
      </c>
      <c r="J490" s="9">
        <v>0</v>
      </c>
      <c r="K490" s="9">
        <v>0</v>
      </c>
      <c r="L490" s="9">
        <v>0</v>
      </c>
      <c r="M490" s="9">
        <v>0</v>
      </c>
      <c r="N490" s="9">
        <v>0</v>
      </c>
      <c r="O490" s="9">
        <v>0</v>
      </c>
      <c r="P490" s="9">
        <v>0</v>
      </c>
      <c r="Q490" s="9">
        <f>MAX(-20,MIN(10,$A490-VLOOKUP(YEAR($A490),'Festive dates'!$A$2:$J$5,8,FALSE)))</f>
        <v>-20</v>
      </c>
      <c r="R490" s="9">
        <f>IF(AND($A490&gt;VLOOKUP(YEAR($A490),'Festive dates'!$A$2:$J$5,2,FALSE),$A490&lt;VLOOKUP(YEAR($A490),'Festive dates'!$A$2:$J$5,3,FALSE)),1,0)</f>
        <v>0</v>
      </c>
      <c r="S490" s="9">
        <f>IF($A490=VLOOKUP(YEAR($A490),'Festive dates'!$A$2:$J$5,2,FALSE),1,0)</f>
        <v>0</v>
      </c>
      <c r="T490" s="9">
        <f>IF($A490=VLOOKUP(YEAR($A490),'Festive dates'!$A$2:$J$5,3,FALSE),1,0)</f>
        <v>0</v>
      </c>
      <c r="U490" s="9">
        <f>IF($A490=VLOOKUP(YEAR($A490),'Festive dates'!$A$2:$J$5,4,FALSE),1,0)</f>
        <v>0</v>
      </c>
      <c r="V490" s="9">
        <f>IF(AND($A490&gt;=VLOOKUP(YEAR($A490),'Festive dates'!$A$2:$J$5,9,FALSE),$A490&lt;=VLOOKUP(YEAR($A490),'Festive dates'!$A$2:$J$5,10,FALSE)),1,0)</f>
        <v>0</v>
      </c>
      <c r="W490" s="9">
        <f>IF($A490=VLOOKUP(YEAR($A490),'Festive dates'!$A$2:$J$5,7,FALSE),1,0)</f>
        <v>0</v>
      </c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>
      <c r="A491" s="8">
        <v>45506</v>
      </c>
      <c r="B491" s="9">
        <v>0</v>
      </c>
      <c r="C491" s="9">
        <v>0</v>
      </c>
      <c r="D491" s="9">
        <v>0</v>
      </c>
      <c r="E491" s="9">
        <v>0</v>
      </c>
      <c r="F491" s="9">
        <v>0</v>
      </c>
      <c r="G491" s="9">
        <v>0</v>
      </c>
      <c r="H491" s="9">
        <v>0</v>
      </c>
      <c r="I491" s="9">
        <v>0</v>
      </c>
      <c r="J491" s="9">
        <v>0</v>
      </c>
      <c r="K491" s="9">
        <v>0</v>
      </c>
      <c r="L491" s="9">
        <v>0</v>
      </c>
      <c r="M491" s="9">
        <v>0</v>
      </c>
      <c r="N491" s="9">
        <v>0</v>
      </c>
      <c r="O491" s="9">
        <v>0</v>
      </c>
      <c r="P491" s="9">
        <v>0</v>
      </c>
      <c r="Q491" s="9">
        <f>MAX(-20,MIN(10,$A491-VLOOKUP(YEAR($A491),'Festive dates'!$A$2:$J$5,8,FALSE)))</f>
        <v>-20</v>
      </c>
      <c r="R491" s="9">
        <f>IF(AND($A491&gt;VLOOKUP(YEAR($A491),'Festive dates'!$A$2:$J$5,2,FALSE),$A491&lt;VLOOKUP(YEAR($A491),'Festive dates'!$A$2:$J$5,3,FALSE)),1,0)</f>
        <v>0</v>
      </c>
      <c r="S491" s="9">
        <f>IF($A491=VLOOKUP(YEAR($A491),'Festive dates'!$A$2:$J$5,2,FALSE),1,0)</f>
        <v>0</v>
      </c>
      <c r="T491" s="9">
        <f>IF($A491=VLOOKUP(YEAR($A491),'Festive dates'!$A$2:$J$5,3,FALSE),1,0)</f>
        <v>0</v>
      </c>
      <c r="U491" s="9">
        <f>IF($A491=VLOOKUP(YEAR($A491),'Festive dates'!$A$2:$J$5,4,FALSE),1,0)</f>
        <v>0</v>
      </c>
      <c r="V491" s="9">
        <f>IF(AND($A491&gt;=VLOOKUP(YEAR($A491),'Festive dates'!$A$2:$J$5,9,FALSE),$A491&lt;=VLOOKUP(YEAR($A491),'Festive dates'!$A$2:$J$5,10,FALSE)),1,0)</f>
        <v>0</v>
      </c>
      <c r="W491" s="9">
        <f>IF($A491=VLOOKUP(YEAR($A491),'Festive dates'!$A$2:$J$5,7,FALSE),1,0)</f>
        <v>0</v>
      </c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>
      <c r="A492" s="8">
        <v>45507</v>
      </c>
      <c r="B492" s="9">
        <v>0</v>
      </c>
      <c r="C492" s="9">
        <v>0</v>
      </c>
      <c r="D492" s="9">
        <v>0</v>
      </c>
      <c r="E492" s="9">
        <v>0</v>
      </c>
      <c r="F492" s="9">
        <v>0</v>
      </c>
      <c r="G492" s="9">
        <v>0</v>
      </c>
      <c r="H492" s="9">
        <v>0</v>
      </c>
      <c r="I492" s="9">
        <v>0</v>
      </c>
      <c r="J492" s="9">
        <v>0</v>
      </c>
      <c r="K492" s="9">
        <v>0</v>
      </c>
      <c r="L492" s="9">
        <v>0</v>
      </c>
      <c r="M492" s="9">
        <v>0</v>
      </c>
      <c r="N492" s="9">
        <v>0</v>
      </c>
      <c r="O492" s="9">
        <v>0</v>
      </c>
      <c r="P492" s="9">
        <v>0</v>
      </c>
      <c r="Q492" s="9">
        <f>MAX(-20,MIN(10,$A492-VLOOKUP(YEAR($A492),'Festive dates'!$A$2:$J$5,8,FALSE)))</f>
        <v>-20</v>
      </c>
      <c r="R492" s="9">
        <f>IF(AND($A492&gt;VLOOKUP(YEAR($A492),'Festive dates'!$A$2:$J$5,2,FALSE),$A492&lt;VLOOKUP(YEAR($A492),'Festive dates'!$A$2:$J$5,3,FALSE)),1,0)</f>
        <v>0</v>
      </c>
      <c r="S492" s="9">
        <f>IF($A492=VLOOKUP(YEAR($A492),'Festive dates'!$A$2:$J$5,2,FALSE),1,0)</f>
        <v>0</v>
      </c>
      <c r="T492" s="9">
        <f>IF($A492=VLOOKUP(YEAR($A492),'Festive dates'!$A$2:$J$5,3,FALSE),1,0)</f>
        <v>0</v>
      </c>
      <c r="U492" s="9">
        <f>IF($A492=VLOOKUP(YEAR($A492),'Festive dates'!$A$2:$J$5,4,FALSE),1,0)</f>
        <v>0</v>
      </c>
      <c r="V492" s="9">
        <f>IF(AND($A492&gt;=VLOOKUP(YEAR($A492),'Festive dates'!$A$2:$J$5,9,FALSE),$A492&lt;=VLOOKUP(YEAR($A492),'Festive dates'!$A$2:$J$5,10,FALSE)),1,0)</f>
        <v>0</v>
      </c>
      <c r="W492" s="9">
        <f>IF($A492=VLOOKUP(YEAR($A492),'Festive dates'!$A$2:$J$5,7,FALSE),1,0)</f>
        <v>0</v>
      </c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>
      <c r="A493" s="8">
        <v>45508</v>
      </c>
      <c r="B493" s="9">
        <v>0</v>
      </c>
      <c r="C493" s="9">
        <v>0</v>
      </c>
      <c r="D493" s="9">
        <v>0</v>
      </c>
      <c r="E493" s="9">
        <v>0</v>
      </c>
      <c r="F493" s="9">
        <v>0</v>
      </c>
      <c r="G493" s="9">
        <v>0</v>
      </c>
      <c r="H493" s="9">
        <v>0</v>
      </c>
      <c r="I493" s="9">
        <v>0</v>
      </c>
      <c r="J493" s="9">
        <v>0</v>
      </c>
      <c r="K493" s="9">
        <v>0</v>
      </c>
      <c r="L493" s="9">
        <v>0</v>
      </c>
      <c r="M493" s="9">
        <v>0</v>
      </c>
      <c r="N493" s="9">
        <v>0</v>
      </c>
      <c r="O493" s="9">
        <v>0</v>
      </c>
      <c r="P493" s="9">
        <v>0</v>
      </c>
      <c r="Q493" s="9">
        <f>MAX(-20,MIN(10,$A493-VLOOKUP(YEAR($A493),'Festive dates'!$A$2:$J$5,8,FALSE)))</f>
        <v>-20</v>
      </c>
      <c r="R493" s="9">
        <f>IF(AND($A493&gt;VLOOKUP(YEAR($A493),'Festive dates'!$A$2:$J$5,2,FALSE),$A493&lt;VLOOKUP(YEAR($A493),'Festive dates'!$A$2:$J$5,3,FALSE)),1,0)</f>
        <v>0</v>
      </c>
      <c r="S493" s="9">
        <f>IF($A493=VLOOKUP(YEAR($A493),'Festive dates'!$A$2:$J$5,2,FALSE),1,0)</f>
        <v>0</v>
      </c>
      <c r="T493" s="9">
        <f>IF($A493=VLOOKUP(YEAR($A493),'Festive dates'!$A$2:$J$5,3,FALSE),1,0)</f>
        <v>0</v>
      </c>
      <c r="U493" s="9">
        <f>IF($A493=VLOOKUP(YEAR($A493),'Festive dates'!$A$2:$J$5,4,FALSE),1,0)</f>
        <v>0</v>
      </c>
      <c r="V493" s="9">
        <f>IF(AND($A493&gt;=VLOOKUP(YEAR($A493),'Festive dates'!$A$2:$J$5,9,FALSE),$A493&lt;=VLOOKUP(YEAR($A493),'Festive dates'!$A$2:$J$5,10,FALSE)),1,0)</f>
        <v>0</v>
      </c>
      <c r="W493" s="9">
        <f>IF($A493=VLOOKUP(YEAR($A493),'Festive dates'!$A$2:$J$5,7,FALSE),1,0)</f>
        <v>0</v>
      </c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>
      <c r="A494" s="8">
        <v>45509</v>
      </c>
      <c r="B494" s="9">
        <v>0</v>
      </c>
      <c r="C494" s="9">
        <v>0</v>
      </c>
      <c r="D494" s="9">
        <v>0</v>
      </c>
      <c r="E494" s="9">
        <v>0</v>
      </c>
      <c r="F494" s="9">
        <v>0</v>
      </c>
      <c r="G494" s="9">
        <v>0</v>
      </c>
      <c r="H494" s="9">
        <v>0</v>
      </c>
      <c r="I494" s="9">
        <v>0</v>
      </c>
      <c r="J494" s="9">
        <v>0</v>
      </c>
      <c r="K494" s="9">
        <v>0</v>
      </c>
      <c r="L494" s="9">
        <v>0</v>
      </c>
      <c r="M494" s="9">
        <v>0</v>
      </c>
      <c r="N494" s="9">
        <v>0</v>
      </c>
      <c r="O494" s="9">
        <v>0</v>
      </c>
      <c r="P494" s="9">
        <v>0</v>
      </c>
      <c r="Q494" s="9">
        <f>MAX(-20,MIN(10,$A494-VLOOKUP(YEAR($A494),'Festive dates'!$A$2:$J$5,8,FALSE)))</f>
        <v>-20</v>
      </c>
      <c r="R494" s="9">
        <f>IF(AND($A494&gt;VLOOKUP(YEAR($A494),'Festive dates'!$A$2:$J$5,2,FALSE),$A494&lt;VLOOKUP(YEAR($A494),'Festive dates'!$A$2:$J$5,3,FALSE)),1,0)</f>
        <v>0</v>
      </c>
      <c r="S494" s="9">
        <f>IF($A494=VLOOKUP(YEAR($A494),'Festive dates'!$A$2:$J$5,2,FALSE),1,0)</f>
        <v>0</v>
      </c>
      <c r="T494" s="9">
        <f>IF($A494=VLOOKUP(YEAR($A494),'Festive dates'!$A$2:$J$5,3,FALSE),1,0)</f>
        <v>0</v>
      </c>
      <c r="U494" s="9">
        <f>IF($A494=VLOOKUP(YEAR($A494),'Festive dates'!$A$2:$J$5,4,FALSE),1,0)</f>
        <v>0</v>
      </c>
      <c r="V494" s="9">
        <f>IF(AND($A494&gt;=VLOOKUP(YEAR($A494),'Festive dates'!$A$2:$J$5,9,FALSE),$A494&lt;=VLOOKUP(YEAR($A494),'Festive dates'!$A$2:$J$5,10,FALSE)),1,0)</f>
        <v>0</v>
      </c>
      <c r="W494" s="9">
        <f>IF($A494=VLOOKUP(YEAR($A494),'Festive dates'!$A$2:$J$5,7,FALSE),1,0)</f>
        <v>0</v>
      </c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>
      <c r="A495" s="8">
        <v>45510</v>
      </c>
      <c r="B495" s="9">
        <v>0</v>
      </c>
      <c r="C495" s="9">
        <v>0</v>
      </c>
      <c r="D495" s="9">
        <v>0</v>
      </c>
      <c r="E495" s="9">
        <v>0</v>
      </c>
      <c r="F495" s="9">
        <v>0</v>
      </c>
      <c r="G495" s="9">
        <v>0</v>
      </c>
      <c r="H495" s="9">
        <v>0</v>
      </c>
      <c r="I495" s="9">
        <v>0</v>
      </c>
      <c r="J495" s="9">
        <v>0</v>
      </c>
      <c r="K495" s="9">
        <v>0</v>
      </c>
      <c r="L495" s="9">
        <v>0</v>
      </c>
      <c r="M495" s="9">
        <v>0</v>
      </c>
      <c r="N495" s="9">
        <v>0</v>
      </c>
      <c r="O495" s="9">
        <v>0</v>
      </c>
      <c r="P495" s="9">
        <v>0</v>
      </c>
      <c r="Q495" s="9">
        <f>MAX(-20,MIN(10,$A495-VLOOKUP(YEAR($A495),'Festive dates'!$A$2:$J$5,8,FALSE)))</f>
        <v>-20</v>
      </c>
      <c r="R495" s="9">
        <f>IF(AND($A495&gt;VLOOKUP(YEAR($A495),'Festive dates'!$A$2:$J$5,2,FALSE),$A495&lt;VLOOKUP(YEAR($A495),'Festive dates'!$A$2:$J$5,3,FALSE)),1,0)</f>
        <v>0</v>
      </c>
      <c r="S495" s="9">
        <f>IF($A495=VLOOKUP(YEAR($A495),'Festive dates'!$A$2:$J$5,2,FALSE),1,0)</f>
        <v>0</v>
      </c>
      <c r="T495" s="9">
        <f>IF($A495=VLOOKUP(YEAR($A495),'Festive dates'!$A$2:$J$5,3,FALSE),1,0)</f>
        <v>0</v>
      </c>
      <c r="U495" s="9">
        <f>IF($A495=VLOOKUP(YEAR($A495),'Festive dates'!$A$2:$J$5,4,FALSE),1,0)</f>
        <v>0</v>
      </c>
      <c r="V495" s="9">
        <f>IF(AND($A495&gt;=VLOOKUP(YEAR($A495),'Festive dates'!$A$2:$J$5,9,FALSE),$A495&lt;=VLOOKUP(YEAR($A495),'Festive dates'!$A$2:$J$5,10,FALSE)),1,0)</f>
        <v>0</v>
      </c>
      <c r="W495" s="9">
        <f>IF($A495=VLOOKUP(YEAR($A495),'Festive dates'!$A$2:$J$5,7,FALSE),1,0)</f>
        <v>0</v>
      </c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>
      <c r="A496" s="8">
        <v>45511</v>
      </c>
      <c r="B496" s="9">
        <v>0</v>
      </c>
      <c r="C496" s="9">
        <v>0</v>
      </c>
      <c r="D496" s="9">
        <v>0</v>
      </c>
      <c r="E496" s="9">
        <v>0</v>
      </c>
      <c r="F496" s="9">
        <v>0</v>
      </c>
      <c r="G496" s="9">
        <v>0</v>
      </c>
      <c r="H496" s="9">
        <v>0</v>
      </c>
      <c r="I496" s="9">
        <v>0</v>
      </c>
      <c r="J496" s="9">
        <v>0</v>
      </c>
      <c r="K496" s="9">
        <v>0</v>
      </c>
      <c r="L496" s="9">
        <v>0</v>
      </c>
      <c r="M496" s="9">
        <v>0</v>
      </c>
      <c r="N496" s="9">
        <v>0</v>
      </c>
      <c r="O496" s="9">
        <v>0</v>
      </c>
      <c r="P496" s="9">
        <v>0</v>
      </c>
      <c r="Q496" s="9">
        <f>MAX(-20,MIN(10,$A496-VLOOKUP(YEAR($A496),'Festive dates'!$A$2:$J$5,8,FALSE)))</f>
        <v>-20</v>
      </c>
      <c r="R496" s="9">
        <f>IF(AND($A496&gt;VLOOKUP(YEAR($A496),'Festive dates'!$A$2:$J$5,2,FALSE),$A496&lt;VLOOKUP(YEAR($A496),'Festive dates'!$A$2:$J$5,3,FALSE)),1,0)</f>
        <v>0</v>
      </c>
      <c r="S496" s="9">
        <f>IF($A496=VLOOKUP(YEAR($A496),'Festive dates'!$A$2:$J$5,2,FALSE),1,0)</f>
        <v>0</v>
      </c>
      <c r="T496" s="9">
        <f>IF($A496=VLOOKUP(YEAR($A496),'Festive dates'!$A$2:$J$5,3,FALSE),1,0)</f>
        <v>0</v>
      </c>
      <c r="U496" s="9">
        <f>IF($A496=VLOOKUP(YEAR($A496),'Festive dates'!$A$2:$J$5,4,FALSE),1,0)</f>
        <v>0</v>
      </c>
      <c r="V496" s="9">
        <f>IF(AND($A496&gt;=VLOOKUP(YEAR($A496),'Festive dates'!$A$2:$J$5,9,FALSE),$A496&lt;=VLOOKUP(YEAR($A496),'Festive dates'!$A$2:$J$5,10,FALSE)),1,0)</f>
        <v>0</v>
      </c>
      <c r="W496" s="9">
        <f>IF($A496=VLOOKUP(YEAR($A496),'Festive dates'!$A$2:$J$5,7,FALSE),1,0)</f>
        <v>0</v>
      </c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>
      <c r="A497" s="8">
        <v>45512</v>
      </c>
      <c r="B497" s="9">
        <v>0</v>
      </c>
      <c r="C497" s="9">
        <v>0</v>
      </c>
      <c r="D497" s="9">
        <v>0</v>
      </c>
      <c r="E497" s="9">
        <v>0</v>
      </c>
      <c r="F497" s="9">
        <v>0</v>
      </c>
      <c r="G497" s="9">
        <v>0</v>
      </c>
      <c r="H497" s="9">
        <v>0</v>
      </c>
      <c r="I497" s="9">
        <v>0</v>
      </c>
      <c r="J497" s="9">
        <v>0</v>
      </c>
      <c r="K497" s="9">
        <v>0</v>
      </c>
      <c r="L497" s="9">
        <v>0</v>
      </c>
      <c r="M497" s="9">
        <v>0</v>
      </c>
      <c r="N497" s="9">
        <v>0</v>
      </c>
      <c r="O497" s="9">
        <v>0</v>
      </c>
      <c r="P497" s="9">
        <v>0</v>
      </c>
      <c r="Q497" s="9">
        <f>MAX(-20,MIN(10,$A497-VLOOKUP(YEAR($A497),'Festive dates'!$A$2:$J$5,8,FALSE)))</f>
        <v>-20</v>
      </c>
      <c r="R497" s="9">
        <f>IF(AND($A497&gt;VLOOKUP(YEAR($A497),'Festive dates'!$A$2:$J$5,2,FALSE),$A497&lt;VLOOKUP(YEAR($A497),'Festive dates'!$A$2:$J$5,3,FALSE)),1,0)</f>
        <v>0</v>
      </c>
      <c r="S497" s="9">
        <f>IF($A497=VLOOKUP(YEAR($A497),'Festive dates'!$A$2:$J$5,2,FALSE),1,0)</f>
        <v>0</v>
      </c>
      <c r="T497" s="9">
        <f>IF($A497=VLOOKUP(YEAR($A497),'Festive dates'!$A$2:$J$5,3,FALSE),1,0)</f>
        <v>0</v>
      </c>
      <c r="U497" s="9">
        <f>IF($A497=VLOOKUP(YEAR($A497),'Festive dates'!$A$2:$J$5,4,FALSE),1,0)</f>
        <v>0</v>
      </c>
      <c r="V497" s="9">
        <f>IF(AND($A497&gt;=VLOOKUP(YEAR($A497),'Festive dates'!$A$2:$J$5,9,FALSE),$A497&lt;=VLOOKUP(YEAR($A497),'Festive dates'!$A$2:$J$5,10,FALSE)),1,0)</f>
        <v>0</v>
      </c>
      <c r="W497" s="9">
        <f>IF($A497=VLOOKUP(YEAR($A497),'Festive dates'!$A$2:$J$5,7,FALSE),1,0)</f>
        <v>0</v>
      </c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>
      <c r="A498" s="8">
        <v>45513</v>
      </c>
      <c r="B498" s="9">
        <v>0</v>
      </c>
      <c r="C498" s="9">
        <v>0</v>
      </c>
      <c r="D498" s="9">
        <v>0</v>
      </c>
      <c r="E498" s="9">
        <v>0</v>
      </c>
      <c r="F498" s="9">
        <v>0</v>
      </c>
      <c r="G498" s="9">
        <v>0</v>
      </c>
      <c r="H498" s="9">
        <v>0</v>
      </c>
      <c r="I498" s="9">
        <v>0</v>
      </c>
      <c r="J498" s="9">
        <v>0</v>
      </c>
      <c r="K498" s="9">
        <v>0</v>
      </c>
      <c r="L498" s="9">
        <v>0</v>
      </c>
      <c r="M498" s="9">
        <v>0</v>
      </c>
      <c r="N498" s="9">
        <v>1</v>
      </c>
      <c r="O498" s="9">
        <v>0</v>
      </c>
      <c r="P498" s="9">
        <v>0</v>
      </c>
      <c r="Q498" s="9">
        <f>MAX(-20,MIN(10,$A498-VLOOKUP(YEAR($A498),'Festive dates'!$A$2:$J$5,8,FALSE)))</f>
        <v>-20</v>
      </c>
      <c r="R498" s="9">
        <f>IF(AND($A498&gt;VLOOKUP(YEAR($A498),'Festive dates'!$A$2:$J$5,2,FALSE),$A498&lt;VLOOKUP(YEAR($A498),'Festive dates'!$A$2:$J$5,3,FALSE)),1,0)</f>
        <v>0</v>
      </c>
      <c r="S498" s="9">
        <f>IF($A498=VLOOKUP(YEAR($A498),'Festive dates'!$A$2:$J$5,2,FALSE),1,0)</f>
        <v>0</v>
      </c>
      <c r="T498" s="9">
        <f>IF($A498=VLOOKUP(YEAR($A498),'Festive dates'!$A$2:$J$5,3,FALSE),1,0)</f>
        <v>0</v>
      </c>
      <c r="U498" s="9">
        <f>IF($A498=VLOOKUP(YEAR($A498),'Festive dates'!$A$2:$J$5,4,FALSE),1,0)</f>
        <v>0</v>
      </c>
      <c r="V498" s="9">
        <f>IF(AND($A498&gt;=VLOOKUP(YEAR($A498),'Festive dates'!$A$2:$J$5,9,FALSE),$A498&lt;=VLOOKUP(YEAR($A498),'Festive dates'!$A$2:$J$5,10,FALSE)),1,0)</f>
        <v>0</v>
      </c>
      <c r="W498" s="9">
        <f>IF($A498=VLOOKUP(YEAR($A498),'Festive dates'!$A$2:$J$5,7,FALSE),1,0)</f>
        <v>0</v>
      </c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>
      <c r="A499" s="8">
        <v>45514</v>
      </c>
      <c r="B499" s="9">
        <v>0</v>
      </c>
      <c r="C499" s="9">
        <v>0</v>
      </c>
      <c r="D499" s="9">
        <v>0</v>
      </c>
      <c r="E499" s="9">
        <v>0</v>
      </c>
      <c r="F499" s="9">
        <v>0</v>
      </c>
      <c r="G499" s="9">
        <v>0</v>
      </c>
      <c r="H499" s="9">
        <v>0</v>
      </c>
      <c r="I499" s="9">
        <v>0</v>
      </c>
      <c r="J499" s="9">
        <v>0</v>
      </c>
      <c r="K499" s="9">
        <v>0</v>
      </c>
      <c r="L499" s="9">
        <v>0</v>
      </c>
      <c r="M499" s="9">
        <v>0</v>
      </c>
      <c r="N499" s="9">
        <v>0</v>
      </c>
      <c r="O499" s="9">
        <v>0</v>
      </c>
      <c r="P499" s="9">
        <v>0</v>
      </c>
      <c r="Q499" s="9">
        <f>MAX(-20,MIN(10,$A499-VLOOKUP(YEAR($A499),'Festive dates'!$A$2:$J$5,8,FALSE)))</f>
        <v>-20</v>
      </c>
      <c r="R499" s="9">
        <f>IF(AND($A499&gt;VLOOKUP(YEAR($A499),'Festive dates'!$A$2:$J$5,2,FALSE),$A499&lt;VLOOKUP(YEAR($A499),'Festive dates'!$A$2:$J$5,3,FALSE)),1,0)</f>
        <v>0</v>
      </c>
      <c r="S499" s="9">
        <f>IF($A499=VLOOKUP(YEAR($A499),'Festive dates'!$A$2:$J$5,2,FALSE),1,0)</f>
        <v>0</v>
      </c>
      <c r="T499" s="9">
        <f>IF($A499=VLOOKUP(YEAR($A499),'Festive dates'!$A$2:$J$5,3,FALSE),1,0)</f>
        <v>0</v>
      </c>
      <c r="U499" s="9">
        <f>IF($A499=VLOOKUP(YEAR($A499),'Festive dates'!$A$2:$J$5,4,FALSE),1,0)</f>
        <v>0</v>
      </c>
      <c r="V499" s="9">
        <f>IF(AND($A499&gt;=VLOOKUP(YEAR($A499),'Festive dates'!$A$2:$J$5,9,FALSE),$A499&lt;=VLOOKUP(YEAR($A499),'Festive dates'!$A$2:$J$5,10,FALSE)),1,0)</f>
        <v>0</v>
      </c>
      <c r="W499" s="9">
        <f>IF($A499=VLOOKUP(YEAR($A499),'Festive dates'!$A$2:$J$5,7,FALSE),1,0)</f>
        <v>0</v>
      </c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>
      <c r="A500" s="8">
        <v>45515</v>
      </c>
      <c r="B500" s="9">
        <v>0</v>
      </c>
      <c r="C500" s="9">
        <v>0</v>
      </c>
      <c r="D500" s="9">
        <v>0</v>
      </c>
      <c r="E500" s="9">
        <v>0</v>
      </c>
      <c r="F500" s="9">
        <v>0</v>
      </c>
      <c r="G500" s="9">
        <v>0</v>
      </c>
      <c r="H500" s="9">
        <v>0</v>
      </c>
      <c r="I500" s="9">
        <v>0</v>
      </c>
      <c r="J500" s="9">
        <v>0</v>
      </c>
      <c r="K500" s="9">
        <v>0</v>
      </c>
      <c r="L500" s="9">
        <v>0</v>
      </c>
      <c r="M500" s="9">
        <v>0</v>
      </c>
      <c r="N500" s="9">
        <v>0</v>
      </c>
      <c r="O500" s="9">
        <v>0</v>
      </c>
      <c r="P500" s="9">
        <v>0</v>
      </c>
      <c r="Q500" s="9">
        <f>MAX(-20,MIN(10,$A500-VLOOKUP(YEAR($A500),'Festive dates'!$A$2:$J$5,8,FALSE)))</f>
        <v>-20</v>
      </c>
      <c r="R500" s="9">
        <f>IF(AND($A500&gt;VLOOKUP(YEAR($A500),'Festive dates'!$A$2:$J$5,2,FALSE),$A500&lt;VLOOKUP(YEAR($A500),'Festive dates'!$A$2:$J$5,3,FALSE)),1,0)</f>
        <v>0</v>
      </c>
      <c r="S500" s="9">
        <f>IF($A500=VLOOKUP(YEAR($A500),'Festive dates'!$A$2:$J$5,2,FALSE),1,0)</f>
        <v>0</v>
      </c>
      <c r="T500" s="9">
        <f>IF($A500=VLOOKUP(YEAR($A500),'Festive dates'!$A$2:$J$5,3,FALSE),1,0)</f>
        <v>0</v>
      </c>
      <c r="U500" s="9">
        <f>IF($A500=VLOOKUP(YEAR($A500),'Festive dates'!$A$2:$J$5,4,FALSE),1,0)</f>
        <v>0</v>
      </c>
      <c r="V500" s="9">
        <f>IF(AND($A500&gt;=VLOOKUP(YEAR($A500),'Festive dates'!$A$2:$J$5,9,FALSE),$A500&lt;=VLOOKUP(YEAR($A500),'Festive dates'!$A$2:$J$5,10,FALSE)),1,0)</f>
        <v>0</v>
      </c>
      <c r="W500" s="9">
        <f>IF($A500=VLOOKUP(YEAR($A500),'Festive dates'!$A$2:$J$5,7,FALSE),1,0)</f>
        <v>0</v>
      </c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  <row r="501" spans="1:51">
      <c r="A501" s="8">
        <v>45516</v>
      </c>
      <c r="B501" s="9">
        <v>0</v>
      </c>
      <c r="C501" s="9">
        <v>0</v>
      </c>
      <c r="D501" s="9">
        <v>0</v>
      </c>
      <c r="E501" s="9">
        <v>0</v>
      </c>
      <c r="F501" s="9">
        <v>0</v>
      </c>
      <c r="G501" s="9">
        <v>0</v>
      </c>
      <c r="H501" s="9">
        <v>0</v>
      </c>
      <c r="I501" s="9">
        <v>0</v>
      </c>
      <c r="J501" s="9">
        <v>0</v>
      </c>
      <c r="K501" s="9">
        <v>0</v>
      </c>
      <c r="L501" s="9">
        <v>0</v>
      </c>
      <c r="M501" s="9">
        <v>0</v>
      </c>
      <c r="N501" s="9">
        <v>0</v>
      </c>
      <c r="O501" s="9">
        <v>0</v>
      </c>
      <c r="P501" s="9">
        <v>0</v>
      </c>
      <c r="Q501" s="9">
        <f>MAX(-20,MIN(10,$A501-VLOOKUP(YEAR($A501),'Festive dates'!$A$2:$J$5,8,FALSE)))</f>
        <v>-20</v>
      </c>
      <c r="R501" s="9">
        <f>IF(AND($A501&gt;VLOOKUP(YEAR($A501),'Festive dates'!$A$2:$J$5,2,FALSE),$A501&lt;VLOOKUP(YEAR($A501),'Festive dates'!$A$2:$J$5,3,FALSE)),1,0)</f>
        <v>0</v>
      </c>
      <c r="S501" s="9">
        <f>IF($A501=VLOOKUP(YEAR($A501),'Festive dates'!$A$2:$J$5,2,FALSE),1,0)</f>
        <v>0</v>
      </c>
      <c r="T501" s="9">
        <f>IF($A501=VLOOKUP(YEAR($A501),'Festive dates'!$A$2:$J$5,3,FALSE),1,0)</f>
        <v>0</v>
      </c>
      <c r="U501" s="9">
        <f>IF($A501=VLOOKUP(YEAR($A501),'Festive dates'!$A$2:$J$5,4,FALSE),1,0)</f>
        <v>0</v>
      </c>
      <c r="V501" s="9">
        <f>IF(AND($A501&gt;=VLOOKUP(YEAR($A501),'Festive dates'!$A$2:$J$5,9,FALSE),$A501&lt;=VLOOKUP(YEAR($A501),'Festive dates'!$A$2:$J$5,10,FALSE)),1,0)</f>
        <v>0</v>
      </c>
      <c r="W501" s="9">
        <f>IF($A501=VLOOKUP(YEAR($A501),'Festive dates'!$A$2:$J$5,7,FALSE),1,0)</f>
        <v>0</v>
      </c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</row>
    <row r="502" spans="1:51">
      <c r="A502" s="8">
        <v>45517</v>
      </c>
      <c r="B502" s="9">
        <v>0</v>
      </c>
      <c r="C502" s="9">
        <v>0</v>
      </c>
      <c r="D502" s="9">
        <v>0</v>
      </c>
      <c r="E502" s="9">
        <v>0</v>
      </c>
      <c r="F502" s="9">
        <v>0</v>
      </c>
      <c r="G502" s="9">
        <v>0</v>
      </c>
      <c r="H502" s="9">
        <v>0</v>
      </c>
      <c r="I502" s="9">
        <v>0</v>
      </c>
      <c r="J502" s="9">
        <v>0</v>
      </c>
      <c r="K502" s="9">
        <v>0</v>
      </c>
      <c r="L502" s="9">
        <v>0</v>
      </c>
      <c r="M502" s="9">
        <v>0</v>
      </c>
      <c r="N502" s="9">
        <v>0</v>
      </c>
      <c r="O502" s="9">
        <v>0</v>
      </c>
      <c r="P502" s="9">
        <v>0</v>
      </c>
      <c r="Q502" s="9">
        <f>MAX(-20,MIN(10,$A502-VLOOKUP(YEAR($A502),'Festive dates'!$A$2:$J$5,8,FALSE)))</f>
        <v>-20</v>
      </c>
      <c r="R502" s="9">
        <f>IF(AND($A502&gt;VLOOKUP(YEAR($A502),'Festive dates'!$A$2:$J$5,2,FALSE),$A502&lt;VLOOKUP(YEAR($A502),'Festive dates'!$A$2:$J$5,3,FALSE)),1,0)</f>
        <v>0</v>
      </c>
      <c r="S502" s="9">
        <f>IF($A502=VLOOKUP(YEAR($A502),'Festive dates'!$A$2:$J$5,2,FALSE),1,0)</f>
        <v>0</v>
      </c>
      <c r="T502" s="9">
        <f>IF($A502=VLOOKUP(YEAR($A502),'Festive dates'!$A$2:$J$5,3,FALSE),1,0)</f>
        <v>0</v>
      </c>
      <c r="U502" s="9">
        <f>IF($A502=VLOOKUP(YEAR($A502),'Festive dates'!$A$2:$J$5,4,FALSE),1,0)</f>
        <v>0</v>
      </c>
      <c r="V502" s="9">
        <f>IF(AND($A502&gt;=VLOOKUP(YEAR($A502),'Festive dates'!$A$2:$J$5,9,FALSE),$A502&lt;=VLOOKUP(YEAR($A502),'Festive dates'!$A$2:$J$5,10,FALSE)),1,0)</f>
        <v>0</v>
      </c>
      <c r="W502" s="9">
        <f>IF($A502=VLOOKUP(YEAR($A502),'Festive dates'!$A$2:$J$5,7,FALSE),1,0)</f>
        <v>0</v>
      </c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</row>
    <row r="503" spans="1:51">
      <c r="A503" s="8">
        <v>45518</v>
      </c>
      <c r="B503" s="9">
        <v>0</v>
      </c>
      <c r="C503" s="9">
        <v>0</v>
      </c>
      <c r="D503" s="9">
        <v>0</v>
      </c>
      <c r="E503" s="9">
        <v>0</v>
      </c>
      <c r="F503" s="9">
        <v>0</v>
      </c>
      <c r="G503" s="9">
        <v>0</v>
      </c>
      <c r="H503" s="9">
        <v>0</v>
      </c>
      <c r="I503" s="9">
        <v>0</v>
      </c>
      <c r="J503" s="9">
        <v>0</v>
      </c>
      <c r="K503" s="9">
        <v>0</v>
      </c>
      <c r="L503" s="9">
        <v>0</v>
      </c>
      <c r="M503" s="9">
        <v>0</v>
      </c>
      <c r="N503" s="9">
        <v>0</v>
      </c>
      <c r="O503" s="9">
        <v>0</v>
      </c>
      <c r="P503" s="9">
        <v>0</v>
      </c>
      <c r="Q503" s="9">
        <f>MAX(-20,MIN(10,$A503-VLOOKUP(YEAR($A503),'Festive dates'!$A$2:$J$5,8,FALSE)))</f>
        <v>-20</v>
      </c>
      <c r="R503" s="9">
        <f>IF(AND($A503&gt;VLOOKUP(YEAR($A503),'Festive dates'!$A$2:$J$5,2,FALSE),$A503&lt;VLOOKUP(YEAR($A503),'Festive dates'!$A$2:$J$5,3,FALSE)),1,0)</f>
        <v>0</v>
      </c>
      <c r="S503" s="9">
        <f>IF($A503=VLOOKUP(YEAR($A503),'Festive dates'!$A$2:$J$5,2,FALSE),1,0)</f>
        <v>0</v>
      </c>
      <c r="T503" s="9">
        <f>IF($A503=VLOOKUP(YEAR($A503),'Festive dates'!$A$2:$J$5,3,FALSE),1,0)</f>
        <v>0</v>
      </c>
      <c r="U503" s="9">
        <f>IF($A503=VLOOKUP(YEAR($A503),'Festive dates'!$A$2:$J$5,4,FALSE),1,0)</f>
        <v>0</v>
      </c>
      <c r="V503" s="9">
        <f>IF(AND($A503&gt;=VLOOKUP(YEAR($A503),'Festive dates'!$A$2:$J$5,9,FALSE),$A503&lt;=VLOOKUP(YEAR($A503),'Festive dates'!$A$2:$J$5,10,FALSE)),1,0)</f>
        <v>0</v>
      </c>
      <c r="W503" s="9">
        <f>IF($A503=VLOOKUP(YEAR($A503),'Festive dates'!$A$2:$J$5,7,FALSE),1,0)</f>
        <v>0</v>
      </c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</row>
    <row r="504" spans="1:51">
      <c r="A504" s="8">
        <v>45519</v>
      </c>
      <c r="B504" s="9">
        <v>0</v>
      </c>
      <c r="C504" s="9">
        <v>0</v>
      </c>
      <c r="D504" s="9">
        <v>0</v>
      </c>
      <c r="E504" s="9">
        <v>0</v>
      </c>
      <c r="F504" s="9">
        <v>0</v>
      </c>
      <c r="G504" s="9">
        <v>0</v>
      </c>
      <c r="H504" s="9">
        <v>0</v>
      </c>
      <c r="I504" s="9">
        <v>0</v>
      </c>
      <c r="J504" s="9">
        <v>0</v>
      </c>
      <c r="K504" s="9">
        <v>0</v>
      </c>
      <c r="L504" s="9">
        <v>0</v>
      </c>
      <c r="M504" s="9">
        <v>0</v>
      </c>
      <c r="N504" s="9">
        <v>0</v>
      </c>
      <c r="O504" s="9">
        <v>0</v>
      </c>
      <c r="P504" s="9">
        <v>0</v>
      </c>
      <c r="Q504" s="9">
        <f>MAX(-20,MIN(10,$A504-VLOOKUP(YEAR($A504),'Festive dates'!$A$2:$J$5,8,FALSE)))</f>
        <v>-20</v>
      </c>
      <c r="R504" s="9">
        <f>IF(AND($A504&gt;VLOOKUP(YEAR($A504),'Festive dates'!$A$2:$J$5,2,FALSE),$A504&lt;VLOOKUP(YEAR($A504),'Festive dates'!$A$2:$J$5,3,FALSE)),1,0)</f>
        <v>0</v>
      </c>
      <c r="S504" s="9">
        <f>IF($A504=VLOOKUP(YEAR($A504),'Festive dates'!$A$2:$J$5,2,FALSE),1,0)</f>
        <v>0</v>
      </c>
      <c r="T504" s="9">
        <f>IF($A504=VLOOKUP(YEAR($A504),'Festive dates'!$A$2:$J$5,3,FALSE),1,0)</f>
        <v>0</v>
      </c>
      <c r="U504" s="9">
        <f>IF($A504=VLOOKUP(YEAR($A504),'Festive dates'!$A$2:$J$5,4,FALSE),1,0)</f>
        <v>0</v>
      </c>
      <c r="V504" s="9">
        <f>IF(AND($A504&gt;=VLOOKUP(YEAR($A504),'Festive dates'!$A$2:$J$5,9,FALSE),$A504&lt;=VLOOKUP(YEAR($A504),'Festive dates'!$A$2:$J$5,10,FALSE)),1,0)</f>
        <v>0</v>
      </c>
      <c r="W504" s="9">
        <f>IF($A504=VLOOKUP(YEAR($A504),'Festive dates'!$A$2:$J$5,7,FALSE),1,0)</f>
        <v>0</v>
      </c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</row>
    <row r="505" spans="1:51">
      <c r="A505" s="8">
        <v>45520</v>
      </c>
      <c r="B505" s="9">
        <v>0</v>
      </c>
      <c r="C505" s="9">
        <v>0</v>
      </c>
      <c r="D505" s="9">
        <v>0</v>
      </c>
      <c r="E505" s="9">
        <v>0</v>
      </c>
      <c r="F505" s="9">
        <v>0</v>
      </c>
      <c r="G505" s="9">
        <v>0</v>
      </c>
      <c r="H505" s="9">
        <v>0</v>
      </c>
      <c r="I505" s="9">
        <v>0</v>
      </c>
      <c r="J505" s="9">
        <v>0</v>
      </c>
      <c r="K505" s="9">
        <v>0</v>
      </c>
      <c r="L505" s="9">
        <v>0</v>
      </c>
      <c r="M505" s="9">
        <v>0</v>
      </c>
      <c r="N505" s="9">
        <v>0</v>
      </c>
      <c r="O505" s="9">
        <v>0</v>
      </c>
      <c r="P505" s="9">
        <v>0</v>
      </c>
      <c r="Q505" s="9">
        <f>MAX(-20,MIN(10,$A505-VLOOKUP(YEAR($A505),'Festive dates'!$A$2:$J$5,8,FALSE)))</f>
        <v>-20</v>
      </c>
      <c r="R505" s="9">
        <f>IF(AND($A505&gt;VLOOKUP(YEAR($A505),'Festive dates'!$A$2:$J$5,2,FALSE),$A505&lt;VLOOKUP(YEAR($A505),'Festive dates'!$A$2:$J$5,3,FALSE)),1,0)</f>
        <v>0</v>
      </c>
      <c r="S505" s="9">
        <f>IF($A505=VLOOKUP(YEAR($A505),'Festive dates'!$A$2:$J$5,2,FALSE),1,0)</f>
        <v>0</v>
      </c>
      <c r="T505" s="9">
        <f>IF($A505=VLOOKUP(YEAR($A505),'Festive dates'!$A$2:$J$5,3,FALSE),1,0)</f>
        <v>0</v>
      </c>
      <c r="U505" s="9">
        <f>IF($A505=VLOOKUP(YEAR($A505),'Festive dates'!$A$2:$J$5,4,FALSE),1,0)</f>
        <v>0</v>
      </c>
      <c r="V505" s="9">
        <f>IF(AND($A505&gt;=VLOOKUP(YEAR($A505),'Festive dates'!$A$2:$J$5,9,FALSE),$A505&lt;=VLOOKUP(YEAR($A505),'Festive dates'!$A$2:$J$5,10,FALSE)),1,0)</f>
        <v>0</v>
      </c>
      <c r="W505" s="9">
        <f>IF($A505=VLOOKUP(YEAR($A505),'Festive dates'!$A$2:$J$5,7,FALSE),1,0)</f>
        <v>0</v>
      </c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</row>
    <row r="506" spans="1:51">
      <c r="A506" s="8">
        <v>45521</v>
      </c>
      <c r="B506" s="9">
        <v>0</v>
      </c>
      <c r="C506" s="9">
        <v>0</v>
      </c>
      <c r="D506" s="9">
        <v>0</v>
      </c>
      <c r="E506" s="9">
        <v>0</v>
      </c>
      <c r="F506" s="9">
        <v>0</v>
      </c>
      <c r="G506" s="9">
        <v>0</v>
      </c>
      <c r="H506" s="9">
        <v>0</v>
      </c>
      <c r="I506" s="9">
        <v>0</v>
      </c>
      <c r="J506" s="9">
        <v>0</v>
      </c>
      <c r="K506" s="9">
        <v>0</v>
      </c>
      <c r="L506" s="9">
        <v>0</v>
      </c>
      <c r="M506" s="9">
        <v>0</v>
      </c>
      <c r="N506" s="9">
        <v>0</v>
      </c>
      <c r="O506" s="9">
        <v>0</v>
      </c>
      <c r="P506" s="9">
        <v>0</v>
      </c>
      <c r="Q506" s="9">
        <f>MAX(-20,MIN(10,$A506-VLOOKUP(YEAR($A506),'Festive dates'!$A$2:$J$5,8,FALSE)))</f>
        <v>-20</v>
      </c>
      <c r="R506" s="9">
        <f>IF(AND($A506&gt;VLOOKUP(YEAR($A506),'Festive dates'!$A$2:$J$5,2,FALSE),$A506&lt;VLOOKUP(YEAR($A506),'Festive dates'!$A$2:$J$5,3,FALSE)),1,0)</f>
        <v>0</v>
      </c>
      <c r="S506" s="9">
        <f>IF($A506=VLOOKUP(YEAR($A506),'Festive dates'!$A$2:$J$5,2,FALSE),1,0)</f>
        <v>0</v>
      </c>
      <c r="T506" s="9">
        <f>IF($A506=VLOOKUP(YEAR($A506),'Festive dates'!$A$2:$J$5,3,FALSE),1,0)</f>
        <v>0</v>
      </c>
      <c r="U506" s="9">
        <f>IF($A506=VLOOKUP(YEAR($A506),'Festive dates'!$A$2:$J$5,4,FALSE),1,0)</f>
        <v>0</v>
      </c>
      <c r="V506" s="9">
        <f>IF(AND($A506&gt;=VLOOKUP(YEAR($A506),'Festive dates'!$A$2:$J$5,9,FALSE),$A506&lt;=VLOOKUP(YEAR($A506),'Festive dates'!$A$2:$J$5,10,FALSE)),1,0)</f>
        <v>0</v>
      </c>
      <c r="W506" s="9">
        <f>IF($A506=VLOOKUP(YEAR($A506),'Festive dates'!$A$2:$J$5,7,FALSE),1,0)</f>
        <v>0</v>
      </c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</row>
    <row r="507" spans="1:51">
      <c r="A507" s="8">
        <v>45522</v>
      </c>
      <c r="B507" s="9">
        <v>0</v>
      </c>
      <c r="C507" s="9">
        <v>0</v>
      </c>
      <c r="D507" s="9">
        <v>0</v>
      </c>
      <c r="E507" s="9">
        <v>0</v>
      </c>
      <c r="F507" s="9">
        <v>0</v>
      </c>
      <c r="G507" s="9">
        <v>0</v>
      </c>
      <c r="H507" s="9">
        <v>0</v>
      </c>
      <c r="I507" s="9">
        <v>0</v>
      </c>
      <c r="J507" s="9">
        <v>0</v>
      </c>
      <c r="K507" s="9">
        <v>0</v>
      </c>
      <c r="L507" s="9">
        <v>0</v>
      </c>
      <c r="M507" s="9">
        <v>0</v>
      </c>
      <c r="N507" s="9">
        <v>0</v>
      </c>
      <c r="O507" s="9">
        <v>0</v>
      </c>
      <c r="P507" s="9">
        <v>0</v>
      </c>
      <c r="Q507" s="9">
        <f>MAX(-20,MIN(10,$A507-VLOOKUP(YEAR($A507),'Festive dates'!$A$2:$J$5,8,FALSE)))</f>
        <v>-20</v>
      </c>
      <c r="R507" s="9">
        <f>IF(AND($A507&gt;VLOOKUP(YEAR($A507),'Festive dates'!$A$2:$J$5,2,FALSE),$A507&lt;VLOOKUP(YEAR($A507),'Festive dates'!$A$2:$J$5,3,FALSE)),1,0)</f>
        <v>0</v>
      </c>
      <c r="S507" s="9">
        <f>IF($A507=VLOOKUP(YEAR($A507),'Festive dates'!$A$2:$J$5,2,FALSE),1,0)</f>
        <v>0</v>
      </c>
      <c r="T507" s="9">
        <f>IF($A507=VLOOKUP(YEAR($A507),'Festive dates'!$A$2:$J$5,3,FALSE),1,0)</f>
        <v>0</v>
      </c>
      <c r="U507" s="9">
        <f>IF($A507=VLOOKUP(YEAR($A507),'Festive dates'!$A$2:$J$5,4,FALSE),1,0)</f>
        <v>0</v>
      </c>
      <c r="V507" s="9">
        <f>IF(AND($A507&gt;=VLOOKUP(YEAR($A507),'Festive dates'!$A$2:$J$5,9,FALSE),$A507&lt;=VLOOKUP(YEAR($A507),'Festive dates'!$A$2:$J$5,10,FALSE)),1,0)</f>
        <v>0</v>
      </c>
      <c r="W507" s="9">
        <f>IF($A507=VLOOKUP(YEAR($A507),'Festive dates'!$A$2:$J$5,7,FALSE),1,0)</f>
        <v>0</v>
      </c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</row>
    <row r="508" spans="1:51">
      <c r="A508" s="8">
        <v>45523</v>
      </c>
      <c r="B508" s="9">
        <v>0</v>
      </c>
      <c r="C508" s="9">
        <v>0</v>
      </c>
      <c r="D508" s="9">
        <v>0</v>
      </c>
      <c r="E508" s="9">
        <v>0</v>
      </c>
      <c r="F508" s="9">
        <v>0</v>
      </c>
      <c r="G508" s="9">
        <v>0</v>
      </c>
      <c r="H508" s="9">
        <v>0</v>
      </c>
      <c r="I508" s="9">
        <v>0</v>
      </c>
      <c r="J508" s="9">
        <v>0</v>
      </c>
      <c r="K508" s="9">
        <v>0</v>
      </c>
      <c r="L508" s="9">
        <v>0</v>
      </c>
      <c r="M508" s="9">
        <v>0</v>
      </c>
      <c r="N508" s="9">
        <v>0</v>
      </c>
      <c r="O508" s="9">
        <v>1</v>
      </c>
      <c r="P508" s="9">
        <v>0</v>
      </c>
      <c r="Q508" s="9">
        <f>MAX(-20,MIN(10,$A508-VLOOKUP(YEAR($A508),'Festive dates'!$A$2:$J$5,8,FALSE)))</f>
        <v>-20</v>
      </c>
      <c r="R508" s="9">
        <f>IF(AND($A508&gt;VLOOKUP(YEAR($A508),'Festive dates'!$A$2:$J$5,2,FALSE),$A508&lt;VLOOKUP(YEAR($A508),'Festive dates'!$A$2:$J$5,3,FALSE)),1,0)</f>
        <v>0</v>
      </c>
      <c r="S508" s="9">
        <f>IF($A508=VLOOKUP(YEAR($A508),'Festive dates'!$A$2:$J$5,2,FALSE),1,0)</f>
        <v>0</v>
      </c>
      <c r="T508" s="9">
        <f>IF($A508=VLOOKUP(YEAR($A508),'Festive dates'!$A$2:$J$5,3,FALSE),1,0)</f>
        <v>0</v>
      </c>
      <c r="U508" s="9">
        <f>IF($A508=VLOOKUP(YEAR($A508),'Festive dates'!$A$2:$J$5,4,FALSE),1,0)</f>
        <v>0</v>
      </c>
      <c r="V508" s="9">
        <f>IF(AND($A508&gt;=VLOOKUP(YEAR($A508),'Festive dates'!$A$2:$J$5,9,FALSE),$A508&lt;=VLOOKUP(YEAR($A508),'Festive dates'!$A$2:$J$5,10,FALSE)),1,0)</f>
        <v>0</v>
      </c>
      <c r="W508" s="9">
        <f>IF($A508=VLOOKUP(YEAR($A508),'Festive dates'!$A$2:$J$5,7,FALSE),1,0)</f>
        <v>0</v>
      </c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</row>
    <row r="509" spans="1:51">
      <c r="A509" s="8">
        <v>45524</v>
      </c>
      <c r="B509" s="9">
        <v>0</v>
      </c>
      <c r="C509" s="9">
        <v>0</v>
      </c>
      <c r="D509" s="9">
        <v>0</v>
      </c>
      <c r="E509" s="9">
        <v>0</v>
      </c>
      <c r="F509" s="9">
        <v>0</v>
      </c>
      <c r="G509" s="9">
        <v>0</v>
      </c>
      <c r="H509" s="9">
        <v>0</v>
      </c>
      <c r="I509" s="9">
        <v>0</v>
      </c>
      <c r="J509" s="9">
        <v>0</v>
      </c>
      <c r="K509" s="9">
        <v>0</v>
      </c>
      <c r="L509" s="9">
        <v>0</v>
      </c>
      <c r="M509" s="9">
        <v>0</v>
      </c>
      <c r="N509" s="9">
        <v>0</v>
      </c>
      <c r="O509" s="9">
        <v>0</v>
      </c>
      <c r="P509" s="9">
        <v>0</v>
      </c>
      <c r="Q509" s="9">
        <f>MAX(-20,MIN(10,$A509-VLOOKUP(YEAR($A509),'Festive dates'!$A$2:$J$5,8,FALSE)))</f>
        <v>-20</v>
      </c>
      <c r="R509" s="9">
        <f>IF(AND($A509&gt;VLOOKUP(YEAR($A509),'Festive dates'!$A$2:$J$5,2,FALSE),$A509&lt;VLOOKUP(YEAR($A509),'Festive dates'!$A$2:$J$5,3,FALSE)),1,0)</f>
        <v>0</v>
      </c>
      <c r="S509" s="9">
        <f>IF($A509=VLOOKUP(YEAR($A509),'Festive dates'!$A$2:$J$5,2,FALSE),1,0)</f>
        <v>0</v>
      </c>
      <c r="T509" s="9">
        <f>IF($A509=VLOOKUP(YEAR($A509),'Festive dates'!$A$2:$J$5,3,FALSE),1,0)</f>
        <v>0</v>
      </c>
      <c r="U509" s="9">
        <f>IF($A509=VLOOKUP(YEAR($A509),'Festive dates'!$A$2:$J$5,4,FALSE),1,0)</f>
        <v>0</v>
      </c>
      <c r="V509" s="9">
        <f>IF(AND($A509&gt;=VLOOKUP(YEAR($A509),'Festive dates'!$A$2:$J$5,9,FALSE),$A509&lt;=VLOOKUP(YEAR($A509),'Festive dates'!$A$2:$J$5,10,FALSE)),1,0)</f>
        <v>0</v>
      </c>
      <c r="W509" s="9">
        <f>IF($A509=VLOOKUP(YEAR($A509),'Festive dates'!$A$2:$J$5,7,FALSE),1,0)</f>
        <v>0</v>
      </c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</row>
    <row r="510" spans="1:51">
      <c r="A510" s="8">
        <v>45525</v>
      </c>
      <c r="B510" s="9">
        <v>0</v>
      </c>
      <c r="C510" s="9">
        <v>0</v>
      </c>
      <c r="D510" s="9">
        <v>0</v>
      </c>
      <c r="E510" s="9">
        <v>0</v>
      </c>
      <c r="F510" s="9">
        <v>0</v>
      </c>
      <c r="G510" s="9">
        <v>0</v>
      </c>
      <c r="H510" s="9">
        <v>0</v>
      </c>
      <c r="I510" s="9">
        <v>0</v>
      </c>
      <c r="J510" s="9">
        <v>0</v>
      </c>
      <c r="K510" s="9">
        <v>0</v>
      </c>
      <c r="L510" s="9">
        <v>0</v>
      </c>
      <c r="M510" s="9">
        <v>0</v>
      </c>
      <c r="N510" s="9">
        <v>0</v>
      </c>
      <c r="O510" s="9">
        <v>0</v>
      </c>
      <c r="P510" s="9">
        <v>0</v>
      </c>
      <c r="Q510" s="9">
        <f>MAX(-20,MIN(10,$A510-VLOOKUP(YEAR($A510),'Festive dates'!$A$2:$J$5,8,FALSE)))</f>
        <v>-20</v>
      </c>
      <c r="R510" s="9">
        <f>IF(AND($A510&gt;VLOOKUP(YEAR($A510),'Festive dates'!$A$2:$J$5,2,FALSE),$A510&lt;VLOOKUP(YEAR($A510),'Festive dates'!$A$2:$J$5,3,FALSE)),1,0)</f>
        <v>0</v>
      </c>
      <c r="S510" s="9">
        <f>IF($A510=VLOOKUP(YEAR($A510),'Festive dates'!$A$2:$J$5,2,FALSE),1,0)</f>
        <v>0</v>
      </c>
      <c r="T510" s="9">
        <f>IF($A510=VLOOKUP(YEAR($A510),'Festive dates'!$A$2:$J$5,3,FALSE),1,0)</f>
        <v>0</v>
      </c>
      <c r="U510" s="9">
        <f>IF($A510=VLOOKUP(YEAR($A510),'Festive dates'!$A$2:$J$5,4,FALSE),1,0)</f>
        <v>0</v>
      </c>
      <c r="V510" s="9">
        <f>IF(AND($A510&gt;=VLOOKUP(YEAR($A510),'Festive dates'!$A$2:$J$5,9,FALSE),$A510&lt;=VLOOKUP(YEAR($A510),'Festive dates'!$A$2:$J$5,10,FALSE)),1,0)</f>
        <v>0</v>
      </c>
      <c r="W510" s="9">
        <f>IF($A510=VLOOKUP(YEAR($A510),'Festive dates'!$A$2:$J$5,7,FALSE),1,0)</f>
        <v>0</v>
      </c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</row>
    <row r="511" spans="1:51">
      <c r="A511" s="8">
        <v>45526</v>
      </c>
      <c r="B511" s="9">
        <v>0</v>
      </c>
      <c r="C511" s="9">
        <v>0</v>
      </c>
      <c r="D511" s="9">
        <v>0</v>
      </c>
      <c r="E511" s="9">
        <v>0</v>
      </c>
      <c r="F511" s="9">
        <v>0</v>
      </c>
      <c r="G511" s="9">
        <v>0</v>
      </c>
      <c r="H511" s="9">
        <v>0</v>
      </c>
      <c r="I511" s="9">
        <v>0</v>
      </c>
      <c r="J511" s="9">
        <v>0</v>
      </c>
      <c r="K511" s="9">
        <v>0</v>
      </c>
      <c r="L511" s="9">
        <v>0</v>
      </c>
      <c r="M511" s="9">
        <v>0</v>
      </c>
      <c r="N511" s="9">
        <v>0</v>
      </c>
      <c r="O511" s="9">
        <v>0</v>
      </c>
      <c r="P511" s="9">
        <v>0</v>
      </c>
      <c r="Q511" s="9">
        <f>MAX(-20,MIN(10,$A511-VLOOKUP(YEAR($A511),'Festive dates'!$A$2:$J$5,8,FALSE)))</f>
        <v>-20</v>
      </c>
      <c r="R511" s="9">
        <f>IF(AND($A511&gt;VLOOKUP(YEAR($A511),'Festive dates'!$A$2:$J$5,2,FALSE),$A511&lt;VLOOKUP(YEAR($A511),'Festive dates'!$A$2:$J$5,3,FALSE)),1,0)</f>
        <v>0</v>
      </c>
      <c r="S511" s="9">
        <f>IF($A511=VLOOKUP(YEAR($A511),'Festive dates'!$A$2:$J$5,2,FALSE),1,0)</f>
        <v>0</v>
      </c>
      <c r="T511" s="9">
        <f>IF($A511=VLOOKUP(YEAR($A511),'Festive dates'!$A$2:$J$5,3,FALSE),1,0)</f>
        <v>0</v>
      </c>
      <c r="U511" s="9">
        <f>IF($A511=VLOOKUP(YEAR($A511),'Festive dates'!$A$2:$J$5,4,FALSE),1,0)</f>
        <v>0</v>
      </c>
      <c r="V511" s="9">
        <f>IF(AND($A511&gt;=VLOOKUP(YEAR($A511),'Festive dates'!$A$2:$J$5,9,FALSE),$A511&lt;=VLOOKUP(YEAR($A511),'Festive dates'!$A$2:$J$5,10,FALSE)),1,0)</f>
        <v>0</v>
      </c>
      <c r="W511" s="9">
        <f>IF($A511=VLOOKUP(YEAR($A511),'Festive dates'!$A$2:$J$5,7,FALSE),1,0)</f>
        <v>0</v>
      </c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</row>
    <row r="512" spans="1:51">
      <c r="A512" s="8">
        <v>45527</v>
      </c>
      <c r="B512" s="9">
        <v>0</v>
      </c>
      <c r="C512" s="9">
        <v>0</v>
      </c>
      <c r="D512" s="9">
        <v>0</v>
      </c>
      <c r="E512" s="9">
        <v>0</v>
      </c>
      <c r="F512" s="9">
        <v>0</v>
      </c>
      <c r="G512" s="9">
        <v>0</v>
      </c>
      <c r="H512" s="9">
        <v>0</v>
      </c>
      <c r="I512" s="9">
        <v>0</v>
      </c>
      <c r="J512" s="9">
        <v>0</v>
      </c>
      <c r="K512" s="9">
        <v>0</v>
      </c>
      <c r="L512" s="9">
        <v>0</v>
      </c>
      <c r="M512" s="9">
        <v>0</v>
      </c>
      <c r="N512" s="9">
        <v>0</v>
      </c>
      <c r="O512" s="9">
        <v>0</v>
      </c>
      <c r="P512" s="9">
        <v>0</v>
      </c>
      <c r="Q512" s="9">
        <f>MAX(-20,MIN(10,$A512-VLOOKUP(YEAR($A512),'Festive dates'!$A$2:$J$5,8,FALSE)))</f>
        <v>-20</v>
      </c>
      <c r="R512" s="9">
        <f>IF(AND($A512&gt;VLOOKUP(YEAR($A512),'Festive dates'!$A$2:$J$5,2,FALSE),$A512&lt;VLOOKUP(YEAR($A512),'Festive dates'!$A$2:$J$5,3,FALSE)),1,0)</f>
        <v>0</v>
      </c>
      <c r="S512" s="9">
        <f>IF($A512=VLOOKUP(YEAR($A512),'Festive dates'!$A$2:$J$5,2,FALSE),1,0)</f>
        <v>0</v>
      </c>
      <c r="T512" s="9">
        <f>IF($A512=VLOOKUP(YEAR($A512),'Festive dates'!$A$2:$J$5,3,FALSE),1,0)</f>
        <v>0</v>
      </c>
      <c r="U512" s="9">
        <f>IF($A512=VLOOKUP(YEAR($A512),'Festive dates'!$A$2:$J$5,4,FALSE),1,0)</f>
        <v>0</v>
      </c>
      <c r="V512" s="9">
        <f>IF(AND($A512&gt;=VLOOKUP(YEAR($A512),'Festive dates'!$A$2:$J$5,9,FALSE),$A512&lt;=VLOOKUP(YEAR($A512),'Festive dates'!$A$2:$J$5,10,FALSE)),1,0)</f>
        <v>0</v>
      </c>
      <c r="W512" s="9">
        <f>IF($A512=VLOOKUP(YEAR($A512),'Festive dates'!$A$2:$J$5,7,FALSE),1,0)</f>
        <v>0</v>
      </c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</row>
    <row r="513" spans="1:51">
      <c r="A513" s="8">
        <v>45528</v>
      </c>
      <c r="B513" s="9">
        <v>0</v>
      </c>
      <c r="C513" s="9">
        <v>0</v>
      </c>
      <c r="D513" s="9">
        <v>0</v>
      </c>
      <c r="E513" s="9">
        <v>0</v>
      </c>
      <c r="F513" s="9">
        <v>0</v>
      </c>
      <c r="G513" s="9">
        <v>0</v>
      </c>
      <c r="H513" s="9">
        <v>0</v>
      </c>
      <c r="I513" s="9">
        <v>0</v>
      </c>
      <c r="J513" s="9">
        <v>0</v>
      </c>
      <c r="K513" s="9">
        <v>0</v>
      </c>
      <c r="L513" s="9">
        <v>0</v>
      </c>
      <c r="M513" s="9">
        <v>0</v>
      </c>
      <c r="N513" s="9">
        <v>0</v>
      </c>
      <c r="O513" s="9">
        <v>0</v>
      </c>
      <c r="P513" s="9">
        <v>0</v>
      </c>
      <c r="Q513" s="9">
        <f>MAX(-20,MIN(10,$A513-VLOOKUP(YEAR($A513),'Festive dates'!$A$2:$J$5,8,FALSE)))</f>
        <v>-20</v>
      </c>
      <c r="R513" s="9">
        <f>IF(AND($A513&gt;VLOOKUP(YEAR($A513),'Festive dates'!$A$2:$J$5,2,FALSE),$A513&lt;VLOOKUP(YEAR($A513),'Festive dates'!$A$2:$J$5,3,FALSE)),1,0)</f>
        <v>0</v>
      </c>
      <c r="S513" s="9">
        <f>IF($A513=VLOOKUP(YEAR($A513),'Festive dates'!$A$2:$J$5,2,FALSE),1,0)</f>
        <v>0</v>
      </c>
      <c r="T513" s="9">
        <f>IF($A513=VLOOKUP(YEAR($A513),'Festive dates'!$A$2:$J$5,3,FALSE),1,0)</f>
        <v>0</v>
      </c>
      <c r="U513" s="9">
        <f>IF($A513=VLOOKUP(YEAR($A513),'Festive dates'!$A$2:$J$5,4,FALSE),1,0)</f>
        <v>0</v>
      </c>
      <c r="V513" s="9">
        <f>IF(AND($A513&gt;=VLOOKUP(YEAR($A513),'Festive dates'!$A$2:$J$5,9,FALSE),$A513&lt;=VLOOKUP(YEAR($A513),'Festive dates'!$A$2:$J$5,10,FALSE)),1,0)</f>
        <v>0</v>
      </c>
      <c r="W513" s="9">
        <f>IF($A513=VLOOKUP(YEAR($A513),'Festive dates'!$A$2:$J$5,7,FALSE),1,0)</f>
        <v>0</v>
      </c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</row>
    <row r="514" spans="1:51">
      <c r="A514" s="8">
        <v>45529</v>
      </c>
      <c r="B514" s="9">
        <v>0</v>
      </c>
      <c r="C514" s="9">
        <v>0</v>
      </c>
      <c r="D514" s="9">
        <v>0</v>
      </c>
      <c r="E514" s="9">
        <v>0</v>
      </c>
      <c r="F514" s="9">
        <v>0</v>
      </c>
      <c r="G514" s="9">
        <v>0</v>
      </c>
      <c r="H514" s="9">
        <v>0</v>
      </c>
      <c r="I514" s="9">
        <v>0</v>
      </c>
      <c r="J514" s="9">
        <v>0</v>
      </c>
      <c r="K514" s="9">
        <v>0</v>
      </c>
      <c r="L514" s="9">
        <v>0</v>
      </c>
      <c r="M514" s="9">
        <v>0</v>
      </c>
      <c r="N514" s="9">
        <v>0</v>
      </c>
      <c r="O514" s="9">
        <v>0</v>
      </c>
      <c r="P514" s="9">
        <v>0</v>
      </c>
      <c r="Q514" s="9">
        <f>MAX(-20,MIN(10,$A514-VLOOKUP(YEAR($A514),'Festive dates'!$A$2:$J$5,8,FALSE)))</f>
        <v>-20</v>
      </c>
      <c r="R514" s="9">
        <f>IF(AND($A514&gt;VLOOKUP(YEAR($A514),'Festive dates'!$A$2:$J$5,2,FALSE),$A514&lt;VLOOKUP(YEAR($A514),'Festive dates'!$A$2:$J$5,3,FALSE)),1,0)</f>
        <v>0</v>
      </c>
      <c r="S514" s="9">
        <f>IF($A514=VLOOKUP(YEAR($A514),'Festive dates'!$A$2:$J$5,2,FALSE),1,0)</f>
        <v>0</v>
      </c>
      <c r="T514" s="9">
        <f>IF($A514=VLOOKUP(YEAR($A514),'Festive dates'!$A$2:$J$5,3,FALSE),1,0)</f>
        <v>0</v>
      </c>
      <c r="U514" s="9">
        <f>IF($A514=VLOOKUP(YEAR($A514),'Festive dates'!$A$2:$J$5,4,FALSE),1,0)</f>
        <v>0</v>
      </c>
      <c r="V514" s="9">
        <f>IF(AND($A514&gt;=VLOOKUP(YEAR($A514),'Festive dates'!$A$2:$J$5,9,FALSE),$A514&lt;=VLOOKUP(YEAR($A514),'Festive dates'!$A$2:$J$5,10,FALSE)),1,0)</f>
        <v>0</v>
      </c>
      <c r="W514" s="9">
        <f>IF($A514=VLOOKUP(YEAR($A514),'Festive dates'!$A$2:$J$5,7,FALSE),1,0)</f>
        <v>0</v>
      </c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</row>
    <row r="515" spans="1:51">
      <c r="A515" s="8">
        <v>45530</v>
      </c>
      <c r="B515" s="9">
        <v>0</v>
      </c>
      <c r="C515" s="9">
        <v>0</v>
      </c>
      <c r="D515" s="9">
        <v>1</v>
      </c>
      <c r="E515" s="9">
        <v>0</v>
      </c>
      <c r="F515" s="9">
        <v>0</v>
      </c>
      <c r="G515" s="9">
        <v>0</v>
      </c>
      <c r="H515" s="9">
        <v>0</v>
      </c>
      <c r="I515" s="9">
        <v>0</v>
      </c>
      <c r="J515" s="9">
        <v>0</v>
      </c>
      <c r="K515" s="9">
        <v>0</v>
      </c>
      <c r="L515" s="9">
        <v>0</v>
      </c>
      <c r="M515" s="9">
        <v>0</v>
      </c>
      <c r="N515" s="9">
        <v>0</v>
      </c>
      <c r="O515" s="9">
        <v>0</v>
      </c>
      <c r="P515" s="9">
        <v>0</v>
      </c>
      <c r="Q515" s="9">
        <f>MAX(-20,MIN(10,$A515-VLOOKUP(YEAR($A515),'Festive dates'!$A$2:$J$5,8,FALSE)))</f>
        <v>-20</v>
      </c>
      <c r="R515" s="9">
        <f>IF(AND($A515&gt;VLOOKUP(YEAR($A515),'Festive dates'!$A$2:$J$5,2,FALSE),$A515&lt;VLOOKUP(YEAR($A515),'Festive dates'!$A$2:$J$5,3,FALSE)),1,0)</f>
        <v>0</v>
      </c>
      <c r="S515" s="9">
        <f>IF($A515=VLOOKUP(YEAR($A515),'Festive dates'!$A$2:$J$5,2,FALSE),1,0)</f>
        <v>0</v>
      </c>
      <c r="T515" s="9">
        <f>IF($A515=VLOOKUP(YEAR($A515),'Festive dates'!$A$2:$J$5,3,FALSE),1,0)</f>
        <v>0</v>
      </c>
      <c r="U515" s="9">
        <f>IF($A515=VLOOKUP(YEAR($A515),'Festive dates'!$A$2:$J$5,4,FALSE),1,0)</f>
        <v>0</v>
      </c>
      <c r="V515" s="9">
        <f>IF(AND($A515&gt;=VLOOKUP(YEAR($A515),'Festive dates'!$A$2:$J$5,9,FALSE),$A515&lt;=VLOOKUP(YEAR($A515),'Festive dates'!$A$2:$J$5,10,FALSE)),1,0)</f>
        <v>0</v>
      </c>
      <c r="W515" s="9">
        <f>IF($A515=VLOOKUP(YEAR($A515),'Festive dates'!$A$2:$J$5,7,FALSE),1,0)</f>
        <v>0</v>
      </c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</row>
    <row r="516" spans="1:51">
      <c r="A516" s="8">
        <v>45531</v>
      </c>
      <c r="B516" s="9">
        <v>0</v>
      </c>
      <c r="C516" s="9">
        <v>0</v>
      </c>
      <c r="D516" s="9">
        <v>0</v>
      </c>
      <c r="E516" s="9">
        <v>0</v>
      </c>
      <c r="F516" s="9">
        <v>0</v>
      </c>
      <c r="G516" s="9">
        <v>0</v>
      </c>
      <c r="H516" s="9">
        <v>0</v>
      </c>
      <c r="I516" s="9">
        <v>0</v>
      </c>
      <c r="J516" s="9">
        <v>0</v>
      </c>
      <c r="K516" s="9">
        <v>0</v>
      </c>
      <c r="L516" s="9">
        <v>0</v>
      </c>
      <c r="M516" s="9">
        <v>0</v>
      </c>
      <c r="N516" s="9">
        <v>0</v>
      </c>
      <c r="O516" s="9">
        <v>0</v>
      </c>
      <c r="P516" s="9">
        <v>0</v>
      </c>
      <c r="Q516" s="9">
        <f>MAX(-20,MIN(10,$A516-VLOOKUP(YEAR($A516),'Festive dates'!$A$2:$J$5,8,FALSE)))</f>
        <v>-20</v>
      </c>
      <c r="R516" s="9">
        <f>IF(AND($A516&gt;VLOOKUP(YEAR($A516),'Festive dates'!$A$2:$J$5,2,FALSE),$A516&lt;VLOOKUP(YEAR($A516),'Festive dates'!$A$2:$J$5,3,FALSE)),1,0)</f>
        <v>0</v>
      </c>
      <c r="S516" s="9">
        <f>IF($A516=VLOOKUP(YEAR($A516),'Festive dates'!$A$2:$J$5,2,FALSE),1,0)</f>
        <v>0</v>
      </c>
      <c r="T516" s="9">
        <f>IF($A516=VLOOKUP(YEAR($A516),'Festive dates'!$A$2:$J$5,3,FALSE),1,0)</f>
        <v>0</v>
      </c>
      <c r="U516" s="9">
        <f>IF($A516=VLOOKUP(YEAR($A516),'Festive dates'!$A$2:$J$5,4,FALSE),1,0)</f>
        <v>0</v>
      </c>
      <c r="V516" s="9">
        <f>IF(AND($A516&gt;=VLOOKUP(YEAR($A516),'Festive dates'!$A$2:$J$5,9,FALSE),$A516&lt;=VLOOKUP(YEAR($A516),'Festive dates'!$A$2:$J$5,10,FALSE)),1,0)</f>
        <v>0</v>
      </c>
      <c r="W516" s="9">
        <f>IF($A516=VLOOKUP(YEAR($A516),'Festive dates'!$A$2:$J$5,7,FALSE),1,0)</f>
        <v>0</v>
      </c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</row>
    <row r="517" spans="1:51">
      <c r="A517" s="8">
        <v>45532</v>
      </c>
      <c r="B517" s="9">
        <v>0</v>
      </c>
      <c r="C517" s="9">
        <v>0</v>
      </c>
      <c r="D517" s="9">
        <v>0</v>
      </c>
      <c r="E517" s="9">
        <v>0</v>
      </c>
      <c r="F517" s="9">
        <v>0</v>
      </c>
      <c r="G517" s="9">
        <v>0</v>
      </c>
      <c r="H517" s="9">
        <v>0</v>
      </c>
      <c r="I517" s="9">
        <v>0</v>
      </c>
      <c r="J517" s="9">
        <v>0</v>
      </c>
      <c r="K517" s="9">
        <v>0</v>
      </c>
      <c r="L517" s="9">
        <v>0</v>
      </c>
      <c r="M517" s="9">
        <v>0</v>
      </c>
      <c r="N517" s="9">
        <v>0</v>
      </c>
      <c r="O517" s="9">
        <v>0</v>
      </c>
      <c r="P517" s="9">
        <v>0</v>
      </c>
      <c r="Q517" s="9">
        <f>MAX(-20,MIN(10,$A517-VLOOKUP(YEAR($A517),'Festive dates'!$A$2:$J$5,8,FALSE)))</f>
        <v>-20</v>
      </c>
      <c r="R517" s="9">
        <f>IF(AND($A517&gt;VLOOKUP(YEAR($A517),'Festive dates'!$A$2:$J$5,2,FALSE),$A517&lt;VLOOKUP(YEAR($A517),'Festive dates'!$A$2:$J$5,3,FALSE)),1,0)</f>
        <v>0</v>
      </c>
      <c r="S517" s="9">
        <f>IF($A517=VLOOKUP(YEAR($A517),'Festive dates'!$A$2:$J$5,2,FALSE),1,0)</f>
        <v>0</v>
      </c>
      <c r="T517" s="9">
        <f>IF($A517=VLOOKUP(YEAR($A517),'Festive dates'!$A$2:$J$5,3,FALSE),1,0)</f>
        <v>0</v>
      </c>
      <c r="U517" s="9">
        <f>IF($A517=VLOOKUP(YEAR($A517),'Festive dates'!$A$2:$J$5,4,FALSE),1,0)</f>
        <v>0</v>
      </c>
      <c r="V517" s="9">
        <f>IF(AND($A517&gt;=VLOOKUP(YEAR($A517),'Festive dates'!$A$2:$J$5,9,FALSE),$A517&lt;=VLOOKUP(YEAR($A517),'Festive dates'!$A$2:$J$5,10,FALSE)),1,0)</f>
        <v>0</v>
      </c>
      <c r="W517" s="9">
        <f>IF($A517=VLOOKUP(YEAR($A517),'Festive dates'!$A$2:$J$5,7,FALSE),1,0)</f>
        <v>0</v>
      </c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</row>
    <row r="518" spans="1:51">
      <c r="A518" s="8">
        <v>45533</v>
      </c>
      <c r="B518" s="9">
        <v>0</v>
      </c>
      <c r="C518" s="9">
        <v>0</v>
      </c>
      <c r="D518" s="9">
        <v>0</v>
      </c>
      <c r="E518" s="9">
        <v>0</v>
      </c>
      <c r="F518" s="9">
        <v>0</v>
      </c>
      <c r="G518" s="9">
        <v>0</v>
      </c>
      <c r="H518" s="9">
        <v>0</v>
      </c>
      <c r="I518" s="9">
        <v>0</v>
      </c>
      <c r="J518" s="9">
        <v>0</v>
      </c>
      <c r="K518" s="9">
        <v>0</v>
      </c>
      <c r="L518" s="9">
        <v>0</v>
      </c>
      <c r="M518" s="9">
        <v>0</v>
      </c>
      <c r="N518" s="9">
        <v>0</v>
      </c>
      <c r="O518" s="9">
        <v>0</v>
      </c>
      <c r="P518" s="9">
        <v>0</v>
      </c>
      <c r="Q518" s="9">
        <f>MAX(-20,MIN(10,$A518-VLOOKUP(YEAR($A518),'Festive dates'!$A$2:$J$5,8,FALSE)))</f>
        <v>-20</v>
      </c>
      <c r="R518" s="9">
        <f>IF(AND($A518&gt;VLOOKUP(YEAR($A518),'Festive dates'!$A$2:$J$5,2,FALSE),$A518&lt;VLOOKUP(YEAR($A518),'Festive dates'!$A$2:$J$5,3,FALSE)),1,0)</f>
        <v>0</v>
      </c>
      <c r="S518" s="9">
        <f>IF($A518=VLOOKUP(YEAR($A518),'Festive dates'!$A$2:$J$5,2,FALSE),1,0)</f>
        <v>0</v>
      </c>
      <c r="T518" s="9">
        <f>IF($A518=VLOOKUP(YEAR($A518),'Festive dates'!$A$2:$J$5,3,FALSE),1,0)</f>
        <v>0</v>
      </c>
      <c r="U518" s="9">
        <f>IF($A518=VLOOKUP(YEAR($A518),'Festive dates'!$A$2:$J$5,4,FALSE),1,0)</f>
        <v>0</v>
      </c>
      <c r="V518" s="9">
        <f>IF(AND($A518&gt;=VLOOKUP(YEAR($A518),'Festive dates'!$A$2:$J$5,9,FALSE),$A518&lt;=VLOOKUP(YEAR($A518),'Festive dates'!$A$2:$J$5,10,FALSE)),1,0)</f>
        <v>0</v>
      </c>
      <c r="W518" s="9">
        <f>IF($A518=VLOOKUP(YEAR($A518),'Festive dates'!$A$2:$J$5,7,FALSE),1,0)</f>
        <v>0</v>
      </c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</row>
    <row r="519" spans="1:51">
      <c r="A519" s="8">
        <v>45534</v>
      </c>
      <c r="B519" s="9">
        <v>0</v>
      </c>
      <c r="C519" s="9">
        <v>0</v>
      </c>
      <c r="D519" s="9">
        <v>0</v>
      </c>
      <c r="E519" s="9">
        <v>0</v>
      </c>
      <c r="F519" s="9">
        <v>0</v>
      </c>
      <c r="G519" s="9">
        <v>0</v>
      </c>
      <c r="H519" s="9">
        <v>0</v>
      </c>
      <c r="I519" s="9">
        <v>0</v>
      </c>
      <c r="J519" s="9">
        <v>0</v>
      </c>
      <c r="K519" s="9">
        <v>0</v>
      </c>
      <c r="L519" s="9">
        <v>0</v>
      </c>
      <c r="M519" s="9">
        <v>0</v>
      </c>
      <c r="N519" s="9">
        <v>0</v>
      </c>
      <c r="O519" s="9">
        <v>0</v>
      </c>
      <c r="P519" s="9">
        <v>0</v>
      </c>
      <c r="Q519" s="9">
        <f>MAX(-20,MIN(10,$A519-VLOOKUP(YEAR($A519),'Festive dates'!$A$2:$J$5,8,FALSE)))</f>
        <v>-20</v>
      </c>
      <c r="R519" s="9">
        <f>IF(AND($A519&gt;VLOOKUP(YEAR($A519),'Festive dates'!$A$2:$J$5,2,FALSE),$A519&lt;VLOOKUP(YEAR($A519),'Festive dates'!$A$2:$J$5,3,FALSE)),1,0)</f>
        <v>0</v>
      </c>
      <c r="S519" s="9">
        <f>IF($A519=VLOOKUP(YEAR($A519),'Festive dates'!$A$2:$J$5,2,FALSE),1,0)</f>
        <v>0</v>
      </c>
      <c r="T519" s="9">
        <f>IF($A519=VLOOKUP(YEAR($A519),'Festive dates'!$A$2:$J$5,3,FALSE),1,0)</f>
        <v>0</v>
      </c>
      <c r="U519" s="9">
        <f>IF($A519=VLOOKUP(YEAR($A519),'Festive dates'!$A$2:$J$5,4,FALSE),1,0)</f>
        <v>0</v>
      </c>
      <c r="V519" s="9">
        <f>IF(AND($A519&gt;=VLOOKUP(YEAR($A519),'Festive dates'!$A$2:$J$5,9,FALSE),$A519&lt;=VLOOKUP(YEAR($A519),'Festive dates'!$A$2:$J$5,10,FALSE)),1,0)</f>
        <v>0</v>
      </c>
      <c r="W519" s="9">
        <f>IF($A519=VLOOKUP(YEAR($A519),'Festive dates'!$A$2:$J$5,7,FALSE),1,0)</f>
        <v>0</v>
      </c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</row>
    <row r="520" spans="1:51">
      <c r="A520" s="8">
        <v>45535</v>
      </c>
      <c r="B520" s="9">
        <v>0</v>
      </c>
      <c r="C520" s="9">
        <v>0</v>
      </c>
      <c r="D520" s="9">
        <v>0</v>
      </c>
      <c r="E520" s="9">
        <v>0</v>
      </c>
      <c r="F520" s="9">
        <v>0</v>
      </c>
      <c r="G520" s="9">
        <v>0</v>
      </c>
      <c r="H520" s="9">
        <v>0</v>
      </c>
      <c r="I520" s="9">
        <v>0</v>
      </c>
      <c r="J520" s="9">
        <v>0</v>
      </c>
      <c r="K520" s="9">
        <v>0</v>
      </c>
      <c r="L520" s="9">
        <v>0</v>
      </c>
      <c r="M520" s="9">
        <v>0</v>
      </c>
      <c r="N520" s="9">
        <v>0</v>
      </c>
      <c r="O520" s="9">
        <v>0</v>
      </c>
      <c r="P520" s="9">
        <v>0</v>
      </c>
      <c r="Q520" s="9">
        <f>MAX(-20,MIN(10,$A520-VLOOKUP(YEAR($A520),'Festive dates'!$A$2:$J$5,8,FALSE)))</f>
        <v>-20</v>
      </c>
      <c r="R520" s="9">
        <f>IF(AND($A520&gt;VLOOKUP(YEAR($A520),'Festive dates'!$A$2:$J$5,2,FALSE),$A520&lt;VLOOKUP(YEAR($A520),'Festive dates'!$A$2:$J$5,3,FALSE)),1,0)</f>
        <v>0</v>
      </c>
      <c r="S520" s="9">
        <f>IF($A520=VLOOKUP(YEAR($A520),'Festive dates'!$A$2:$J$5,2,FALSE),1,0)</f>
        <v>0</v>
      </c>
      <c r="T520" s="9">
        <f>IF($A520=VLOOKUP(YEAR($A520),'Festive dates'!$A$2:$J$5,3,FALSE),1,0)</f>
        <v>0</v>
      </c>
      <c r="U520" s="9">
        <f>IF($A520=VLOOKUP(YEAR($A520),'Festive dates'!$A$2:$J$5,4,FALSE),1,0)</f>
        <v>0</v>
      </c>
      <c r="V520" s="9">
        <f>IF(AND($A520&gt;=VLOOKUP(YEAR($A520),'Festive dates'!$A$2:$J$5,9,FALSE),$A520&lt;=VLOOKUP(YEAR($A520),'Festive dates'!$A$2:$J$5,10,FALSE)),1,0)</f>
        <v>0</v>
      </c>
      <c r="W520" s="9">
        <f>IF($A520=VLOOKUP(YEAR($A520),'Festive dates'!$A$2:$J$5,7,FALSE),1,0)</f>
        <v>0</v>
      </c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</row>
    <row r="521" spans="1:51">
      <c r="A521" s="8">
        <v>45536</v>
      </c>
      <c r="B521" s="9">
        <v>0</v>
      </c>
      <c r="C521" s="9">
        <v>0</v>
      </c>
      <c r="D521" s="9">
        <v>0</v>
      </c>
      <c r="E521" s="9">
        <v>0</v>
      </c>
      <c r="F521" s="9">
        <v>0</v>
      </c>
      <c r="G521" s="9">
        <v>0</v>
      </c>
      <c r="H521" s="9">
        <v>0</v>
      </c>
      <c r="I521" s="9">
        <v>0</v>
      </c>
      <c r="J521" s="9">
        <v>0</v>
      </c>
      <c r="K521" s="9">
        <v>0</v>
      </c>
      <c r="L521" s="9">
        <v>0</v>
      </c>
      <c r="M521" s="9">
        <v>0</v>
      </c>
      <c r="N521" s="9">
        <v>0</v>
      </c>
      <c r="O521" s="9">
        <v>0</v>
      </c>
      <c r="P521" s="9">
        <v>0</v>
      </c>
      <c r="Q521" s="9">
        <f>MAX(-20,MIN(10,$A521-VLOOKUP(YEAR($A521),'Festive dates'!$A$2:$J$5,8,FALSE)))</f>
        <v>-20</v>
      </c>
      <c r="R521" s="9">
        <f>IF(AND($A521&gt;VLOOKUP(YEAR($A521),'Festive dates'!$A$2:$J$5,2,FALSE),$A521&lt;VLOOKUP(YEAR($A521),'Festive dates'!$A$2:$J$5,3,FALSE)),1,0)</f>
        <v>0</v>
      </c>
      <c r="S521" s="9">
        <f>IF($A521=VLOOKUP(YEAR($A521),'Festive dates'!$A$2:$J$5,2,FALSE),1,0)</f>
        <v>0</v>
      </c>
      <c r="T521" s="9">
        <f>IF($A521=VLOOKUP(YEAR($A521),'Festive dates'!$A$2:$J$5,3,FALSE),1,0)</f>
        <v>0</v>
      </c>
      <c r="U521" s="9">
        <f>IF($A521=VLOOKUP(YEAR($A521),'Festive dates'!$A$2:$J$5,4,FALSE),1,0)</f>
        <v>0</v>
      </c>
      <c r="V521" s="9">
        <f>IF(AND($A521&gt;=VLOOKUP(YEAR($A521),'Festive dates'!$A$2:$J$5,9,FALSE),$A521&lt;=VLOOKUP(YEAR($A521),'Festive dates'!$A$2:$J$5,10,FALSE)),1,0)</f>
        <v>0</v>
      </c>
      <c r="W521" s="9">
        <f>IF($A521=VLOOKUP(YEAR($A521),'Festive dates'!$A$2:$J$5,7,FALSE),1,0)</f>
        <v>0</v>
      </c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</row>
    <row r="522" spans="1:51">
      <c r="A522" s="8">
        <v>45537</v>
      </c>
      <c r="B522" s="9">
        <v>0</v>
      </c>
      <c r="C522" s="9">
        <v>0</v>
      </c>
      <c r="D522" s="9">
        <v>0</v>
      </c>
      <c r="E522" s="9">
        <v>0</v>
      </c>
      <c r="F522" s="9">
        <v>0</v>
      </c>
      <c r="G522" s="9">
        <v>0</v>
      </c>
      <c r="H522" s="9">
        <v>0</v>
      </c>
      <c r="I522" s="9">
        <v>0</v>
      </c>
      <c r="J522" s="9">
        <v>0</v>
      </c>
      <c r="K522" s="9">
        <v>0</v>
      </c>
      <c r="L522" s="9">
        <v>0</v>
      </c>
      <c r="M522" s="9">
        <v>0</v>
      </c>
      <c r="N522" s="9">
        <v>0</v>
      </c>
      <c r="O522" s="9">
        <v>0</v>
      </c>
      <c r="P522" s="9">
        <v>0</v>
      </c>
      <c r="Q522" s="9">
        <f>MAX(-20,MIN(10,$A522-VLOOKUP(YEAR($A522),'Festive dates'!$A$2:$J$5,8,FALSE)))</f>
        <v>-20</v>
      </c>
      <c r="R522" s="9">
        <f>IF(AND($A522&gt;VLOOKUP(YEAR($A522),'Festive dates'!$A$2:$J$5,2,FALSE),$A522&lt;VLOOKUP(YEAR($A522),'Festive dates'!$A$2:$J$5,3,FALSE)),1,0)</f>
        <v>0</v>
      </c>
      <c r="S522" s="9">
        <f>IF($A522=VLOOKUP(YEAR($A522),'Festive dates'!$A$2:$J$5,2,FALSE),1,0)</f>
        <v>0</v>
      </c>
      <c r="T522" s="9">
        <f>IF($A522=VLOOKUP(YEAR($A522),'Festive dates'!$A$2:$J$5,3,FALSE),1,0)</f>
        <v>0</v>
      </c>
      <c r="U522" s="9">
        <f>IF($A522=VLOOKUP(YEAR($A522),'Festive dates'!$A$2:$J$5,4,FALSE),1,0)</f>
        <v>0</v>
      </c>
      <c r="V522" s="9">
        <f>IF(AND($A522&gt;=VLOOKUP(YEAR($A522),'Festive dates'!$A$2:$J$5,9,FALSE),$A522&lt;=VLOOKUP(YEAR($A522),'Festive dates'!$A$2:$J$5,10,FALSE)),1,0)</f>
        <v>0</v>
      </c>
      <c r="W522" s="9">
        <f>IF($A522=VLOOKUP(YEAR($A522),'Festive dates'!$A$2:$J$5,7,FALSE),1,0)</f>
        <v>0</v>
      </c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</row>
    <row r="523" spans="1:51">
      <c r="A523" s="8">
        <v>45538</v>
      </c>
      <c r="B523" s="9">
        <v>0</v>
      </c>
      <c r="C523" s="9">
        <v>0</v>
      </c>
      <c r="D523" s="9">
        <v>0</v>
      </c>
      <c r="E523" s="9">
        <v>0</v>
      </c>
      <c r="F523" s="9">
        <v>0</v>
      </c>
      <c r="G523" s="9">
        <v>0</v>
      </c>
      <c r="H523" s="9">
        <v>0</v>
      </c>
      <c r="I523" s="9">
        <v>0</v>
      </c>
      <c r="J523" s="9">
        <v>0</v>
      </c>
      <c r="K523" s="9">
        <v>0</v>
      </c>
      <c r="L523" s="9">
        <v>0</v>
      </c>
      <c r="M523" s="9">
        <v>0</v>
      </c>
      <c r="N523" s="9">
        <v>0</v>
      </c>
      <c r="O523" s="9">
        <v>0</v>
      </c>
      <c r="P523" s="9">
        <v>0</v>
      </c>
      <c r="Q523" s="9">
        <f>MAX(-20,MIN(10,$A523-VLOOKUP(YEAR($A523),'Festive dates'!$A$2:$J$5,8,FALSE)))</f>
        <v>-20</v>
      </c>
      <c r="R523" s="9">
        <f>IF(AND($A523&gt;VLOOKUP(YEAR($A523),'Festive dates'!$A$2:$J$5,2,FALSE),$A523&lt;VLOOKUP(YEAR($A523),'Festive dates'!$A$2:$J$5,3,FALSE)),1,0)</f>
        <v>0</v>
      </c>
      <c r="S523" s="9">
        <f>IF($A523=VLOOKUP(YEAR($A523),'Festive dates'!$A$2:$J$5,2,FALSE),1,0)</f>
        <v>0</v>
      </c>
      <c r="T523" s="9">
        <f>IF($A523=VLOOKUP(YEAR($A523),'Festive dates'!$A$2:$J$5,3,FALSE),1,0)</f>
        <v>0</v>
      </c>
      <c r="U523" s="9">
        <f>IF($A523=VLOOKUP(YEAR($A523),'Festive dates'!$A$2:$J$5,4,FALSE),1,0)</f>
        <v>0</v>
      </c>
      <c r="V523" s="9">
        <f>IF(AND($A523&gt;=VLOOKUP(YEAR($A523),'Festive dates'!$A$2:$J$5,9,FALSE),$A523&lt;=VLOOKUP(YEAR($A523),'Festive dates'!$A$2:$J$5,10,FALSE)),1,0)</f>
        <v>0</v>
      </c>
      <c r="W523" s="9">
        <f>IF($A523=VLOOKUP(YEAR($A523),'Festive dates'!$A$2:$J$5,7,FALSE),1,0)</f>
        <v>0</v>
      </c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</row>
    <row r="524" spans="1:51">
      <c r="A524" s="8">
        <v>45539</v>
      </c>
      <c r="B524" s="9">
        <v>0</v>
      </c>
      <c r="C524" s="9">
        <v>0</v>
      </c>
      <c r="D524" s="9">
        <v>0</v>
      </c>
      <c r="E524" s="9">
        <v>0</v>
      </c>
      <c r="F524" s="9">
        <v>0</v>
      </c>
      <c r="G524" s="9">
        <v>0</v>
      </c>
      <c r="H524" s="9">
        <v>0</v>
      </c>
      <c r="I524" s="9">
        <v>0</v>
      </c>
      <c r="J524" s="9">
        <v>0</v>
      </c>
      <c r="K524" s="9">
        <v>0</v>
      </c>
      <c r="L524" s="9">
        <v>0</v>
      </c>
      <c r="M524" s="9">
        <v>0</v>
      </c>
      <c r="N524" s="9">
        <v>0</v>
      </c>
      <c r="O524" s="9">
        <v>0</v>
      </c>
      <c r="P524" s="9">
        <v>0</v>
      </c>
      <c r="Q524" s="9">
        <f>MAX(-20,MIN(10,$A524-VLOOKUP(YEAR($A524),'Festive dates'!$A$2:$J$5,8,FALSE)))</f>
        <v>-20</v>
      </c>
      <c r="R524" s="9">
        <f>IF(AND($A524&gt;VLOOKUP(YEAR($A524),'Festive dates'!$A$2:$J$5,2,FALSE),$A524&lt;VLOOKUP(YEAR($A524),'Festive dates'!$A$2:$J$5,3,FALSE)),1,0)</f>
        <v>0</v>
      </c>
      <c r="S524" s="9">
        <f>IF($A524=VLOOKUP(YEAR($A524),'Festive dates'!$A$2:$J$5,2,FALSE),1,0)</f>
        <v>0</v>
      </c>
      <c r="T524" s="9">
        <f>IF($A524=VLOOKUP(YEAR($A524),'Festive dates'!$A$2:$J$5,3,FALSE),1,0)</f>
        <v>0</v>
      </c>
      <c r="U524" s="9">
        <f>IF($A524=VLOOKUP(YEAR($A524),'Festive dates'!$A$2:$J$5,4,FALSE),1,0)</f>
        <v>0</v>
      </c>
      <c r="V524" s="9">
        <f>IF(AND($A524&gt;=VLOOKUP(YEAR($A524),'Festive dates'!$A$2:$J$5,9,FALSE),$A524&lt;=VLOOKUP(YEAR($A524),'Festive dates'!$A$2:$J$5,10,FALSE)),1,0)</f>
        <v>0</v>
      </c>
      <c r="W524" s="9">
        <f>IF($A524=VLOOKUP(YEAR($A524),'Festive dates'!$A$2:$J$5,7,FALSE),1,0)</f>
        <v>0</v>
      </c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</row>
    <row r="525" spans="1:51">
      <c r="A525" s="8">
        <v>45540</v>
      </c>
      <c r="B525" s="9">
        <v>0</v>
      </c>
      <c r="C525" s="9">
        <v>0</v>
      </c>
      <c r="D525" s="9">
        <v>0</v>
      </c>
      <c r="E525" s="9">
        <v>0</v>
      </c>
      <c r="F525" s="9">
        <v>0</v>
      </c>
      <c r="G525" s="9">
        <v>0</v>
      </c>
      <c r="H525" s="9">
        <v>0</v>
      </c>
      <c r="I525" s="9">
        <v>0</v>
      </c>
      <c r="J525" s="9">
        <v>0</v>
      </c>
      <c r="K525" s="9">
        <v>0</v>
      </c>
      <c r="L525" s="9">
        <v>0</v>
      </c>
      <c r="M525" s="9">
        <v>0</v>
      </c>
      <c r="N525" s="9">
        <v>0</v>
      </c>
      <c r="O525" s="9">
        <v>0</v>
      </c>
      <c r="P525" s="9">
        <v>0</v>
      </c>
      <c r="Q525" s="9">
        <f>MAX(-20,MIN(10,$A525-VLOOKUP(YEAR($A525),'Festive dates'!$A$2:$J$5,8,FALSE)))</f>
        <v>-20</v>
      </c>
      <c r="R525" s="9">
        <f>IF(AND($A525&gt;VLOOKUP(YEAR($A525),'Festive dates'!$A$2:$J$5,2,FALSE),$A525&lt;VLOOKUP(YEAR($A525),'Festive dates'!$A$2:$J$5,3,FALSE)),1,0)</f>
        <v>0</v>
      </c>
      <c r="S525" s="9">
        <f>IF($A525=VLOOKUP(YEAR($A525),'Festive dates'!$A$2:$J$5,2,FALSE),1,0)</f>
        <v>0</v>
      </c>
      <c r="T525" s="9">
        <f>IF($A525=VLOOKUP(YEAR($A525),'Festive dates'!$A$2:$J$5,3,FALSE),1,0)</f>
        <v>0</v>
      </c>
      <c r="U525" s="9">
        <f>IF($A525=VLOOKUP(YEAR($A525),'Festive dates'!$A$2:$J$5,4,FALSE),1,0)</f>
        <v>0</v>
      </c>
      <c r="V525" s="9">
        <f>IF(AND($A525&gt;=VLOOKUP(YEAR($A525),'Festive dates'!$A$2:$J$5,9,FALSE),$A525&lt;=VLOOKUP(YEAR($A525),'Festive dates'!$A$2:$J$5,10,FALSE)),1,0)</f>
        <v>0</v>
      </c>
      <c r="W525" s="9">
        <f>IF($A525=VLOOKUP(YEAR($A525),'Festive dates'!$A$2:$J$5,7,FALSE),1,0)</f>
        <v>0</v>
      </c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</row>
    <row r="526" spans="1:51">
      <c r="A526" s="8">
        <v>45541</v>
      </c>
      <c r="B526" s="9">
        <v>1</v>
      </c>
      <c r="C526" s="9">
        <v>0</v>
      </c>
      <c r="D526" s="9">
        <v>0</v>
      </c>
      <c r="E526" s="9">
        <v>0</v>
      </c>
      <c r="F526" s="9">
        <v>0</v>
      </c>
      <c r="G526" s="9">
        <v>0</v>
      </c>
      <c r="H526" s="9">
        <v>0</v>
      </c>
      <c r="I526" s="9">
        <v>0</v>
      </c>
      <c r="J526" s="9">
        <v>0</v>
      </c>
      <c r="K526" s="9">
        <v>0</v>
      </c>
      <c r="L526" s="9">
        <v>0</v>
      </c>
      <c r="M526" s="9">
        <v>0</v>
      </c>
      <c r="N526" s="9">
        <v>0</v>
      </c>
      <c r="O526" s="9">
        <v>0</v>
      </c>
      <c r="P526" s="9">
        <v>0</v>
      </c>
      <c r="Q526" s="9">
        <f>MAX(-20,MIN(10,$A526-VLOOKUP(YEAR($A526),'Festive dates'!$A$2:$J$5,8,FALSE)))</f>
        <v>-20</v>
      </c>
      <c r="R526" s="9">
        <f>IF(AND($A526&gt;VLOOKUP(YEAR($A526),'Festive dates'!$A$2:$J$5,2,FALSE),$A526&lt;VLOOKUP(YEAR($A526),'Festive dates'!$A$2:$J$5,3,FALSE)),1,0)</f>
        <v>0</v>
      </c>
      <c r="S526" s="9">
        <f>IF($A526=VLOOKUP(YEAR($A526),'Festive dates'!$A$2:$J$5,2,FALSE),1,0)</f>
        <v>0</v>
      </c>
      <c r="T526" s="9">
        <f>IF($A526=VLOOKUP(YEAR($A526),'Festive dates'!$A$2:$J$5,3,FALSE),1,0)</f>
        <v>0</v>
      </c>
      <c r="U526" s="9">
        <f>IF($A526=VLOOKUP(YEAR($A526),'Festive dates'!$A$2:$J$5,4,FALSE),1,0)</f>
        <v>0</v>
      </c>
      <c r="V526" s="9">
        <f>IF(AND($A526&gt;=VLOOKUP(YEAR($A526),'Festive dates'!$A$2:$J$5,9,FALSE),$A526&lt;=VLOOKUP(YEAR($A526),'Festive dates'!$A$2:$J$5,10,FALSE)),1,0)</f>
        <v>0</v>
      </c>
      <c r="W526" s="9">
        <f>IF($A526=VLOOKUP(YEAR($A526),'Festive dates'!$A$2:$J$5,7,FALSE),1,0)</f>
        <v>0</v>
      </c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</row>
    <row r="527" spans="1:51">
      <c r="A527" s="8">
        <v>45542</v>
      </c>
      <c r="B527" s="9">
        <v>0</v>
      </c>
      <c r="C527" s="9">
        <v>1</v>
      </c>
      <c r="D527" s="9">
        <v>0</v>
      </c>
      <c r="E527" s="9">
        <v>0</v>
      </c>
      <c r="F527" s="9">
        <v>0</v>
      </c>
      <c r="G527" s="9">
        <v>0</v>
      </c>
      <c r="H527" s="9">
        <v>0</v>
      </c>
      <c r="I527" s="9">
        <v>0</v>
      </c>
      <c r="J527" s="9">
        <v>0</v>
      </c>
      <c r="K527" s="9">
        <v>0</v>
      </c>
      <c r="L527" s="9">
        <v>0</v>
      </c>
      <c r="M527" s="9">
        <v>0</v>
      </c>
      <c r="N527" s="9">
        <v>0</v>
      </c>
      <c r="O527" s="9">
        <v>0</v>
      </c>
      <c r="P527" s="9">
        <v>0</v>
      </c>
      <c r="Q527" s="9">
        <f>MAX(-20,MIN(10,$A527-VLOOKUP(YEAR($A527),'Festive dates'!$A$2:$J$5,8,FALSE)))</f>
        <v>-20</v>
      </c>
      <c r="R527" s="9">
        <f>IF(AND($A527&gt;VLOOKUP(YEAR($A527),'Festive dates'!$A$2:$J$5,2,FALSE),$A527&lt;VLOOKUP(YEAR($A527),'Festive dates'!$A$2:$J$5,3,FALSE)),1,0)</f>
        <v>0</v>
      </c>
      <c r="S527" s="9">
        <f>IF($A527=VLOOKUP(YEAR($A527),'Festive dates'!$A$2:$J$5,2,FALSE),1,0)</f>
        <v>0</v>
      </c>
      <c r="T527" s="9">
        <f>IF($A527=VLOOKUP(YEAR($A527),'Festive dates'!$A$2:$J$5,3,FALSE),1,0)</f>
        <v>0</v>
      </c>
      <c r="U527" s="9">
        <f>IF($A527=VLOOKUP(YEAR($A527),'Festive dates'!$A$2:$J$5,4,FALSE),1,0)</f>
        <v>0</v>
      </c>
      <c r="V527" s="9">
        <f>IF(AND($A527&gt;=VLOOKUP(YEAR($A527),'Festive dates'!$A$2:$J$5,9,FALSE),$A527&lt;=VLOOKUP(YEAR($A527),'Festive dates'!$A$2:$J$5,10,FALSE)),1,0)</f>
        <v>0</v>
      </c>
      <c r="W527" s="9">
        <f>IF($A527=VLOOKUP(YEAR($A527),'Festive dates'!$A$2:$J$5,7,FALSE),1,0)</f>
        <v>0</v>
      </c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</row>
    <row r="528" spans="1:51">
      <c r="A528" s="8">
        <v>45543</v>
      </c>
      <c r="B528" s="9">
        <v>0</v>
      </c>
      <c r="C528" s="9">
        <v>0</v>
      </c>
      <c r="D528" s="9">
        <v>0</v>
      </c>
      <c r="E528" s="9">
        <v>0</v>
      </c>
      <c r="F528" s="9">
        <v>0</v>
      </c>
      <c r="G528" s="9">
        <v>0</v>
      </c>
      <c r="H528" s="9">
        <v>0</v>
      </c>
      <c r="I528" s="9">
        <v>0</v>
      </c>
      <c r="J528" s="9">
        <v>0</v>
      </c>
      <c r="K528" s="9">
        <v>0</v>
      </c>
      <c r="L528" s="9">
        <v>0</v>
      </c>
      <c r="M528" s="9">
        <v>0</v>
      </c>
      <c r="N528" s="9">
        <v>0</v>
      </c>
      <c r="O528" s="9">
        <v>0</v>
      </c>
      <c r="P528" s="9">
        <v>0</v>
      </c>
      <c r="Q528" s="9">
        <f>MAX(-20,MIN(10,$A528-VLOOKUP(YEAR($A528),'Festive dates'!$A$2:$J$5,8,FALSE)))</f>
        <v>-20</v>
      </c>
      <c r="R528" s="9">
        <f>IF(AND($A528&gt;VLOOKUP(YEAR($A528),'Festive dates'!$A$2:$J$5,2,FALSE),$A528&lt;VLOOKUP(YEAR($A528),'Festive dates'!$A$2:$J$5,3,FALSE)),1,0)</f>
        <v>0</v>
      </c>
      <c r="S528" s="9">
        <f>IF($A528=VLOOKUP(YEAR($A528),'Festive dates'!$A$2:$J$5,2,FALSE),1,0)</f>
        <v>0</v>
      </c>
      <c r="T528" s="9">
        <f>IF($A528=VLOOKUP(YEAR($A528),'Festive dates'!$A$2:$J$5,3,FALSE),1,0)</f>
        <v>0</v>
      </c>
      <c r="U528" s="9">
        <f>IF($A528=VLOOKUP(YEAR($A528),'Festive dates'!$A$2:$J$5,4,FALSE),1,0)</f>
        <v>0</v>
      </c>
      <c r="V528" s="9">
        <f>IF(AND($A528&gt;=VLOOKUP(YEAR($A528),'Festive dates'!$A$2:$J$5,9,FALSE),$A528&lt;=VLOOKUP(YEAR($A528),'Festive dates'!$A$2:$J$5,10,FALSE)),1,0)</f>
        <v>0</v>
      </c>
      <c r="W528" s="9">
        <f>IF($A528=VLOOKUP(YEAR($A528),'Festive dates'!$A$2:$J$5,7,FALSE),1,0)</f>
        <v>0</v>
      </c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</row>
    <row r="529" spans="1:51">
      <c r="A529" s="8">
        <v>45544</v>
      </c>
      <c r="B529" s="9">
        <v>0</v>
      </c>
      <c r="C529" s="9">
        <v>0</v>
      </c>
      <c r="D529" s="9">
        <v>0</v>
      </c>
      <c r="E529" s="9">
        <v>0</v>
      </c>
      <c r="F529" s="9">
        <v>0</v>
      </c>
      <c r="G529" s="9">
        <v>0</v>
      </c>
      <c r="H529" s="9">
        <v>0</v>
      </c>
      <c r="I529" s="9">
        <v>0</v>
      </c>
      <c r="J529" s="9">
        <v>0</v>
      </c>
      <c r="K529" s="9">
        <v>0</v>
      </c>
      <c r="L529" s="9">
        <v>0</v>
      </c>
      <c r="M529" s="9">
        <v>0</v>
      </c>
      <c r="N529" s="9">
        <v>0</v>
      </c>
      <c r="O529" s="9">
        <v>0</v>
      </c>
      <c r="P529" s="9">
        <v>0</v>
      </c>
      <c r="Q529" s="9">
        <f>MAX(-20,MIN(10,$A529-VLOOKUP(YEAR($A529),'Festive dates'!$A$2:$J$5,8,FALSE)))</f>
        <v>-20</v>
      </c>
      <c r="R529" s="9">
        <f>IF(AND($A529&gt;VLOOKUP(YEAR($A529),'Festive dates'!$A$2:$J$5,2,FALSE),$A529&lt;VLOOKUP(YEAR($A529),'Festive dates'!$A$2:$J$5,3,FALSE)),1,0)</f>
        <v>0</v>
      </c>
      <c r="S529" s="9">
        <f>IF($A529=VLOOKUP(YEAR($A529),'Festive dates'!$A$2:$J$5,2,FALSE),1,0)</f>
        <v>0</v>
      </c>
      <c r="T529" s="9">
        <f>IF($A529=VLOOKUP(YEAR($A529),'Festive dates'!$A$2:$J$5,3,FALSE),1,0)</f>
        <v>0</v>
      </c>
      <c r="U529" s="9">
        <f>IF($A529=VLOOKUP(YEAR($A529),'Festive dates'!$A$2:$J$5,4,FALSE),1,0)</f>
        <v>0</v>
      </c>
      <c r="V529" s="9">
        <f>IF(AND($A529&gt;=VLOOKUP(YEAR($A529),'Festive dates'!$A$2:$J$5,9,FALSE),$A529&lt;=VLOOKUP(YEAR($A529),'Festive dates'!$A$2:$J$5,10,FALSE)),1,0)</f>
        <v>0</v>
      </c>
      <c r="W529" s="9">
        <f>IF($A529=VLOOKUP(YEAR($A529),'Festive dates'!$A$2:$J$5,7,FALSE),1,0)</f>
        <v>0</v>
      </c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</row>
    <row r="530" spans="1:51">
      <c r="A530" s="8">
        <v>45545</v>
      </c>
      <c r="B530" s="9">
        <v>0</v>
      </c>
      <c r="C530" s="9">
        <v>0</v>
      </c>
      <c r="D530" s="9">
        <v>0</v>
      </c>
      <c r="E530" s="9">
        <v>0</v>
      </c>
      <c r="F530" s="9">
        <v>0</v>
      </c>
      <c r="G530" s="9">
        <v>0</v>
      </c>
      <c r="H530" s="9">
        <v>0</v>
      </c>
      <c r="I530" s="9">
        <v>0</v>
      </c>
      <c r="J530" s="9">
        <v>0</v>
      </c>
      <c r="K530" s="9">
        <v>0</v>
      </c>
      <c r="L530" s="9">
        <v>0</v>
      </c>
      <c r="M530" s="9">
        <v>0</v>
      </c>
      <c r="N530" s="9">
        <v>0</v>
      </c>
      <c r="O530" s="9">
        <v>0</v>
      </c>
      <c r="P530" s="9">
        <v>0</v>
      </c>
      <c r="Q530" s="9">
        <f>MAX(-20,MIN(10,$A530-VLOOKUP(YEAR($A530),'Festive dates'!$A$2:$J$5,8,FALSE)))</f>
        <v>-20</v>
      </c>
      <c r="R530" s="9">
        <f>IF(AND($A530&gt;VLOOKUP(YEAR($A530),'Festive dates'!$A$2:$J$5,2,FALSE),$A530&lt;VLOOKUP(YEAR($A530),'Festive dates'!$A$2:$J$5,3,FALSE)),1,0)</f>
        <v>0</v>
      </c>
      <c r="S530" s="9">
        <f>IF($A530=VLOOKUP(YEAR($A530),'Festive dates'!$A$2:$J$5,2,FALSE),1,0)</f>
        <v>0</v>
      </c>
      <c r="T530" s="9">
        <f>IF($A530=VLOOKUP(YEAR($A530),'Festive dates'!$A$2:$J$5,3,FALSE),1,0)</f>
        <v>0</v>
      </c>
      <c r="U530" s="9">
        <f>IF($A530=VLOOKUP(YEAR($A530),'Festive dates'!$A$2:$J$5,4,FALSE),1,0)</f>
        <v>0</v>
      </c>
      <c r="V530" s="9">
        <f>IF(AND($A530&gt;=VLOOKUP(YEAR($A530),'Festive dates'!$A$2:$J$5,9,FALSE),$A530&lt;=VLOOKUP(YEAR($A530),'Festive dates'!$A$2:$J$5,10,FALSE)),1,0)</f>
        <v>0</v>
      </c>
      <c r="W530" s="9">
        <f>IF($A530=VLOOKUP(YEAR($A530),'Festive dates'!$A$2:$J$5,7,FALSE),1,0)</f>
        <v>0</v>
      </c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</row>
    <row r="531" spans="1:51">
      <c r="A531" s="8">
        <v>45546</v>
      </c>
      <c r="B531" s="9">
        <v>0</v>
      </c>
      <c r="C531" s="9">
        <v>0</v>
      </c>
      <c r="D531" s="9">
        <v>0</v>
      </c>
      <c r="E531" s="9">
        <v>0</v>
      </c>
      <c r="F531" s="9">
        <v>0</v>
      </c>
      <c r="G531" s="9">
        <v>0</v>
      </c>
      <c r="H531" s="9">
        <v>0</v>
      </c>
      <c r="I531" s="9">
        <v>0</v>
      </c>
      <c r="J531" s="9">
        <v>0</v>
      </c>
      <c r="K531" s="9">
        <v>0</v>
      </c>
      <c r="L531" s="9">
        <v>0</v>
      </c>
      <c r="M531" s="9">
        <v>0</v>
      </c>
      <c r="N531" s="9">
        <v>0</v>
      </c>
      <c r="O531" s="9">
        <v>0</v>
      </c>
      <c r="P531" s="9">
        <v>0</v>
      </c>
      <c r="Q531" s="9">
        <f>MAX(-20,MIN(10,$A531-VLOOKUP(YEAR($A531),'Festive dates'!$A$2:$J$5,8,FALSE)))</f>
        <v>-20</v>
      </c>
      <c r="R531" s="9">
        <f>IF(AND($A531&gt;VLOOKUP(YEAR($A531),'Festive dates'!$A$2:$J$5,2,FALSE),$A531&lt;VLOOKUP(YEAR($A531),'Festive dates'!$A$2:$J$5,3,FALSE)),1,0)</f>
        <v>0</v>
      </c>
      <c r="S531" s="9">
        <f>IF($A531=VLOOKUP(YEAR($A531),'Festive dates'!$A$2:$J$5,2,FALSE),1,0)</f>
        <v>0</v>
      </c>
      <c r="T531" s="9">
        <f>IF($A531=VLOOKUP(YEAR($A531),'Festive dates'!$A$2:$J$5,3,FALSE),1,0)</f>
        <v>0</v>
      </c>
      <c r="U531" s="9">
        <f>IF($A531=VLOOKUP(YEAR($A531),'Festive dates'!$A$2:$J$5,4,FALSE),1,0)</f>
        <v>0</v>
      </c>
      <c r="V531" s="9">
        <f>IF(AND($A531&gt;=VLOOKUP(YEAR($A531),'Festive dates'!$A$2:$J$5,9,FALSE),$A531&lt;=VLOOKUP(YEAR($A531),'Festive dates'!$A$2:$J$5,10,FALSE)),1,0)</f>
        <v>0</v>
      </c>
      <c r="W531" s="9">
        <f>IF($A531=VLOOKUP(YEAR($A531),'Festive dates'!$A$2:$J$5,7,FALSE),1,0)</f>
        <v>0</v>
      </c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</row>
    <row r="532" spans="1:51">
      <c r="A532" s="8">
        <v>45547</v>
      </c>
      <c r="B532" s="9">
        <v>0</v>
      </c>
      <c r="C532" s="9">
        <v>0</v>
      </c>
      <c r="D532" s="9">
        <v>0</v>
      </c>
      <c r="E532" s="9">
        <v>0</v>
      </c>
      <c r="F532" s="9">
        <v>0</v>
      </c>
      <c r="G532" s="9">
        <v>0</v>
      </c>
      <c r="H532" s="9">
        <v>0</v>
      </c>
      <c r="I532" s="9">
        <v>0</v>
      </c>
      <c r="J532" s="9">
        <v>0</v>
      </c>
      <c r="K532" s="9">
        <v>0</v>
      </c>
      <c r="L532" s="9">
        <v>0</v>
      </c>
      <c r="M532" s="9">
        <v>0</v>
      </c>
      <c r="N532" s="9">
        <v>0</v>
      </c>
      <c r="O532" s="9">
        <v>0</v>
      </c>
      <c r="P532" s="9">
        <v>0</v>
      </c>
      <c r="Q532" s="9">
        <f>MAX(-20,MIN(10,$A532-VLOOKUP(YEAR($A532),'Festive dates'!$A$2:$J$5,8,FALSE)))</f>
        <v>-20</v>
      </c>
      <c r="R532" s="9">
        <f>IF(AND($A532&gt;VLOOKUP(YEAR($A532),'Festive dates'!$A$2:$J$5,2,FALSE),$A532&lt;VLOOKUP(YEAR($A532),'Festive dates'!$A$2:$J$5,3,FALSE)),1,0)</f>
        <v>0</v>
      </c>
      <c r="S532" s="9">
        <f>IF($A532=VLOOKUP(YEAR($A532),'Festive dates'!$A$2:$J$5,2,FALSE),1,0)</f>
        <v>0</v>
      </c>
      <c r="T532" s="9">
        <f>IF($A532=VLOOKUP(YEAR($A532),'Festive dates'!$A$2:$J$5,3,FALSE),1,0)</f>
        <v>0</v>
      </c>
      <c r="U532" s="9">
        <f>IF($A532=VLOOKUP(YEAR($A532),'Festive dates'!$A$2:$J$5,4,FALSE),1,0)</f>
        <v>0</v>
      </c>
      <c r="V532" s="9">
        <f>IF(AND($A532&gt;=VLOOKUP(YEAR($A532),'Festive dates'!$A$2:$J$5,9,FALSE),$A532&lt;=VLOOKUP(YEAR($A532),'Festive dates'!$A$2:$J$5,10,FALSE)),1,0)</f>
        <v>0</v>
      </c>
      <c r="W532" s="9">
        <f>IF($A532=VLOOKUP(YEAR($A532),'Festive dates'!$A$2:$J$5,7,FALSE),1,0)</f>
        <v>0</v>
      </c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</row>
    <row r="533" spans="1:51">
      <c r="A533" s="8">
        <v>45548</v>
      </c>
      <c r="B533" s="9">
        <v>0</v>
      </c>
      <c r="C533" s="9">
        <v>0</v>
      </c>
      <c r="D533" s="9">
        <v>0</v>
      </c>
      <c r="E533" s="9">
        <v>0</v>
      </c>
      <c r="F533" s="9">
        <v>0</v>
      </c>
      <c r="G533" s="9">
        <v>0</v>
      </c>
      <c r="H533" s="9">
        <v>0</v>
      </c>
      <c r="I533" s="9">
        <v>0</v>
      </c>
      <c r="J533" s="9">
        <v>0</v>
      </c>
      <c r="K533" s="9">
        <v>0</v>
      </c>
      <c r="L533" s="9">
        <v>0</v>
      </c>
      <c r="M533" s="9">
        <v>0</v>
      </c>
      <c r="N533" s="9">
        <v>0</v>
      </c>
      <c r="O533" s="9">
        <v>0</v>
      </c>
      <c r="P533" s="9">
        <v>0</v>
      </c>
      <c r="Q533" s="9">
        <f>MAX(-20,MIN(10,$A533-VLOOKUP(YEAR($A533),'Festive dates'!$A$2:$J$5,8,FALSE)))</f>
        <v>-20</v>
      </c>
      <c r="R533" s="9">
        <f>IF(AND($A533&gt;VLOOKUP(YEAR($A533),'Festive dates'!$A$2:$J$5,2,FALSE),$A533&lt;VLOOKUP(YEAR($A533),'Festive dates'!$A$2:$J$5,3,FALSE)),1,0)</f>
        <v>0</v>
      </c>
      <c r="S533" s="9">
        <f>IF($A533=VLOOKUP(YEAR($A533),'Festive dates'!$A$2:$J$5,2,FALSE),1,0)</f>
        <v>0</v>
      </c>
      <c r="T533" s="9">
        <f>IF($A533=VLOOKUP(YEAR($A533),'Festive dates'!$A$2:$J$5,3,FALSE),1,0)</f>
        <v>0</v>
      </c>
      <c r="U533" s="9">
        <f>IF($A533=VLOOKUP(YEAR($A533),'Festive dates'!$A$2:$J$5,4,FALSE),1,0)</f>
        <v>0</v>
      </c>
      <c r="V533" s="9">
        <f>IF(AND($A533&gt;=VLOOKUP(YEAR($A533),'Festive dates'!$A$2:$J$5,9,FALSE),$A533&lt;=VLOOKUP(YEAR($A533),'Festive dates'!$A$2:$J$5,10,FALSE)),1,0)</f>
        <v>0</v>
      </c>
      <c r="W533" s="9">
        <f>IF($A533=VLOOKUP(YEAR($A533),'Festive dates'!$A$2:$J$5,7,FALSE),1,0)</f>
        <v>0</v>
      </c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</row>
    <row r="534" spans="1:51">
      <c r="A534" s="8">
        <v>45549</v>
      </c>
      <c r="B534" s="9">
        <v>0</v>
      </c>
      <c r="C534" s="9">
        <v>0</v>
      </c>
      <c r="D534" s="9">
        <v>0</v>
      </c>
      <c r="E534" s="9">
        <v>0</v>
      </c>
      <c r="F534" s="9">
        <v>0</v>
      </c>
      <c r="G534" s="9">
        <v>0</v>
      </c>
      <c r="H534" s="9">
        <v>0</v>
      </c>
      <c r="I534" s="9">
        <v>0</v>
      </c>
      <c r="J534" s="9">
        <v>0</v>
      </c>
      <c r="K534" s="9">
        <v>0</v>
      </c>
      <c r="L534" s="9">
        <v>0</v>
      </c>
      <c r="M534" s="9">
        <v>0</v>
      </c>
      <c r="N534" s="9">
        <v>0</v>
      </c>
      <c r="O534" s="9">
        <v>0</v>
      </c>
      <c r="P534" s="9">
        <v>0</v>
      </c>
      <c r="Q534" s="9">
        <f>MAX(-20,MIN(10,$A534-VLOOKUP(YEAR($A534),'Festive dates'!$A$2:$J$5,8,FALSE)))</f>
        <v>-20</v>
      </c>
      <c r="R534" s="9">
        <f>IF(AND($A534&gt;VLOOKUP(YEAR($A534),'Festive dates'!$A$2:$J$5,2,FALSE),$A534&lt;VLOOKUP(YEAR($A534),'Festive dates'!$A$2:$J$5,3,FALSE)),1,0)</f>
        <v>0</v>
      </c>
      <c r="S534" s="9">
        <f>IF($A534=VLOOKUP(YEAR($A534),'Festive dates'!$A$2:$J$5,2,FALSE),1,0)</f>
        <v>0</v>
      </c>
      <c r="T534" s="9">
        <f>IF($A534=VLOOKUP(YEAR($A534),'Festive dates'!$A$2:$J$5,3,FALSE),1,0)</f>
        <v>0</v>
      </c>
      <c r="U534" s="9">
        <f>IF($A534=VLOOKUP(YEAR($A534),'Festive dates'!$A$2:$J$5,4,FALSE),1,0)</f>
        <v>0</v>
      </c>
      <c r="V534" s="9">
        <f>IF(AND($A534&gt;=VLOOKUP(YEAR($A534),'Festive dates'!$A$2:$J$5,9,FALSE),$A534&lt;=VLOOKUP(YEAR($A534),'Festive dates'!$A$2:$J$5,10,FALSE)),1,0)</f>
        <v>0</v>
      </c>
      <c r="W534" s="9">
        <f>IF($A534=VLOOKUP(YEAR($A534),'Festive dates'!$A$2:$J$5,7,FALSE),1,0)</f>
        <v>0</v>
      </c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</row>
    <row r="535" spans="1:51">
      <c r="A535" s="8">
        <v>45550</v>
      </c>
      <c r="B535" s="9">
        <v>0</v>
      </c>
      <c r="C535" s="9">
        <v>0</v>
      </c>
      <c r="D535" s="9">
        <v>0</v>
      </c>
      <c r="E535" s="9">
        <v>0</v>
      </c>
      <c r="F535" s="9">
        <v>0</v>
      </c>
      <c r="G535" s="9">
        <v>1</v>
      </c>
      <c r="H535" s="9">
        <v>0</v>
      </c>
      <c r="I535" s="9">
        <v>0</v>
      </c>
      <c r="J535" s="9">
        <v>0</v>
      </c>
      <c r="K535" s="9">
        <v>0</v>
      </c>
      <c r="L535" s="9">
        <v>0</v>
      </c>
      <c r="M535" s="9">
        <v>0</v>
      </c>
      <c r="N535" s="9">
        <v>0</v>
      </c>
      <c r="O535" s="9">
        <v>0</v>
      </c>
      <c r="P535" s="9">
        <v>0</v>
      </c>
      <c r="Q535" s="9">
        <f>MAX(-20,MIN(10,$A535-VLOOKUP(YEAR($A535),'Festive dates'!$A$2:$J$5,8,FALSE)))</f>
        <v>-20</v>
      </c>
      <c r="R535" s="9">
        <f>IF(AND($A535&gt;VLOOKUP(YEAR($A535),'Festive dates'!$A$2:$J$5,2,FALSE),$A535&lt;VLOOKUP(YEAR($A535),'Festive dates'!$A$2:$J$5,3,FALSE)),1,0)</f>
        <v>0</v>
      </c>
      <c r="S535" s="9">
        <f>IF($A535=VLOOKUP(YEAR($A535),'Festive dates'!$A$2:$J$5,2,FALSE),1,0)</f>
        <v>0</v>
      </c>
      <c r="T535" s="9">
        <f>IF($A535=VLOOKUP(YEAR($A535),'Festive dates'!$A$2:$J$5,3,FALSE),1,0)</f>
        <v>0</v>
      </c>
      <c r="U535" s="9">
        <f>IF($A535=VLOOKUP(YEAR($A535),'Festive dates'!$A$2:$J$5,4,FALSE),1,0)</f>
        <v>0</v>
      </c>
      <c r="V535" s="9">
        <f>IF(AND($A535&gt;=VLOOKUP(YEAR($A535),'Festive dates'!$A$2:$J$5,9,FALSE),$A535&lt;=VLOOKUP(YEAR($A535),'Festive dates'!$A$2:$J$5,10,FALSE)),1,0)</f>
        <v>0</v>
      </c>
      <c r="W535" s="9">
        <f>IF($A535=VLOOKUP(YEAR($A535),'Festive dates'!$A$2:$J$5,7,FALSE),1,0)</f>
        <v>0</v>
      </c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</row>
    <row r="536" spans="1:51">
      <c r="A536" s="8">
        <v>45551</v>
      </c>
      <c r="B536" s="9">
        <v>0</v>
      </c>
      <c r="C536" s="9">
        <v>0</v>
      </c>
      <c r="D536" s="9">
        <v>0</v>
      </c>
      <c r="E536" s="9">
        <v>0</v>
      </c>
      <c r="F536" s="9">
        <v>0</v>
      </c>
      <c r="G536" s="9">
        <v>0</v>
      </c>
      <c r="H536" s="9">
        <v>0</v>
      </c>
      <c r="I536" s="9">
        <v>0</v>
      </c>
      <c r="J536" s="9">
        <v>0</v>
      </c>
      <c r="K536" s="9">
        <v>0</v>
      </c>
      <c r="L536" s="9">
        <v>0</v>
      </c>
      <c r="M536" s="9">
        <v>0</v>
      </c>
      <c r="N536" s="9">
        <v>0</v>
      </c>
      <c r="O536" s="9">
        <v>0</v>
      </c>
      <c r="P536" s="9">
        <v>0</v>
      </c>
      <c r="Q536" s="9">
        <f>MAX(-20,MIN(10,$A536-VLOOKUP(YEAR($A536),'Festive dates'!$A$2:$J$5,8,FALSE)))</f>
        <v>-20</v>
      </c>
      <c r="R536" s="9">
        <f>IF(AND($A536&gt;VLOOKUP(YEAR($A536),'Festive dates'!$A$2:$J$5,2,FALSE),$A536&lt;VLOOKUP(YEAR($A536),'Festive dates'!$A$2:$J$5,3,FALSE)),1,0)</f>
        <v>0</v>
      </c>
      <c r="S536" s="9">
        <f>IF($A536=VLOOKUP(YEAR($A536),'Festive dates'!$A$2:$J$5,2,FALSE),1,0)</f>
        <v>0</v>
      </c>
      <c r="T536" s="9">
        <f>IF($A536=VLOOKUP(YEAR($A536),'Festive dates'!$A$2:$J$5,3,FALSE),1,0)</f>
        <v>0</v>
      </c>
      <c r="U536" s="9">
        <f>IF($A536=VLOOKUP(YEAR($A536),'Festive dates'!$A$2:$J$5,4,FALSE),1,0)</f>
        <v>0</v>
      </c>
      <c r="V536" s="9">
        <f>IF(AND($A536&gt;=VLOOKUP(YEAR($A536),'Festive dates'!$A$2:$J$5,9,FALSE),$A536&lt;=VLOOKUP(YEAR($A536),'Festive dates'!$A$2:$J$5,10,FALSE)),1,0)</f>
        <v>0</v>
      </c>
      <c r="W536" s="9">
        <f>IF($A536=VLOOKUP(YEAR($A536),'Festive dates'!$A$2:$J$5,7,FALSE),1,0)</f>
        <v>0</v>
      </c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</row>
    <row r="537" spans="1:51">
      <c r="A537" s="8">
        <v>45552</v>
      </c>
      <c r="B537" s="9">
        <v>0</v>
      </c>
      <c r="C537" s="9">
        <v>0</v>
      </c>
      <c r="D537" s="9">
        <v>0</v>
      </c>
      <c r="E537" s="9">
        <v>1</v>
      </c>
      <c r="F537" s="9">
        <v>0</v>
      </c>
      <c r="G537" s="9">
        <v>0</v>
      </c>
      <c r="H537" s="9">
        <v>0</v>
      </c>
      <c r="I537" s="9">
        <v>0</v>
      </c>
      <c r="J537" s="9">
        <v>0</v>
      </c>
      <c r="K537" s="9">
        <v>0</v>
      </c>
      <c r="L537" s="9">
        <v>0</v>
      </c>
      <c r="M537" s="9">
        <v>0</v>
      </c>
      <c r="N537" s="9">
        <v>0</v>
      </c>
      <c r="O537" s="9">
        <v>0</v>
      </c>
      <c r="P537" s="9">
        <v>0</v>
      </c>
      <c r="Q537" s="9">
        <f>MAX(-20,MIN(10,$A537-VLOOKUP(YEAR($A537),'Festive dates'!$A$2:$J$5,8,FALSE)))</f>
        <v>-20</v>
      </c>
      <c r="R537" s="9">
        <f>IF(AND($A537&gt;VLOOKUP(YEAR($A537),'Festive dates'!$A$2:$J$5,2,FALSE),$A537&lt;VLOOKUP(YEAR($A537),'Festive dates'!$A$2:$J$5,3,FALSE)),1,0)</f>
        <v>0</v>
      </c>
      <c r="S537" s="9">
        <f>IF($A537=VLOOKUP(YEAR($A537),'Festive dates'!$A$2:$J$5,2,FALSE),1,0)</f>
        <v>0</v>
      </c>
      <c r="T537" s="9">
        <f>IF($A537=VLOOKUP(YEAR($A537),'Festive dates'!$A$2:$J$5,3,FALSE),1,0)</f>
        <v>0</v>
      </c>
      <c r="U537" s="9">
        <f>IF($A537=VLOOKUP(YEAR($A537),'Festive dates'!$A$2:$J$5,4,FALSE),1,0)</f>
        <v>0</v>
      </c>
      <c r="V537" s="9">
        <f>IF(AND($A537&gt;=VLOOKUP(YEAR($A537),'Festive dates'!$A$2:$J$5,9,FALSE),$A537&lt;=VLOOKUP(YEAR($A537),'Festive dates'!$A$2:$J$5,10,FALSE)),1,0)</f>
        <v>1</v>
      </c>
      <c r="W537" s="9">
        <f>IF($A537=VLOOKUP(YEAR($A537),'Festive dates'!$A$2:$J$5,7,FALSE),1,0)</f>
        <v>0</v>
      </c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</row>
    <row r="538" spans="1:51">
      <c r="A538" s="8">
        <v>45553</v>
      </c>
      <c r="B538" s="9">
        <v>0</v>
      </c>
      <c r="C538" s="9">
        <v>0</v>
      </c>
      <c r="D538" s="9">
        <v>0</v>
      </c>
      <c r="E538" s="9">
        <v>0</v>
      </c>
      <c r="F538" s="9">
        <v>0</v>
      </c>
      <c r="G538" s="9">
        <v>0</v>
      </c>
      <c r="H538" s="9">
        <v>0</v>
      </c>
      <c r="I538" s="9">
        <v>0</v>
      </c>
      <c r="J538" s="9">
        <v>0</v>
      </c>
      <c r="K538" s="9">
        <v>0</v>
      </c>
      <c r="L538" s="9">
        <v>0</v>
      </c>
      <c r="M538" s="9">
        <v>0</v>
      </c>
      <c r="N538" s="9">
        <v>0</v>
      </c>
      <c r="O538" s="9">
        <v>0</v>
      </c>
      <c r="P538" s="9">
        <v>0</v>
      </c>
      <c r="Q538" s="9">
        <f>MAX(-20,MIN(10,$A538-VLOOKUP(YEAR($A538),'Festive dates'!$A$2:$J$5,8,FALSE)))</f>
        <v>-20</v>
      </c>
      <c r="R538" s="9">
        <f>IF(AND($A538&gt;VLOOKUP(YEAR($A538),'Festive dates'!$A$2:$J$5,2,FALSE),$A538&lt;VLOOKUP(YEAR($A538),'Festive dates'!$A$2:$J$5,3,FALSE)),1,0)</f>
        <v>0</v>
      </c>
      <c r="S538" s="9">
        <f>IF($A538=VLOOKUP(YEAR($A538),'Festive dates'!$A$2:$J$5,2,FALSE),1,0)</f>
        <v>0</v>
      </c>
      <c r="T538" s="9">
        <f>IF($A538=VLOOKUP(YEAR($A538),'Festive dates'!$A$2:$J$5,3,FALSE),1,0)</f>
        <v>0</v>
      </c>
      <c r="U538" s="9">
        <f>IF($A538=VLOOKUP(YEAR($A538),'Festive dates'!$A$2:$J$5,4,FALSE),1,0)</f>
        <v>0</v>
      </c>
      <c r="V538" s="9">
        <f>IF(AND($A538&gt;=VLOOKUP(YEAR($A538),'Festive dates'!$A$2:$J$5,9,FALSE),$A538&lt;=VLOOKUP(YEAR($A538),'Festive dates'!$A$2:$J$5,10,FALSE)),1,0)</f>
        <v>1</v>
      </c>
      <c r="W538" s="9">
        <f>IF($A538=VLOOKUP(YEAR($A538),'Festive dates'!$A$2:$J$5,7,FALSE),1,0)</f>
        <v>0</v>
      </c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</row>
    <row r="539" spans="1:51">
      <c r="A539" s="8">
        <v>45554</v>
      </c>
      <c r="B539" s="9">
        <v>0</v>
      </c>
      <c r="C539" s="9">
        <v>0</v>
      </c>
      <c r="D539" s="9">
        <v>0</v>
      </c>
      <c r="E539" s="9">
        <v>0</v>
      </c>
      <c r="F539" s="9">
        <v>0</v>
      </c>
      <c r="G539" s="9">
        <v>0</v>
      </c>
      <c r="H539" s="9">
        <v>0</v>
      </c>
      <c r="I539" s="9">
        <v>0</v>
      </c>
      <c r="J539" s="9">
        <v>0</v>
      </c>
      <c r="K539" s="9">
        <v>0</v>
      </c>
      <c r="L539" s="9">
        <v>0</v>
      </c>
      <c r="M539" s="9">
        <v>0</v>
      </c>
      <c r="N539" s="9">
        <v>0</v>
      </c>
      <c r="O539" s="9">
        <v>0</v>
      </c>
      <c r="P539" s="9">
        <v>0</v>
      </c>
      <c r="Q539" s="9">
        <f>MAX(-20,MIN(10,$A539-VLOOKUP(YEAR($A539),'Festive dates'!$A$2:$J$5,8,FALSE)))</f>
        <v>-20</v>
      </c>
      <c r="R539" s="9">
        <f>IF(AND($A539&gt;VLOOKUP(YEAR($A539),'Festive dates'!$A$2:$J$5,2,FALSE),$A539&lt;VLOOKUP(YEAR($A539),'Festive dates'!$A$2:$J$5,3,FALSE)),1,0)</f>
        <v>0</v>
      </c>
      <c r="S539" s="9">
        <f>IF($A539=VLOOKUP(YEAR($A539),'Festive dates'!$A$2:$J$5,2,FALSE),1,0)</f>
        <v>0</v>
      </c>
      <c r="T539" s="9">
        <f>IF($A539=VLOOKUP(YEAR($A539),'Festive dates'!$A$2:$J$5,3,FALSE),1,0)</f>
        <v>0</v>
      </c>
      <c r="U539" s="9">
        <f>IF($A539=VLOOKUP(YEAR($A539),'Festive dates'!$A$2:$J$5,4,FALSE),1,0)</f>
        <v>0</v>
      </c>
      <c r="V539" s="9">
        <f>IF(AND($A539&gt;=VLOOKUP(YEAR($A539),'Festive dates'!$A$2:$J$5,9,FALSE),$A539&lt;=VLOOKUP(YEAR($A539),'Festive dates'!$A$2:$J$5,10,FALSE)),1,0)</f>
        <v>1</v>
      </c>
      <c r="W539" s="9">
        <f>IF($A539=VLOOKUP(YEAR($A539),'Festive dates'!$A$2:$J$5,7,FALSE),1,0)</f>
        <v>0</v>
      </c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</row>
    <row r="540" spans="1:51">
      <c r="A540" s="8">
        <v>45555</v>
      </c>
      <c r="B540" s="9">
        <v>0</v>
      </c>
      <c r="C540" s="9">
        <v>0</v>
      </c>
      <c r="D540" s="9">
        <v>0</v>
      </c>
      <c r="E540" s="9">
        <v>0</v>
      </c>
      <c r="F540" s="9">
        <v>0</v>
      </c>
      <c r="G540" s="9">
        <v>0</v>
      </c>
      <c r="H540" s="9">
        <v>0</v>
      </c>
      <c r="I540" s="9">
        <v>0</v>
      </c>
      <c r="J540" s="9">
        <v>0</v>
      </c>
      <c r="K540" s="9">
        <v>0</v>
      </c>
      <c r="L540" s="9">
        <v>0</v>
      </c>
      <c r="M540" s="9">
        <v>0</v>
      </c>
      <c r="N540" s="9">
        <v>0</v>
      </c>
      <c r="O540" s="9">
        <v>0</v>
      </c>
      <c r="P540" s="9">
        <v>0</v>
      </c>
      <c r="Q540" s="9">
        <f>MAX(-20,MIN(10,$A540-VLOOKUP(YEAR($A540),'Festive dates'!$A$2:$J$5,8,FALSE)))</f>
        <v>-20</v>
      </c>
      <c r="R540" s="9">
        <f>IF(AND($A540&gt;VLOOKUP(YEAR($A540),'Festive dates'!$A$2:$J$5,2,FALSE),$A540&lt;VLOOKUP(YEAR($A540),'Festive dates'!$A$2:$J$5,3,FALSE)),1,0)</f>
        <v>0</v>
      </c>
      <c r="S540" s="9">
        <f>IF($A540=VLOOKUP(YEAR($A540),'Festive dates'!$A$2:$J$5,2,FALSE),1,0)</f>
        <v>0</v>
      </c>
      <c r="T540" s="9">
        <f>IF($A540=VLOOKUP(YEAR($A540),'Festive dates'!$A$2:$J$5,3,FALSE),1,0)</f>
        <v>0</v>
      </c>
      <c r="U540" s="9">
        <f>IF($A540=VLOOKUP(YEAR($A540),'Festive dates'!$A$2:$J$5,4,FALSE),1,0)</f>
        <v>0</v>
      </c>
      <c r="V540" s="9">
        <f>IF(AND($A540&gt;=VLOOKUP(YEAR($A540),'Festive dates'!$A$2:$J$5,9,FALSE),$A540&lt;=VLOOKUP(YEAR($A540),'Festive dates'!$A$2:$J$5,10,FALSE)),1,0)</f>
        <v>1</v>
      </c>
      <c r="W540" s="9">
        <f>IF($A540=VLOOKUP(YEAR($A540),'Festive dates'!$A$2:$J$5,7,FALSE),1,0)</f>
        <v>0</v>
      </c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</row>
    <row r="541" spans="1:51">
      <c r="A541" s="8">
        <v>45556</v>
      </c>
      <c r="B541" s="9">
        <v>0</v>
      </c>
      <c r="C541" s="9">
        <v>0</v>
      </c>
      <c r="D541" s="9">
        <v>0</v>
      </c>
      <c r="E541" s="9">
        <v>0</v>
      </c>
      <c r="F541" s="9">
        <v>0</v>
      </c>
      <c r="G541" s="9">
        <v>0</v>
      </c>
      <c r="H541" s="9">
        <v>0</v>
      </c>
      <c r="I541" s="9">
        <v>0</v>
      </c>
      <c r="J541" s="9">
        <v>0</v>
      </c>
      <c r="K541" s="9">
        <v>0</v>
      </c>
      <c r="L541" s="9">
        <v>0</v>
      </c>
      <c r="M541" s="9">
        <v>0</v>
      </c>
      <c r="N541" s="9">
        <v>0</v>
      </c>
      <c r="O541" s="9">
        <v>0</v>
      </c>
      <c r="P541" s="9">
        <v>0</v>
      </c>
      <c r="Q541" s="9">
        <f>MAX(-20,MIN(10,$A541-VLOOKUP(YEAR($A541),'Festive dates'!$A$2:$J$5,8,FALSE)))</f>
        <v>-20</v>
      </c>
      <c r="R541" s="9">
        <f>IF(AND($A541&gt;VLOOKUP(YEAR($A541),'Festive dates'!$A$2:$J$5,2,FALSE),$A541&lt;VLOOKUP(YEAR($A541),'Festive dates'!$A$2:$J$5,3,FALSE)),1,0)</f>
        <v>0</v>
      </c>
      <c r="S541" s="9">
        <f>IF($A541=VLOOKUP(YEAR($A541),'Festive dates'!$A$2:$J$5,2,FALSE),1,0)</f>
        <v>0</v>
      </c>
      <c r="T541" s="9">
        <f>IF($A541=VLOOKUP(YEAR($A541),'Festive dates'!$A$2:$J$5,3,FALSE),1,0)</f>
        <v>0</v>
      </c>
      <c r="U541" s="9">
        <f>IF($A541=VLOOKUP(YEAR($A541),'Festive dates'!$A$2:$J$5,4,FALSE),1,0)</f>
        <v>0</v>
      </c>
      <c r="V541" s="9">
        <f>IF(AND($A541&gt;=VLOOKUP(YEAR($A541),'Festive dates'!$A$2:$J$5,9,FALSE),$A541&lt;=VLOOKUP(YEAR($A541),'Festive dates'!$A$2:$J$5,10,FALSE)),1,0)</f>
        <v>1</v>
      </c>
      <c r="W541" s="9">
        <f>IF($A541=VLOOKUP(YEAR($A541),'Festive dates'!$A$2:$J$5,7,FALSE),1,0)</f>
        <v>0</v>
      </c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</row>
    <row r="542" spans="1:51">
      <c r="A542" s="8">
        <v>45557</v>
      </c>
      <c r="B542" s="9">
        <v>0</v>
      </c>
      <c r="C542" s="9">
        <v>0</v>
      </c>
      <c r="D542" s="9">
        <v>0</v>
      </c>
      <c r="E542" s="9">
        <v>0</v>
      </c>
      <c r="F542" s="9">
        <v>0</v>
      </c>
      <c r="G542" s="9">
        <v>0</v>
      </c>
      <c r="H542" s="9">
        <v>0</v>
      </c>
      <c r="I542" s="9">
        <v>0</v>
      </c>
      <c r="J542" s="9">
        <v>0</v>
      </c>
      <c r="K542" s="9">
        <v>0</v>
      </c>
      <c r="L542" s="9">
        <v>0</v>
      </c>
      <c r="M542" s="9">
        <v>0</v>
      </c>
      <c r="N542" s="9">
        <v>0</v>
      </c>
      <c r="O542" s="9">
        <v>0</v>
      </c>
      <c r="P542" s="9">
        <v>0</v>
      </c>
      <c r="Q542" s="9">
        <f>MAX(-20,MIN(10,$A542-VLOOKUP(YEAR($A542),'Festive dates'!$A$2:$J$5,8,FALSE)))</f>
        <v>-20</v>
      </c>
      <c r="R542" s="9">
        <f>IF(AND($A542&gt;VLOOKUP(YEAR($A542),'Festive dates'!$A$2:$J$5,2,FALSE),$A542&lt;VLOOKUP(YEAR($A542),'Festive dates'!$A$2:$J$5,3,FALSE)),1,0)</f>
        <v>0</v>
      </c>
      <c r="S542" s="9">
        <f>IF($A542=VLOOKUP(YEAR($A542),'Festive dates'!$A$2:$J$5,2,FALSE),1,0)</f>
        <v>0</v>
      </c>
      <c r="T542" s="9">
        <f>IF($A542=VLOOKUP(YEAR($A542),'Festive dates'!$A$2:$J$5,3,FALSE),1,0)</f>
        <v>0</v>
      </c>
      <c r="U542" s="9">
        <f>IF($A542=VLOOKUP(YEAR($A542),'Festive dates'!$A$2:$J$5,4,FALSE),1,0)</f>
        <v>0</v>
      </c>
      <c r="V542" s="9">
        <f>IF(AND($A542&gt;=VLOOKUP(YEAR($A542),'Festive dates'!$A$2:$J$5,9,FALSE),$A542&lt;=VLOOKUP(YEAR($A542),'Festive dates'!$A$2:$J$5,10,FALSE)),1,0)</f>
        <v>1</v>
      </c>
      <c r="W542" s="9">
        <f>IF($A542=VLOOKUP(YEAR($A542),'Festive dates'!$A$2:$J$5,7,FALSE),1,0)</f>
        <v>0</v>
      </c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</row>
    <row r="543" spans="1:51">
      <c r="A543" s="8">
        <v>45558</v>
      </c>
      <c r="B543" s="9">
        <v>0</v>
      </c>
      <c r="C543" s="9">
        <v>0</v>
      </c>
      <c r="D543" s="9">
        <v>0</v>
      </c>
      <c r="E543" s="9">
        <v>0</v>
      </c>
      <c r="F543" s="9">
        <v>0</v>
      </c>
      <c r="G543" s="9">
        <v>0</v>
      </c>
      <c r="H543" s="9">
        <v>0</v>
      </c>
      <c r="I543" s="9">
        <v>0</v>
      </c>
      <c r="J543" s="9">
        <v>0</v>
      </c>
      <c r="K543" s="9">
        <v>0</v>
      </c>
      <c r="L543" s="9">
        <v>0</v>
      </c>
      <c r="M543" s="9">
        <v>0</v>
      </c>
      <c r="N543" s="9">
        <v>0</v>
      </c>
      <c r="O543" s="9">
        <v>0</v>
      </c>
      <c r="P543" s="9">
        <v>0</v>
      </c>
      <c r="Q543" s="9">
        <f>MAX(-20,MIN(10,$A543-VLOOKUP(YEAR($A543),'Festive dates'!$A$2:$J$5,8,FALSE)))</f>
        <v>-20</v>
      </c>
      <c r="R543" s="9">
        <f>IF(AND($A543&gt;VLOOKUP(YEAR($A543),'Festive dates'!$A$2:$J$5,2,FALSE),$A543&lt;VLOOKUP(YEAR($A543),'Festive dates'!$A$2:$J$5,3,FALSE)),1,0)</f>
        <v>0</v>
      </c>
      <c r="S543" s="9">
        <f>IF($A543=VLOOKUP(YEAR($A543),'Festive dates'!$A$2:$J$5,2,FALSE),1,0)</f>
        <v>0</v>
      </c>
      <c r="T543" s="9">
        <f>IF($A543=VLOOKUP(YEAR($A543),'Festive dates'!$A$2:$J$5,3,FALSE),1,0)</f>
        <v>0</v>
      </c>
      <c r="U543" s="9">
        <f>IF($A543=VLOOKUP(YEAR($A543),'Festive dates'!$A$2:$J$5,4,FALSE),1,0)</f>
        <v>0</v>
      </c>
      <c r="V543" s="9">
        <f>IF(AND($A543&gt;=VLOOKUP(YEAR($A543),'Festive dates'!$A$2:$J$5,9,FALSE),$A543&lt;=VLOOKUP(YEAR($A543),'Festive dates'!$A$2:$J$5,10,FALSE)),1,0)</f>
        <v>1</v>
      </c>
      <c r="W543" s="9">
        <f>IF($A543=VLOOKUP(YEAR($A543),'Festive dates'!$A$2:$J$5,7,FALSE),1,0)</f>
        <v>0</v>
      </c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</row>
    <row r="544" spans="1:51">
      <c r="A544" s="8">
        <v>45559</v>
      </c>
      <c r="B544" s="9">
        <v>0</v>
      </c>
      <c r="C544" s="9">
        <v>0</v>
      </c>
      <c r="D544" s="9">
        <v>0</v>
      </c>
      <c r="E544" s="9">
        <v>0</v>
      </c>
      <c r="F544" s="9">
        <v>0</v>
      </c>
      <c r="G544" s="9">
        <v>0</v>
      </c>
      <c r="H544" s="9">
        <v>0</v>
      </c>
      <c r="I544" s="9">
        <v>0</v>
      </c>
      <c r="J544" s="9">
        <v>0</v>
      </c>
      <c r="K544" s="9">
        <v>0</v>
      </c>
      <c r="L544" s="9">
        <v>0</v>
      </c>
      <c r="M544" s="9">
        <v>0</v>
      </c>
      <c r="N544" s="9">
        <v>0</v>
      </c>
      <c r="O544" s="9">
        <v>0</v>
      </c>
      <c r="P544" s="9">
        <v>0</v>
      </c>
      <c r="Q544" s="9">
        <f>MAX(-20,MIN(10,$A544-VLOOKUP(YEAR($A544),'Festive dates'!$A$2:$J$5,8,FALSE)))</f>
        <v>-20</v>
      </c>
      <c r="R544" s="9">
        <f>IF(AND($A544&gt;VLOOKUP(YEAR($A544),'Festive dates'!$A$2:$J$5,2,FALSE),$A544&lt;VLOOKUP(YEAR($A544),'Festive dates'!$A$2:$J$5,3,FALSE)),1,0)</f>
        <v>0</v>
      </c>
      <c r="S544" s="9">
        <f>IF($A544=VLOOKUP(YEAR($A544),'Festive dates'!$A$2:$J$5,2,FALSE),1,0)</f>
        <v>0</v>
      </c>
      <c r="T544" s="9">
        <f>IF($A544=VLOOKUP(YEAR($A544),'Festive dates'!$A$2:$J$5,3,FALSE),1,0)</f>
        <v>0</v>
      </c>
      <c r="U544" s="9">
        <f>IF($A544=VLOOKUP(YEAR($A544),'Festive dates'!$A$2:$J$5,4,FALSE),1,0)</f>
        <v>0</v>
      </c>
      <c r="V544" s="9">
        <f>IF(AND($A544&gt;=VLOOKUP(YEAR($A544),'Festive dates'!$A$2:$J$5,9,FALSE),$A544&lt;=VLOOKUP(YEAR($A544),'Festive dates'!$A$2:$J$5,10,FALSE)),1,0)</f>
        <v>1</v>
      </c>
      <c r="W544" s="9">
        <f>IF($A544=VLOOKUP(YEAR($A544),'Festive dates'!$A$2:$J$5,7,FALSE),1,0)</f>
        <v>0</v>
      </c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</row>
    <row r="545" spans="1:51">
      <c r="A545" s="8">
        <v>45560</v>
      </c>
      <c r="B545" s="9">
        <v>0</v>
      </c>
      <c r="C545" s="9">
        <v>0</v>
      </c>
      <c r="D545" s="9">
        <v>0</v>
      </c>
      <c r="E545" s="9">
        <v>0</v>
      </c>
      <c r="F545" s="9">
        <v>0</v>
      </c>
      <c r="G545" s="9">
        <v>0</v>
      </c>
      <c r="H545" s="9">
        <v>0</v>
      </c>
      <c r="I545" s="9">
        <v>0</v>
      </c>
      <c r="J545" s="9">
        <v>0</v>
      </c>
      <c r="K545" s="9">
        <v>0</v>
      </c>
      <c r="L545" s="9">
        <v>0</v>
      </c>
      <c r="M545" s="9">
        <v>0</v>
      </c>
      <c r="N545" s="9">
        <v>0</v>
      </c>
      <c r="O545" s="9">
        <v>0</v>
      </c>
      <c r="P545" s="9">
        <v>0</v>
      </c>
      <c r="Q545" s="9">
        <f>MAX(-20,MIN(10,$A545-VLOOKUP(YEAR($A545),'Festive dates'!$A$2:$J$5,8,FALSE)))</f>
        <v>-20</v>
      </c>
      <c r="R545" s="9">
        <f>IF(AND($A545&gt;VLOOKUP(YEAR($A545),'Festive dates'!$A$2:$J$5,2,FALSE),$A545&lt;VLOOKUP(YEAR($A545),'Festive dates'!$A$2:$J$5,3,FALSE)),1,0)</f>
        <v>0</v>
      </c>
      <c r="S545" s="9">
        <f>IF($A545=VLOOKUP(YEAR($A545),'Festive dates'!$A$2:$J$5,2,FALSE),1,0)</f>
        <v>0</v>
      </c>
      <c r="T545" s="9">
        <f>IF($A545=VLOOKUP(YEAR($A545),'Festive dates'!$A$2:$J$5,3,FALSE),1,0)</f>
        <v>0</v>
      </c>
      <c r="U545" s="9">
        <f>IF($A545=VLOOKUP(YEAR($A545),'Festive dates'!$A$2:$J$5,4,FALSE),1,0)</f>
        <v>0</v>
      </c>
      <c r="V545" s="9">
        <f>IF(AND($A545&gt;=VLOOKUP(YEAR($A545),'Festive dates'!$A$2:$J$5,9,FALSE),$A545&lt;=VLOOKUP(YEAR($A545),'Festive dates'!$A$2:$J$5,10,FALSE)),1,0)</f>
        <v>1</v>
      </c>
      <c r="W545" s="9">
        <f>IF($A545=VLOOKUP(YEAR($A545),'Festive dates'!$A$2:$J$5,7,FALSE),1,0)</f>
        <v>0</v>
      </c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</row>
    <row r="546" spans="1:51">
      <c r="A546" s="8">
        <v>45561</v>
      </c>
      <c r="B546" s="9">
        <v>0</v>
      </c>
      <c r="C546" s="9">
        <v>0</v>
      </c>
      <c r="D546" s="9">
        <v>0</v>
      </c>
      <c r="E546" s="9">
        <v>0</v>
      </c>
      <c r="F546" s="9">
        <v>0</v>
      </c>
      <c r="G546" s="9">
        <v>0</v>
      </c>
      <c r="H546" s="9">
        <v>0</v>
      </c>
      <c r="I546" s="9">
        <v>0</v>
      </c>
      <c r="J546" s="9">
        <v>0</v>
      </c>
      <c r="K546" s="9">
        <v>0</v>
      </c>
      <c r="L546" s="9">
        <v>0</v>
      </c>
      <c r="M546" s="9">
        <v>0</v>
      </c>
      <c r="N546" s="9">
        <v>0</v>
      </c>
      <c r="O546" s="9">
        <v>0</v>
      </c>
      <c r="P546" s="9">
        <v>0</v>
      </c>
      <c r="Q546" s="9">
        <f>MAX(-20,MIN(10,$A546-VLOOKUP(YEAR($A546),'Festive dates'!$A$2:$J$5,8,FALSE)))</f>
        <v>-20</v>
      </c>
      <c r="R546" s="9">
        <f>IF(AND($A546&gt;VLOOKUP(YEAR($A546),'Festive dates'!$A$2:$J$5,2,FALSE),$A546&lt;VLOOKUP(YEAR($A546),'Festive dates'!$A$2:$J$5,3,FALSE)),1,0)</f>
        <v>0</v>
      </c>
      <c r="S546" s="9">
        <f>IF($A546=VLOOKUP(YEAR($A546),'Festive dates'!$A$2:$J$5,2,FALSE),1,0)</f>
        <v>0</v>
      </c>
      <c r="T546" s="9">
        <f>IF($A546=VLOOKUP(YEAR($A546),'Festive dates'!$A$2:$J$5,3,FALSE),1,0)</f>
        <v>0</v>
      </c>
      <c r="U546" s="9">
        <f>IF($A546=VLOOKUP(YEAR($A546),'Festive dates'!$A$2:$J$5,4,FALSE),1,0)</f>
        <v>0</v>
      </c>
      <c r="V546" s="9">
        <f>IF(AND($A546&gt;=VLOOKUP(YEAR($A546),'Festive dates'!$A$2:$J$5,9,FALSE),$A546&lt;=VLOOKUP(YEAR($A546),'Festive dates'!$A$2:$J$5,10,FALSE)),1,0)</f>
        <v>1</v>
      </c>
      <c r="W546" s="9">
        <f>IF($A546=VLOOKUP(YEAR($A546),'Festive dates'!$A$2:$J$5,7,FALSE),1,0)</f>
        <v>0</v>
      </c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</row>
    <row r="547" spans="1:51">
      <c r="A547" s="8">
        <v>45562</v>
      </c>
      <c r="B547" s="9">
        <v>0</v>
      </c>
      <c r="C547" s="9">
        <v>0</v>
      </c>
      <c r="D547" s="9">
        <v>0</v>
      </c>
      <c r="E547" s="9">
        <v>0</v>
      </c>
      <c r="F547" s="9">
        <v>0</v>
      </c>
      <c r="G547" s="9">
        <v>0</v>
      </c>
      <c r="H547" s="9">
        <v>0</v>
      </c>
      <c r="I547" s="9">
        <v>0</v>
      </c>
      <c r="J547" s="9">
        <v>0</v>
      </c>
      <c r="K547" s="9">
        <v>0</v>
      </c>
      <c r="L547" s="9">
        <v>0</v>
      </c>
      <c r="M547" s="9">
        <v>0</v>
      </c>
      <c r="N547" s="9">
        <v>0</v>
      </c>
      <c r="O547" s="9">
        <v>0</v>
      </c>
      <c r="P547" s="9">
        <v>0</v>
      </c>
      <c r="Q547" s="9">
        <f>MAX(-20,MIN(10,$A547-VLOOKUP(YEAR($A547),'Festive dates'!$A$2:$J$5,8,FALSE)))</f>
        <v>-20</v>
      </c>
      <c r="R547" s="9">
        <f>IF(AND($A547&gt;VLOOKUP(YEAR($A547),'Festive dates'!$A$2:$J$5,2,FALSE),$A547&lt;VLOOKUP(YEAR($A547),'Festive dates'!$A$2:$J$5,3,FALSE)),1,0)</f>
        <v>0</v>
      </c>
      <c r="S547" s="9">
        <f>IF($A547=VLOOKUP(YEAR($A547),'Festive dates'!$A$2:$J$5,2,FALSE),1,0)</f>
        <v>0</v>
      </c>
      <c r="T547" s="9">
        <f>IF($A547=VLOOKUP(YEAR($A547),'Festive dates'!$A$2:$J$5,3,FALSE),1,0)</f>
        <v>0</v>
      </c>
      <c r="U547" s="9">
        <f>IF($A547=VLOOKUP(YEAR($A547),'Festive dates'!$A$2:$J$5,4,FALSE),1,0)</f>
        <v>0</v>
      </c>
      <c r="V547" s="9">
        <f>IF(AND($A547&gt;=VLOOKUP(YEAR($A547),'Festive dates'!$A$2:$J$5,9,FALSE),$A547&lt;=VLOOKUP(YEAR($A547),'Festive dates'!$A$2:$J$5,10,FALSE)),1,0)</f>
        <v>1</v>
      </c>
      <c r="W547" s="9">
        <f>IF($A547=VLOOKUP(YEAR($A547),'Festive dates'!$A$2:$J$5,7,FALSE),1,0)</f>
        <v>0</v>
      </c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</row>
    <row r="548" spans="1:51">
      <c r="A548" s="8">
        <v>45563</v>
      </c>
      <c r="B548" s="9">
        <v>0</v>
      </c>
      <c r="C548" s="9">
        <v>0</v>
      </c>
      <c r="D548" s="9">
        <v>0</v>
      </c>
      <c r="E548" s="9">
        <v>0</v>
      </c>
      <c r="F548" s="9">
        <v>0</v>
      </c>
      <c r="G548" s="9">
        <v>0</v>
      </c>
      <c r="H548" s="9">
        <v>0</v>
      </c>
      <c r="I548" s="9">
        <v>0</v>
      </c>
      <c r="J548" s="9">
        <v>0</v>
      </c>
      <c r="K548" s="9">
        <v>0</v>
      </c>
      <c r="L548" s="9">
        <v>0</v>
      </c>
      <c r="M548" s="9">
        <v>0</v>
      </c>
      <c r="N548" s="9">
        <v>0</v>
      </c>
      <c r="O548" s="9">
        <v>0</v>
      </c>
      <c r="P548" s="9">
        <v>0</v>
      </c>
      <c r="Q548" s="9">
        <f>MAX(-20,MIN(10,$A548-VLOOKUP(YEAR($A548),'Festive dates'!$A$2:$J$5,8,FALSE)))</f>
        <v>-20</v>
      </c>
      <c r="R548" s="9">
        <f>IF(AND($A548&gt;VLOOKUP(YEAR($A548),'Festive dates'!$A$2:$J$5,2,FALSE),$A548&lt;VLOOKUP(YEAR($A548),'Festive dates'!$A$2:$J$5,3,FALSE)),1,0)</f>
        <v>0</v>
      </c>
      <c r="S548" s="9">
        <f>IF($A548=VLOOKUP(YEAR($A548),'Festive dates'!$A$2:$J$5,2,FALSE),1,0)</f>
        <v>0</v>
      </c>
      <c r="T548" s="9">
        <f>IF($A548=VLOOKUP(YEAR($A548),'Festive dates'!$A$2:$J$5,3,FALSE),1,0)</f>
        <v>0</v>
      </c>
      <c r="U548" s="9">
        <f>IF($A548=VLOOKUP(YEAR($A548),'Festive dates'!$A$2:$J$5,4,FALSE),1,0)</f>
        <v>0</v>
      </c>
      <c r="V548" s="9">
        <f>IF(AND($A548&gt;=VLOOKUP(YEAR($A548),'Festive dates'!$A$2:$J$5,9,FALSE),$A548&lt;=VLOOKUP(YEAR($A548),'Festive dates'!$A$2:$J$5,10,FALSE)),1,0)</f>
        <v>1</v>
      </c>
      <c r="W548" s="9">
        <f>IF($A548=VLOOKUP(YEAR($A548),'Festive dates'!$A$2:$J$5,7,FALSE),1,0)</f>
        <v>0</v>
      </c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</row>
    <row r="549" spans="1:51">
      <c r="A549" s="8">
        <v>45564</v>
      </c>
      <c r="B549" s="9">
        <v>0</v>
      </c>
      <c r="C549" s="9">
        <v>0</v>
      </c>
      <c r="D549" s="9">
        <v>0</v>
      </c>
      <c r="E549" s="9">
        <v>0</v>
      </c>
      <c r="F549" s="9">
        <v>0</v>
      </c>
      <c r="G549" s="9">
        <v>0</v>
      </c>
      <c r="H549" s="9">
        <v>0</v>
      </c>
      <c r="I549" s="9">
        <v>0</v>
      </c>
      <c r="J549" s="9">
        <v>0</v>
      </c>
      <c r="K549" s="9">
        <v>0</v>
      </c>
      <c r="L549" s="9">
        <v>0</v>
      </c>
      <c r="M549" s="9">
        <v>0</v>
      </c>
      <c r="N549" s="9">
        <v>0</v>
      </c>
      <c r="O549" s="9">
        <v>0</v>
      </c>
      <c r="P549" s="9">
        <v>0</v>
      </c>
      <c r="Q549" s="9">
        <f>MAX(-20,MIN(10,$A549-VLOOKUP(YEAR($A549),'Festive dates'!$A$2:$J$5,8,FALSE)))</f>
        <v>-20</v>
      </c>
      <c r="R549" s="9">
        <f>IF(AND($A549&gt;VLOOKUP(YEAR($A549),'Festive dates'!$A$2:$J$5,2,FALSE),$A549&lt;VLOOKUP(YEAR($A549),'Festive dates'!$A$2:$J$5,3,FALSE)),1,0)</f>
        <v>0</v>
      </c>
      <c r="S549" s="9">
        <f>IF($A549=VLOOKUP(YEAR($A549),'Festive dates'!$A$2:$J$5,2,FALSE),1,0)</f>
        <v>0</v>
      </c>
      <c r="T549" s="9">
        <f>IF($A549=VLOOKUP(YEAR($A549),'Festive dates'!$A$2:$J$5,3,FALSE),1,0)</f>
        <v>0</v>
      </c>
      <c r="U549" s="9">
        <f>IF($A549=VLOOKUP(YEAR($A549),'Festive dates'!$A$2:$J$5,4,FALSE),1,0)</f>
        <v>0</v>
      </c>
      <c r="V549" s="9">
        <f>IF(AND($A549&gt;=VLOOKUP(YEAR($A549),'Festive dates'!$A$2:$J$5,9,FALSE),$A549&lt;=VLOOKUP(YEAR($A549),'Festive dates'!$A$2:$J$5,10,FALSE)),1,0)</f>
        <v>1</v>
      </c>
      <c r="W549" s="9">
        <f>IF($A549=VLOOKUP(YEAR($A549),'Festive dates'!$A$2:$J$5,7,FALSE),1,0)</f>
        <v>0</v>
      </c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</row>
    <row r="550" spans="1:51">
      <c r="A550" s="8">
        <v>45565</v>
      </c>
      <c r="B550" s="9">
        <v>0</v>
      </c>
      <c r="C550" s="9">
        <v>0</v>
      </c>
      <c r="D550" s="9">
        <v>0</v>
      </c>
      <c r="E550" s="9">
        <v>0</v>
      </c>
      <c r="F550" s="9">
        <v>0</v>
      </c>
      <c r="G550" s="9">
        <v>0</v>
      </c>
      <c r="H550" s="9">
        <v>0</v>
      </c>
      <c r="I550" s="9">
        <v>0</v>
      </c>
      <c r="J550" s="9">
        <v>0</v>
      </c>
      <c r="K550" s="9">
        <v>0</v>
      </c>
      <c r="L550" s="9">
        <v>0</v>
      </c>
      <c r="M550" s="9">
        <v>0</v>
      </c>
      <c r="N550" s="9">
        <v>0</v>
      </c>
      <c r="O550" s="9">
        <v>0</v>
      </c>
      <c r="P550" s="9">
        <v>0</v>
      </c>
      <c r="Q550" s="9">
        <f>MAX(-20,MIN(10,$A550-VLOOKUP(YEAR($A550),'Festive dates'!$A$2:$J$5,8,FALSE)))</f>
        <v>-20</v>
      </c>
      <c r="R550" s="9">
        <f>IF(AND($A550&gt;VLOOKUP(YEAR($A550),'Festive dates'!$A$2:$J$5,2,FALSE),$A550&lt;VLOOKUP(YEAR($A550),'Festive dates'!$A$2:$J$5,3,FALSE)),1,0)</f>
        <v>0</v>
      </c>
      <c r="S550" s="9">
        <f>IF($A550=VLOOKUP(YEAR($A550),'Festive dates'!$A$2:$J$5,2,FALSE),1,0)</f>
        <v>0</v>
      </c>
      <c r="T550" s="9">
        <f>IF($A550=VLOOKUP(YEAR($A550),'Festive dates'!$A$2:$J$5,3,FALSE),1,0)</f>
        <v>0</v>
      </c>
      <c r="U550" s="9">
        <f>IF($A550=VLOOKUP(YEAR($A550),'Festive dates'!$A$2:$J$5,4,FALSE),1,0)</f>
        <v>0</v>
      </c>
      <c r="V550" s="9">
        <f>IF(AND($A550&gt;=VLOOKUP(YEAR($A550),'Festive dates'!$A$2:$J$5,9,FALSE),$A550&lt;=VLOOKUP(YEAR($A550),'Festive dates'!$A$2:$J$5,10,FALSE)),1,0)</f>
        <v>1</v>
      </c>
      <c r="W550" s="9">
        <f>IF($A550=VLOOKUP(YEAR($A550),'Festive dates'!$A$2:$J$5,7,FALSE),1,0)</f>
        <v>0</v>
      </c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</row>
    <row r="551" spans="1:51">
      <c r="A551" s="8">
        <v>45566</v>
      </c>
      <c r="B551" s="9">
        <v>0</v>
      </c>
      <c r="C551" s="9">
        <v>0</v>
      </c>
      <c r="D551" s="9">
        <v>0</v>
      </c>
      <c r="E551" s="9">
        <v>0</v>
      </c>
      <c r="F551" s="9">
        <v>0</v>
      </c>
      <c r="G551" s="9">
        <v>0</v>
      </c>
      <c r="H551" s="9">
        <v>0</v>
      </c>
      <c r="I551" s="9">
        <v>0</v>
      </c>
      <c r="J551" s="9">
        <v>0</v>
      </c>
      <c r="K551" s="9">
        <v>0</v>
      </c>
      <c r="L551" s="9">
        <v>0</v>
      </c>
      <c r="M551" s="9">
        <v>0</v>
      </c>
      <c r="N551" s="9">
        <v>0</v>
      </c>
      <c r="O551" s="9">
        <v>0</v>
      </c>
      <c r="P551" s="9">
        <v>0</v>
      </c>
      <c r="Q551" s="9">
        <f>MAX(-20,MIN(10,$A551-VLOOKUP(YEAR($A551),'Festive dates'!$A$2:$J$5,8,FALSE)))</f>
        <v>-20</v>
      </c>
      <c r="R551" s="9">
        <f>IF(AND($A551&gt;VLOOKUP(YEAR($A551),'Festive dates'!$A$2:$J$5,2,FALSE),$A551&lt;VLOOKUP(YEAR($A551),'Festive dates'!$A$2:$J$5,3,FALSE)),1,0)</f>
        <v>0</v>
      </c>
      <c r="S551" s="9">
        <f>IF($A551=VLOOKUP(YEAR($A551),'Festive dates'!$A$2:$J$5,2,FALSE),1,0)</f>
        <v>0</v>
      </c>
      <c r="T551" s="9">
        <f>IF($A551=VLOOKUP(YEAR($A551),'Festive dates'!$A$2:$J$5,3,FALSE),1,0)</f>
        <v>0</v>
      </c>
      <c r="U551" s="9">
        <f>IF($A551=VLOOKUP(YEAR($A551),'Festive dates'!$A$2:$J$5,4,FALSE),1,0)</f>
        <v>0</v>
      </c>
      <c r="V551" s="9">
        <f>IF(AND($A551&gt;=VLOOKUP(YEAR($A551),'Festive dates'!$A$2:$J$5,9,FALSE),$A551&lt;=VLOOKUP(YEAR($A551),'Festive dates'!$A$2:$J$5,10,FALSE)),1,0)</f>
        <v>1</v>
      </c>
      <c r="W551" s="9">
        <f>IF($A551=VLOOKUP(YEAR($A551),'Festive dates'!$A$2:$J$5,7,FALSE),1,0)</f>
        <v>0</v>
      </c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</row>
    <row r="552" spans="1:51">
      <c r="A552" s="8">
        <v>45567</v>
      </c>
      <c r="B552" s="9">
        <v>0</v>
      </c>
      <c r="C552" s="9">
        <v>0</v>
      </c>
      <c r="D552" s="9">
        <v>0</v>
      </c>
      <c r="E552" s="9">
        <v>0</v>
      </c>
      <c r="F552" s="9">
        <v>0</v>
      </c>
      <c r="G552" s="9">
        <v>0</v>
      </c>
      <c r="H552" s="9">
        <v>0</v>
      </c>
      <c r="I552" s="9">
        <v>0</v>
      </c>
      <c r="J552" s="9">
        <v>0</v>
      </c>
      <c r="K552" s="9">
        <v>0</v>
      </c>
      <c r="L552" s="9">
        <v>0</v>
      </c>
      <c r="M552" s="9">
        <v>0</v>
      </c>
      <c r="N552" s="9">
        <v>0</v>
      </c>
      <c r="O552" s="9">
        <v>0</v>
      </c>
      <c r="P552" s="9">
        <v>0</v>
      </c>
      <c r="Q552" s="9">
        <f>MAX(-20,MIN(10,$A552-VLOOKUP(YEAR($A552),'Festive dates'!$A$2:$J$5,8,FALSE)))</f>
        <v>-20</v>
      </c>
      <c r="R552" s="9">
        <f>IF(AND($A552&gt;VLOOKUP(YEAR($A552),'Festive dates'!$A$2:$J$5,2,FALSE),$A552&lt;VLOOKUP(YEAR($A552),'Festive dates'!$A$2:$J$5,3,FALSE)),1,0)</f>
        <v>0</v>
      </c>
      <c r="S552" s="9">
        <f>IF($A552=VLOOKUP(YEAR($A552),'Festive dates'!$A$2:$J$5,2,FALSE),1,0)</f>
        <v>0</v>
      </c>
      <c r="T552" s="9">
        <f>IF($A552=VLOOKUP(YEAR($A552),'Festive dates'!$A$2:$J$5,3,FALSE),1,0)</f>
        <v>0</v>
      </c>
      <c r="U552" s="9">
        <f>IF($A552=VLOOKUP(YEAR($A552),'Festive dates'!$A$2:$J$5,4,FALSE),1,0)</f>
        <v>0</v>
      </c>
      <c r="V552" s="9">
        <f>IF(AND($A552&gt;=VLOOKUP(YEAR($A552),'Festive dates'!$A$2:$J$5,9,FALSE),$A552&lt;=VLOOKUP(YEAR($A552),'Festive dates'!$A$2:$J$5,10,FALSE)),1,0)</f>
        <v>1</v>
      </c>
      <c r="W552" s="9">
        <f>IF($A552=VLOOKUP(YEAR($A552),'Festive dates'!$A$2:$J$5,7,FALSE),1,0)</f>
        <v>0</v>
      </c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</row>
    <row r="553" spans="1:51">
      <c r="A553" s="8">
        <v>45568</v>
      </c>
      <c r="B553" s="9">
        <v>0</v>
      </c>
      <c r="C553" s="9">
        <v>0</v>
      </c>
      <c r="D553" s="9">
        <v>0</v>
      </c>
      <c r="E553" s="9">
        <v>0</v>
      </c>
      <c r="F553" s="9">
        <v>0</v>
      </c>
      <c r="G553" s="9">
        <v>0</v>
      </c>
      <c r="H553" s="9">
        <v>0</v>
      </c>
      <c r="I553" s="9">
        <v>0</v>
      </c>
      <c r="J553" s="9">
        <v>0</v>
      </c>
      <c r="K553" s="9">
        <v>0</v>
      </c>
      <c r="L553" s="9">
        <v>0</v>
      </c>
      <c r="M553" s="9">
        <v>0</v>
      </c>
      <c r="N553" s="9">
        <v>0</v>
      </c>
      <c r="O553" s="9">
        <v>0</v>
      </c>
      <c r="P553" s="9">
        <v>0</v>
      </c>
      <c r="Q553" s="9">
        <f>MAX(-20,MIN(10,$A553-VLOOKUP(YEAR($A553),'Festive dates'!$A$2:$J$5,8,FALSE)))</f>
        <v>-20</v>
      </c>
      <c r="R553" s="9">
        <f>IF(AND($A553&gt;VLOOKUP(YEAR($A553),'Festive dates'!$A$2:$J$5,2,FALSE),$A553&lt;VLOOKUP(YEAR($A553),'Festive dates'!$A$2:$J$5,3,FALSE)),1,0)</f>
        <v>0</v>
      </c>
      <c r="S553" s="9">
        <f>IF($A553=VLOOKUP(YEAR($A553),'Festive dates'!$A$2:$J$5,2,FALSE),1,0)</f>
        <v>1</v>
      </c>
      <c r="T553" s="9">
        <f>IF($A553=VLOOKUP(YEAR($A553),'Festive dates'!$A$2:$J$5,3,FALSE),1,0)</f>
        <v>0</v>
      </c>
      <c r="U553" s="9">
        <f>IF($A553=VLOOKUP(YEAR($A553),'Festive dates'!$A$2:$J$5,4,FALSE),1,0)</f>
        <v>0</v>
      </c>
      <c r="V553" s="9">
        <f>IF(AND($A553&gt;=VLOOKUP(YEAR($A553),'Festive dates'!$A$2:$J$5,9,FALSE),$A553&lt;=VLOOKUP(YEAR($A553),'Festive dates'!$A$2:$J$5,10,FALSE)),1,0)</f>
        <v>0</v>
      </c>
      <c r="W553" s="9">
        <f>IF($A553=VLOOKUP(YEAR($A553),'Festive dates'!$A$2:$J$5,7,FALSE),1,0)</f>
        <v>0</v>
      </c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</row>
    <row r="554" spans="1:51">
      <c r="A554" s="8">
        <v>45569</v>
      </c>
      <c r="B554" s="9">
        <v>0</v>
      </c>
      <c r="C554" s="9">
        <v>0</v>
      </c>
      <c r="D554" s="9">
        <v>0</v>
      </c>
      <c r="E554" s="9">
        <v>0</v>
      </c>
      <c r="F554" s="9">
        <v>0</v>
      </c>
      <c r="G554" s="9">
        <v>0</v>
      </c>
      <c r="H554" s="9">
        <v>0</v>
      </c>
      <c r="I554" s="9">
        <v>0</v>
      </c>
      <c r="J554" s="9">
        <v>0</v>
      </c>
      <c r="K554" s="9">
        <v>0</v>
      </c>
      <c r="L554" s="9">
        <v>0</v>
      </c>
      <c r="M554" s="9">
        <v>0</v>
      </c>
      <c r="N554" s="9">
        <v>0</v>
      </c>
      <c r="O554" s="9">
        <v>0</v>
      </c>
      <c r="P554" s="9">
        <v>0</v>
      </c>
      <c r="Q554" s="9">
        <f>MAX(-20,MIN(10,$A554-VLOOKUP(YEAR($A554),'Festive dates'!$A$2:$J$5,8,FALSE)))</f>
        <v>-20</v>
      </c>
      <c r="R554" s="9">
        <f>IF(AND($A554&gt;VLOOKUP(YEAR($A554),'Festive dates'!$A$2:$J$5,2,FALSE),$A554&lt;VLOOKUP(YEAR($A554),'Festive dates'!$A$2:$J$5,3,FALSE)),1,0)</f>
        <v>1</v>
      </c>
      <c r="S554" s="9">
        <f>IF($A554=VLOOKUP(YEAR($A554),'Festive dates'!$A$2:$J$5,2,FALSE),1,0)</f>
        <v>0</v>
      </c>
      <c r="T554" s="9">
        <f>IF($A554=VLOOKUP(YEAR($A554),'Festive dates'!$A$2:$J$5,3,FALSE),1,0)</f>
        <v>0</v>
      </c>
      <c r="U554" s="9">
        <f>IF($A554=VLOOKUP(YEAR($A554),'Festive dates'!$A$2:$J$5,4,FALSE),1,0)</f>
        <v>0</v>
      </c>
      <c r="V554" s="9">
        <f>IF(AND($A554&gt;=VLOOKUP(YEAR($A554),'Festive dates'!$A$2:$J$5,9,FALSE),$A554&lt;=VLOOKUP(YEAR($A554),'Festive dates'!$A$2:$J$5,10,FALSE)),1,0)</f>
        <v>0</v>
      </c>
      <c r="W554" s="9">
        <f>IF($A554=VLOOKUP(YEAR($A554),'Festive dates'!$A$2:$J$5,7,FALSE),1,0)</f>
        <v>0</v>
      </c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</row>
    <row r="555" spans="1:51">
      <c r="A555" s="8">
        <v>45570</v>
      </c>
      <c r="B555" s="9">
        <v>0</v>
      </c>
      <c r="C555" s="9">
        <v>0</v>
      </c>
      <c r="D555" s="9">
        <v>0</v>
      </c>
      <c r="E555" s="9">
        <v>0</v>
      </c>
      <c r="F555" s="9">
        <v>0</v>
      </c>
      <c r="G555" s="9">
        <v>0</v>
      </c>
      <c r="H555" s="9">
        <v>0</v>
      </c>
      <c r="I555" s="9">
        <v>0</v>
      </c>
      <c r="J555" s="9">
        <v>0</v>
      </c>
      <c r="K555" s="9">
        <v>0</v>
      </c>
      <c r="L555" s="9">
        <v>0</v>
      </c>
      <c r="M555" s="9">
        <v>0</v>
      </c>
      <c r="N555" s="9">
        <v>0</v>
      </c>
      <c r="O555" s="9">
        <v>0</v>
      </c>
      <c r="P555" s="9">
        <v>0</v>
      </c>
      <c r="Q555" s="9">
        <f>MAX(-20,MIN(10,$A555-VLOOKUP(YEAR($A555),'Festive dates'!$A$2:$J$5,8,FALSE)))</f>
        <v>-20</v>
      </c>
      <c r="R555" s="9">
        <f>IF(AND($A555&gt;VLOOKUP(YEAR($A555),'Festive dates'!$A$2:$J$5,2,FALSE),$A555&lt;VLOOKUP(YEAR($A555),'Festive dates'!$A$2:$J$5,3,FALSE)),1,0)</f>
        <v>1</v>
      </c>
      <c r="S555" s="9">
        <f>IF($A555=VLOOKUP(YEAR($A555),'Festive dates'!$A$2:$J$5,2,FALSE),1,0)</f>
        <v>0</v>
      </c>
      <c r="T555" s="9">
        <f>IF($A555=VLOOKUP(YEAR($A555),'Festive dates'!$A$2:$J$5,3,FALSE),1,0)</f>
        <v>0</v>
      </c>
      <c r="U555" s="9">
        <f>IF($A555=VLOOKUP(YEAR($A555),'Festive dates'!$A$2:$J$5,4,FALSE),1,0)</f>
        <v>0</v>
      </c>
      <c r="V555" s="9">
        <f>IF(AND($A555&gt;=VLOOKUP(YEAR($A555),'Festive dates'!$A$2:$J$5,9,FALSE),$A555&lt;=VLOOKUP(YEAR($A555),'Festive dates'!$A$2:$J$5,10,FALSE)),1,0)</f>
        <v>0</v>
      </c>
      <c r="W555" s="9">
        <f>IF($A555=VLOOKUP(YEAR($A555),'Festive dates'!$A$2:$J$5,7,FALSE),1,0)</f>
        <v>0</v>
      </c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</row>
    <row r="556" spans="1:51">
      <c r="A556" s="8">
        <v>45571</v>
      </c>
      <c r="B556" s="9">
        <v>0</v>
      </c>
      <c r="C556" s="9">
        <v>0</v>
      </c>
      <c r="D556" s="9">
        <v>0</v>
      </c>
      <c r="E556" s="9">
        <v>0</v>
      </c>
      <c r="F556" s="9">
        <v>0</v>
      </c>
      <c r="G556" s="9">
        <v>0</v>
      </c>
      <c r="H556" s="9">
        <v>0</v>
      </c>
      <c r="I556" s="9">
        <v>0</v>
      </c>
      <c r="J556" s="9">
        <v>0</v>
      </c>
      <c r="K556" s="9">
        <v>0</v>
      </c>
      <c r="L556" s="9">
        <v>0</v>
      </c>
      <c r="M556" s="9">
        <v>0</v>
      </c>
      <c r="N556" s="9">
        <v>0</v>
      </c>
      <c r="O556" s="9">
        <v>0</v>
      </c>
      <c r="P556" s="9">
        <v>0</v>
      </c>
      <c r="Q556" s="9">
        <f>MAX(-20,MIN(10,$A556-VLOOKUP(YEAR($A556),'Festive dates'!$A$2:$J$5,8,FALSE)))</f>
        <v>-20</v>
      </c>
      <c r="R556" s="9">
        <f>IF(AND($A556&gt;VLOOKUP(YEAR($A556),'Festive dates'!$A$2:$J$5,2,FALSE),$A556&lt;VLOOKUP(YEAR($A556),'Festive dates'!$A$2:$J$5,3,FALSE)),1,0)</f>
        <v>1</v>
      </c>
      <c r="S556" s="9">
        <f>IF($A556=VLOOKUP(YEAR($A556),'Festive dates'!$A$2:$J$5,2,FALSE),1,0)</f>
        <v>0</v>
      </c>
      <c r="T556" s="9">
        <f>IF($A556=VLOOKUP(YEAR($A556),'Festive dates'!$A$2:$J$5,3,FALSE),1,0)</f>
        <v>0</v>
      </c>
      <c r="U556" s="9">
        <f>IF($A556=VLOOKUP(YEAR($A556),'Festive dates'!$A$2:$J$5,4,FALSE),1,0)</f>
        <v>0</v>
      </c>
      <c r="V556" s="9">
        <f>IF(AND($A556&gt;=VLOOKUP(YEAR($A556),'Festive dates'!$A$2:$J$5,9,FALSE),$A556&lt;=VLOOKUP(YEAR($A556),'Festive dates'!$A$2:$J$5,10,FALSE)),1,0)</f>
        <v>0</v>
      </c>
      <c r="W556" s="9">
        <f>IF($A556=VLOOKUP(YEAR($A556),'Festive dates'!$A$2:$J$5,7,FALSE),1,0)</f>
        <v>0</v>
      </c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</row>
    <row r="557" spans="1:51">
      <c r="A557" s="8">
        <v>45572</v>
      </c>
      <c r="B557" s="9">
        <v>0</v>
      </c>
      <c r="C557" s="9">
        <v>0</v>
      </c>
      <c r="D557" s="9">
        <v>0</v>
      </c>
      <c r="E557" s="9">
        <v>0</v>
      </c>
      <c r="F557" s="9">
        <v>0</v>
      </c>
      <c r="G557" s="9">
        <v>0</v>
      </c>
      <c r="H557" s="9">
        <v>0</v>
      </c>
      <c r="I557" s="9">
        <v>0</v>
      </c>
      <c r="J557" s="9">
        <v>0</v>
      </c>
      <c r="K557" s="9">
        <v>0</v>
      </c>
      <c r="L557" s="9">
        <v>0</v>
      </c>
      <c r="M557" s="9">
        <v>0</v>
      </c>
      <c r="N557" s="9">
        <v>0</v>
      </c>
      <c r="O557" s="9">
        <v>0</v>
      </c>
      <c r="P557" s="9">
        <v>0</v>
      </c>
      <c r="Q557" s="9">
        <f>MAX(-20,MIN(10,$A557-VLOOKUP(YEAR($A557),'Festive dates'!$A$2:$J$5,8,FALSE)))</f>
        <v>-20</v>
      </c>
      <c r="R557" s="9">
        <f>IF(AND($A557&gt;VLOOKUP(YEAR($A557),'Festive dates'!$A$2:$J$5,2,FALSE),$A557&lt;VLOOKUP(YEAR($A557),'Festive dates'!$A$2:$J$5,3,FALSE)),1,0)</f>
        <v>1</v>
      </c>
      <c r="S557" s="9">
        <f>IF($A557=VLOOKUP(YEAR($A557),'Festive dates'!$A$2:$J$5,2,FALSE),1,0)</f>
        <v>0</v>
      </c>
      <c r="T557" s="9">
        <f>IF($A557=VLOOKUP(YEAR($A557),'Festive dates'!$A$2:$J$5,3,FALSE),1,0)</f>
        <v>0</v>
      </c>
      <c r="U557" s="9">
        <f>IF($A557=VLOOKUP(YEAR($A557),'Festive dates'!$A$2:$J$5,4,FALSE),1,0)</f>
        <v>0</v>
      </c>
      <c r="V557" s="9">
        <f>IF(AND($A557&gt;=VLOOKUP(YEAR($A557),'Festive dates'!$A$2:$J$5,9,FALSE),$A557&lt;=VLOOKUP(YEAR($A557),'Festive dates'!$A$2:$J$5,10,FALSE)),1,0)</f>
        <v>0</v>
      </c>
      <c r="W557" s="9">
        <f>IF($A557=VLOOKUP(YEAR($A557),'Festive dates'!$A$2:$J$5,7,FALSE),1,0)</f>
        <v>0</v>
      </c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</row>
    <row r="558" spans="1:51">
      <c r="A558" s="8">
        <v>45573</v>
      </c>
      <c r="B558" s="9">
        <v>0</v>
      </c>
      <c r="C558" s="9">
        <v>0</v>
      </c>
      <c r="D558" s="9">
        <v>0</v>
      </c>
      <c r="E558" s="9">
        <v>0</v>
      </c>
      <c r="F558" s="9">
        <v>0</v>
      </c>
      <c r="G558" s="9">
        <v>0</v>
      </c>
      <c r="H558" s="9">
        <v>0</v>
      </c>
      <c r="I558" s="9">
        <v>0</v>
      </c>
      <c r="J558" s="9">
        <v>0</v>
      </c>
      <c r="K558" s="9">
        <v>0</v>
      </c>
      <c r="L558" s="9">
        <v>0</v>
      </c>
      <c r="M558" s="9">
        <v>0</v>
      </c>
      <c r="N558" s="9">
        <v>0</v>
      </c>
      <c r="O558" s="9">
        <v>0</v>
      </c>
      <c r="P558" s="9">
        <v>0</v>
      </c>
      <c r="Q558" s="9">
        <f>MAX(-20,MIN(10,$A558-VLOOKUP(YEAR($A558),'Festive dates'!$A$2:$J$5,8,FALSE)))</f>
        <v>-20</v>
      </c>
      <c r="R558" s="9">
        <f>IF(AND($A558&gt;VLOOKUP(YEAR($A558),'Festive dates'!$A$2:$J$5,2,FALSE),$A558&lt;VLOOKUP(YEAR($A558),'Festive dates'!$A$2:$J$5,3,FALSE)),1,0)</f>
        <v>1</v>
      </c>
      <c r="S558" s="9">
        <f>IF($A558=VLOOKUP(YEAR($A558),'Festive dates'!$A$2:$J$5,2,FALSE),1,0)</f>
        <v>0</v>
      </c>
      <c r="T558" s="9">
        <f>IF($A558=VLOOKUP(YEAR($A558),'Festive dates'!$A$2:$J$5,3,FALSE),1,0)</f>
        <v>0</v>
      </c>
      <c r="U558" s="9">
        <f>IF($A558=VLOOKUP(YEAR($A558),'Festive dates'!$A$2:$J$5,4,FALSE),1,0)</f>
        <v>0</v>
      </c>
      <c r="V558" s="9">
        <f>IF(AND($A558&gt;=VLOOKUP(YEAR($A558),'Festive dates'!$A$2:$J$5,9,FALSE),$A558&lt;=VLOOKUP(YEAR($A558),'Festive dates'!$A$2:$J$5,10,FALSE)),1,0)</f>
        <v>0</v>
      </c>
      <c r="W558" s="9">
        <f>IF($A558=VLOOKUP(YEAR($A558),'Festive dates'!$A$2:$J$5,7,FALSE),1,0)</f>
        <v>0</v>
      </c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</row>
    <row r="559" spans="1:51">
      <c r="A559" s="8">
        <v>45574</v>
      </c>
      <c r="B559" s="9">
        <v>0</v>
      </c>
      <c r="C559" s="9">
        <v>0</v>
      </c>
      <c r="D559" s="9">
        <v>0</v>
      </c>
      <c r="E559" s="9">
        <v>0</v>
      </c>
      <c r="F559" s="9">
        <v>0</v>
      </c>
      <c r="G559" s="9">
        <v>0</v>
      </c>
      <c r="H559" s="9">
        <v>0</v>
      </c>
      <c r="I559" s="9">
        <v>0</v>
      </c>
      <c r="J559" s="9">
        <v>0</v>
      </c>
      <c r="K559" s="9">
        <v>0</v>
      </c>
      <c r="L559" s="9">
        <v>0</v>
      </c>
      <c r="M559" s="9">
        <v>0</v>
      </c>
      <c r="N559" s="9">
        <v>0</v>
      </c>
      <c r="O559" s="9">
        <v>0</v>
      </c>
      <c r="P559" s="9">
        <v>0</v>
      </c>
      <c r="Q559" s="9">
        <f>MAX(-20,MIN(10,$A559-VLOOKUP(YEAR($A559),'Festive dates'!$A$2:$J$5,8,FALSE)))</f>
        <v>-20</v>
      </c>
      <c r="R559" s="9">
        <f>IF(AND($A559&gt;VLOOKUP(YEAR($A559),'Festive dates'!$A$2:$J$5,2,FALSE),$A559&lt;VLOOKUP(YEAR($A559),'Festive dates'!$A$2:$J$5,3,FALSE)),1,0)</f>
        <v>1</v>
      </c>
      <c r="S559" s="9">
        <f>IF($A559=VLOOKUP(YEAR($A559),'Festive dates'!$A$2:$J$5,2,FALSE),1,0)</f>
        <v>0</v>
      </c>
      <c r="T559" s="9">
        <f>IF($A559=VLOOKUP(YEAR($A559),'Festive dates'!$A$2:$J$5,3,FALSE),1,0)</f>
        <v>0</v>
      </c>
      <c r="U559" s="9">
        <f>IF($A559=VLOOKUP(YEAR($A559),'Festive dates'!$A$2:$J$5,4,FALSE),1,0)</f>
        <v>0</v>
      </c>
      <c r="V559" s="9">
        <f>IF(AND($A559&gt;=VLOOKUP(YEAR($A559),'Festive dates'!$A$2:$J$5,9,FALSE),$A559&lt;=VLOOKUP(YEAR($A559),'Festive dates'!$A$2:$J$5,10,FALSE)),1,0)</f>
        <v>0</v>
      </c>
      <c r="W559" s="9">
        <f>IF($A559=VLOOKUP(YEAR($A559),'Festive dates'!$A$2:$J$5,7,FALSE),1,0)</f>
        <v>0</v>
      </c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</row>
    <row r="560" spans="1:51">
      <c r="A560" s="8">
        <v>45575</v>
      </c>
      <c r="B560" s="9">
        <v>0</v>
      </c>
      <c r="C560" s="9">
        <v>0</v>
      </c>
      <c r="D560" s="9">
        <v>0</v>
      </c>
      <c r="E560" s="9">
        <v>0</v>
      </c>
      <c r="F560" s="9">
        <v>0</v>
      </c>
      <c r="G560" s="9">
        <v>0</v>
      </c>
      <c r="H560" s="9">
        <v>0</v>
      </c>
      <c r="I560" s="9">
        <v>0</v>
      </c>
      <c r="J560" s="9">
        <v>0</v>
      </c>
      <c r="K560" s="9">
        <v>0</v>
      </c>
      <c r="L560" s="9">
        <v>0</v>
      </c>
      <c r="M560" s="9">
        <v>0</v>
      </c>
      <c r="N560" s="9">
        <v>0</v>
      </c>
      <c r="O560" s="9">
        <v>0</v>
      </c>
      <c r="P560" s="9">
        <v>0</v>
      </c>
      <c r="Q560" s="9">
        <f>MAX(-20,MIN(10,$A560-VLOOKUP(YEAR($A560),'Festive dates'!$A$2:$J$5,8,FALSE)))</f>
        <v>-20</v>
      </c>
      <c r="R560" s="9">
        <f>IF(AND($A560&gt;VLOOKUP(YEAR($A560),'Festive dates'!$A$2:$J$5,2,FALSE),$A560&lt;VLOOKUP(YEAR($A560),'Festive dates'!$A$2:$J$5,3,FALSE)),1,0)</f>
        <v>1</v>
      </c>
      <c r="S560" s="9">
        <f>IF($A560=VLOOKUP(YEAR($A560),'Festive dates'!$A$2:$J$5,2,FALSE),1,0)</f>
        <v>0</v>
      </c>
      <c r="T560" s="9">
        <f>IF($A560=VLOOKUP(YEAR($A560),'Festive dates'!$A$2:$J$5,3,FALSE),1,0)</f>
        <v>0</v>
      </c>
      <c r="U560" s="9">
        <f>IF($A560=VLOOKUP(YEAR($A560),'Festive dates'!$A$2:$J$5,4,FALSE),1,0)</f>
        <v>0</v>
      </c>
      <c r="V560" s="9">
        <f>IF(AND($A560&gt;=VLOOKUP(YEAR($A560),'Festive dates'!$A$2:$J$5,9,FALSE),$A560&lt;=VLOOKUP(YEAR($A560),'Festive dates'!$A$2:$J$5,10,FALSE)),1,0)</f>
        <v>0</v>
      </c>
      <c r="W560" s="9">
        <f>IF($A560=VLOOKUP(YEAR($A560),'Festive dates'!$A$2:$J$5,7,FALSE),1,0)</f>
        <v>0</v>
      </c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</row>
    <row r="561" spans="1:51">
      <c r="A561" s="8">
        <v>45576</v>
      </c>
      <c r="B561" s="9">
        <v>0</v>
      </c>
      <c r="C561" s="9">
        <v>0</v>
      </c>
      <c r="D561" s="9">
        <v>0</v>
      </c>
      <c r="E561" s="9">
        <v>0</v>
      </c>
      <c r="F561" s="9">
        <v>0</v>
      </c>
      <c r="G561" s="9">
        <v>0</v>
      </c>
      <c r="H561" s="9">
        <v>0</v>
      </c>
      <c r="I561" s="9">
        <v>0</v>
      </c>
      <c r="J561" s="9">
        <v>0</v>
      </c>
      <c r="K561" s="9">
        <v>0</v>
      </c>
      <c r="L561" s="9">
        <v>0</v>
      </c>
      <c r="M561" s="9">
        <v>0</v>
      </c>
      <c r="N561" s="9">
        <v>0</v>
      </c>
      <c r="O561" s="9">
        <v>0</v>
      </c>
      <c r="P561" s="9">
        <v>0</v>
      </c>
      <c r="Q561" s="9">
        <f>MAX(-20,MIN(10,$A561-VLOOKUP(YEAR($A561),'Festive dates'!$A$2:$J$5,8,FALSE)))</f>
        <v>-20</v>
      </c>
      <c r="R561" s="9">
        <f>IF(AND($A561&gt;VLOOKUP(YEAR($A561),'Festive dates'!$A$2:$J$5,2,FALSE),$A561&lt;VLOOKUP(YEAR($A561),'Festive dates'!$A$2:$J$5,3,FALSE)),1,0)</f>
        <v>1</v>
      </c>
      <c r="S561" s="9">
        <f>IF($A561=VLOOKUP(YEAR($A561),'Festive dates'!$A$2:$J$5,2,FALSE),1,0)</f>
        <v>0</v>
      </c>
      <c r="T561" s="9">
        <f>IF($A561=VLOOKUP(YEAR($A561),'Festive dates'!$A$2:$J$5,3,FALSE),1,0)</f>
        <v>0</v>
      </c>
      <c r="U561" s="9">
        <f>IF($A561=VLOOKUP(YEAR($A561),'Festive dates'!$A$2:$J$5,4,FALSE),1,0)</f>
        <v>0</v>
      </c>
      <c r="V561" s="9">
        <f>IF(AND($A561&gt;=VLOOKUP(YEAR($A561),'Festive dates'!$A$2:$J$5,9,FALSE),$A561&lt;=VLOOKUP(YEAR($A561),'Festive dates'!$A$2:$J$5,10,FALSE)),1,0)</f>
        <v>0</v>
      </c>
      <c r="W561" s="9">
        <f>IF($A561=VLOOKUP(YEAR($A561),'Festive dates'!$A$2:$J$5,7,FALSE),1,0)</f>
        <v>0</v>
      </c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</row>
    <row r="562" spans="1:51">
      <c r="A562" s="8">
        <v>45577</v>
      </c>
      <c r="B562" s="9">
        <v>0</v>
      </c>
      <c r="C562" s="9">
        <v>0</v>
      </c>
      <c r="D562" s="9">
        <v>0</v>
      </c>
      <c r="E562" s="9">
        <v>0</v>
      </c>
      <c r="F562" s="9">
        <v>0</v>
      </c>
      <c r="G562" s="9">
        <v>0</v>
      </c>
      <c r="H562" s="9">
        <v>0</v>
      </c>
      <c r="I562" s="9">
        <v>0</v>
      </c>
      <c r="J562" s="9">
        <v>0</v>
      </c>
      <c r="K562" s="9">
        <v>0</v>
      </c>
      <c r="L562" s="9">
        <v>0</v>
      </c>
      <c r="M562" s="9">
        <v>0</v>
      </c>
      <c r="N562" s="9">
        <v>0</v>
      </c>
      <c r="O562" s="9">
        <v>0</v>
      </c>
      <c r="P562" s="9">
        <v>0</v>
      </c>
      <c r="Q562" s="9">
        <f>MAX(-20,MIN(10,$A562-VLOOKUP(YEAR($A562),'Festive dates'!$A$2:$J$5,8,FALSE)))</f>
        <v>-19</v>
      </c>
      <c r="R562" s="9">
        <f>IF(AND($A562&gt;VLOOKUP(YEAR($A562),'Festive dates'!$A$2:$J$5,2,FALSE),$A562&lt;VLOOKUP(YEAR($A562),'Festive dates'!$A$2:$J$5,3,FALSE)),1,0)</f>
        <v>0</v>
      </c>
      <c r="S562" s="9">
        <f>IF($A562=VLOOKUP(YEAR($A562),'Festive dates'!$A$2:$J$5,2,FALSE),1,0)</f>
        <v>0</v>
      </c>
      <c r="T562" s="9">
        <f>IF($A562=VLOOKUP(YEAR($A562),'Festive dates'!$A$2:$J$5,3,FALSE),1,0)</f>
        <v>1</v>
      </c>
      <c r="U562" s="9">
        <f>IF($A562=VLOOKUP(YEAR($A562),'Festive dates'!$A$2:$J$5,4,FALSE),1,0)</f>
        <v>1</v>
      </c>
      <c r="V562" s="9">
        <f>IF(AND($A562&gt;=VLOOKUP(YEAR($A562),'Festive dates'!$A$2:$J$5,9,FALSE),$A562&lt;=VLOOKUP(YEAR($A562),'Festive dates'!$A$2:$J$5,10,FALSE)),1,0)</f>
        <v>0</v>
      </c>
      <c r="W562" s="9">
        <f>IF($A562=VLOOKUP(YEAR($A562),'Festive dates'!$A$2:$J$5,7,FALSE),1,0)</f>
        <v>0</v>
      </c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</row>
    <row r="563" spans="1:51">
      <c r="A563" s="8">
        <v>45578</v>
      </c>
      <c r="B563" s="9">
        <v>0</v>
      </c>
      <c r="C563" s="9">
        <v>0</v>
      </c>
      <c r="D563" s="9">
        <v>0</v>
      </c>
      <c r="E563" s="9">
        <v>0</v>
      </c>
      <c r="F563" s="9">
        <v>0</v>
      </c>
      <c r="G563" s="9">
        <v>0</v>
      </c>
      <c r="H563" s="9">
        <v>0</v>
      </c>
      <c r="I563" s="9">
        <v>0</v>
      </c>
      <c r="J563" s="9">
        <v>0</v>
      </c>
      <c r="K563" s="9">
        <v>0</v>
      </c>
      <c r="L563" s="9">
        <v>0</v>
      </c>
      <c r="M563" s="9">
        <v>0</v>
      </c>
      <c r="N563" s="9">
        <v>0</v>
      </c>
      <c r="O563" s="9">
        <v>0</v>
      </c>
      <c r="P563" s="9">
        <v>0</v>
      </c>
      <c r="Q563" s="9">
        <f>MAX(-20,MIN(10,$A563-VLOOKUP(YEAR($A563),'Festive dates'!$A$2:$J$5,8,FALSE)))</f>
        <v>-18</v>
      </c>
      <c r="R563" s="9">
        <f>IF(AND($A563&gt;VLOOKUP(YEAR($A563),'Festive dates'!$A$2:$J$5,2,FALSE),$A563&lt;VLOOKUP(YEAR($A563),'Festive dates'!$A$2:$J$5,3,FALSE)),1,0)</f>
        <v>0</v>
      </c>
      <c r="S563" s="9">
        <f>IF($A563=VLOOKUP(YEAR($A563),'Festive dates'!$A$2:$J$5,2,FALSE),1,0)</f>
        <v>0</v>
      </c>
      <c r="T563" s="9">
        <f>IF($A563=VLOOKUP(YEAR($A563),'Festive dates'!$A$2:$J$5,3,FALSE),1,0)</f>
        <v>0</v>
      </c>
      <c r="U563" s="9">
        <f>IF($A563=VLOOKUP(YEAR($A563),'Festive dates'!$A$2:$J$5,4,FALSE),1,0)</f>
        <v>0</v>
      </c>
      <c r="V563" s="9">
        <f>IF(AND($A563&gt;=VLOOKUP(YEAR($A563),'Festive dates'!$A$2:$J$5,9,FALSE),$A563&lt;=VLOOKUP(YEAR($A563),'Festive dates'!$A$2:$J$5,10,FALSE)),1,0)</f>
        <v>0</v>
      </c>
      <c r="W563" s="9">
        <f>IF($A563=VLOOKUP(YEAR($A563),'Festive dates'!$A$2:$J$5,7,FALSE),1,0)</f>
        <v>0</v>
      </c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</row>
    <row r="564" spans="1:51">
      <c r="A564" s="8">
        <v>45579</v>
      </c>
      <c r="B564" s="9">
        <v>0</v>
      </c>
      <c r="C564" s="9">
        <v>0</v>
      </c>
      <c r="D564" s="9">
        <v>0</v>
      </c>
      <c r="E564" s="9">
        <v>0</v>
      </c>
      <c r="F564" s="9">
        <v>0</v>
      </c>
      <c r="G564" s="9">
        <v>0</v>
      </c>
      <c r="H564" s="9">
        <v>0</v>
      </c>
      <c r="I564" s="9">
        <v>0</v>
      </c>
      <c r="J564" s="9">
        <v>0</v>
      </c>
      <c r="K564" s="9">
        <v>0</v>
      </c>
      <c r="L564" s="9">
        <v>0</v>
      </c>
      <c r="M564" s="9">
        <v>0</v>
      </c>
      <c r="N564" s="9">
        <v>0</v>
      </c>
      <c r="O564" s="9">
        <v>0</v>
      </c>
      <c r="P564" s="9">
        <v>0</v>
      </c>
      <c r="Q564" s="9">
        <f>MAX(-20,MIN(10,$A564-VLOOKUP(YEAR($A564),'Festive dates'!$A$2:$J$5,8,FALSE)))</f>
        <v>-17</v>
      </c>
      <c r="R564" s="9">
        <f>IF(AND($A564&gt;VLOOKUP(YEAR($A564),'Festive dates'!$A$2:$J$5,2,FALSE),$A564&lt;VLOOKUP(YEAR($A564),'Festive dates'!$A$2:$J$5,3,FALSE)),1,0)</f>
        <v>0</v>
      </c>
      <c r="S564" s="9">
        <f>IF($A564=VLOOKUP(YEAR($A564),'Festive dates'!$A$2:$J$5,2,FALSE),1,0)</f>
        <v>0</v>
      </c>
      <c r="T564" s="9">
        <f>IF($A564=VLOOKUP(YEAR($A564),'Festive dates'!$A$2:$J$5,3,FALSE),1,0)</f>
        <v>0</v>
      </c>
      <c r="U564" s="9">
        <f>IF($A564=VLOOKUP(YEAR($A564),'Festive dates'!$A$2:$J$5,4,FALSE),1,0)</f>
        <v>0</v>
      </c>
      <c r="V564" s="9">
        <f>IF(AND($A564&gt;=VLOOKUP(YEAR($A564),'Festive dates'!$A$2:$J$5,9,FALSE),$A564&lt;=VLOOKUP(YEAR($A564),'Festive dates'!$A$2:$J$5,10,FALSE)),1,0)</f>
        <v>0</v>
      </c>
      <c r="W564" s="9">
        <f>IF($A564=VLOOKUP(YEAR($A564),'Festive dates'!$A$2:$J$5,7,FALSE),1,0)</f>
        <v>0</v>
      </c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</row>
    <row r="565" spans="1:51">
      <c r="A565" s="8">
        <v>45580</v>
      </c>
      <c r="B565" s="9">
        <v>0</v>
      </c>
      <c r="C565" s="9">
        <v>0</v>
      </c>
      <c r="D565" s="9">
        <v>0</v>
      </c>
      <c r="E565" s="9">
        <v>0</v>
      </c>
      <c r="F565" s="9">
        <v>0</v>
      </c>
      <c r="G565" s="9">
        <v>0</v>
      </c>
      <c r="H565" s="9">
        <v>0</v>
      </c>
      <c r="I565" s="9">
        <v>0</v>
      </c>
      <c r="J565" s="9">
        <v>0</v>
      </c>
      <c r="K565" s="9">
        <v>0</v>
      </c>
      <c r="L565" s="9">
        <v>0</v>
      </c>
      <c r="M565" s="9">
        <v>0</v>
      </c>
      <c r="N565" s="9">
        <v>0</v>
      </c>
      <c r="O565" s="9">
        <v>0</v>
      </c>
      <c r="P565" s="9">
        <v>0</v>
      </c>
      <c r="Q565" s="9">
        <f>MAX(-20,MIN(10,$A565-VLOOKUP(YEAR($A565),'Festive dates'!$A$2:$J$5,8,FALSE)))</f>
        <v>-16</v>
      </c>
      <c r="R565" s="9">
        <f>IF(AND($A565&gt;VLOOKUP(YEAR($A565),'Festive dates'!$A$2:$J$5,2,FALSE),$A565&lt;VLOOKUP(YEAR($A565),'Festive dates'!$A$2:$J$5,3,FALSE)),1,0)</f>
        <v>0</v>
      </c>
      <c r="S565" s="9">
        <f>IF($A565=VLOOKUP(YEAR($A565),'Festive dates'!$A$2:$J$5,2,FALSE),1,0)</f>
        <v>0</v>
      </c>
      <c r="T565" s="9">
        <f>IF($A565=VLOOKUP(YEAR($A565),'Festive dates'!$A$2:$J$5,3,FALSE),1,0)</f>
        <v>0</v>
      </c>
      <c r="U565" s="9">
        <f>IF($A565=VLOOKUP(YEAR($A565),'Festive dates'!$A$2:$J$5,4,FALSE),1,0)</f>
        <v>0</v>
      </c>
      <c r="V565" s="9">
        <f>IF(AND($A565&gt;=VLOOKUP(YEAR($A565),'Festive dates'!$A$2:$J$5,9,FALSE),$A565&lt;=VLOOKUP(YEAR($A565),'Festive dates'!$A$2:$J$5,10,FALSE)),1,0)</f>
        <v>0</v>
      </c>
      <c r="W565" s="9">
        <f>IF($A565=VLOOKUP(YEAR($A565),'Festive dates'!$A$2:$J$5,7,FALSE),1,0)</f>
        <v>0</v>
      </c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</row>
    <row r="566" spans="1:51">
      <c r="A566" s="8">
        <v>45581</v>
      </c>
      <c r="B566" s="9">
        <v>0</v>
      </c>
      <c r="C566" s="9">
        <v>0</v>
      </c>
      <c r="D566" s="9">
        <v>0</v>
      </c>
      <c r="E566" s="9">
        <v>0</v>
      </c>
      <c r="F566" s="9">
        <v>0</v>
      </c>
      <c r="G566" s="9">
        <v>0</v>
      </c>
      <c r="H566" s="9">
        <v>0</v>
      </c>
      <c r="I566" s="9">
        <v>0</v>
      </c>
      <c r="J566" s="9">
        <v>0</v>
      </c>
      <c r="K566" s="9">
        <v>0</v>
      </c>
      <c r="L566" s="9">
        <v>0</v>
      </c>
      <c r="M566" s="9">
        <v>0</v>
      </c>
      <c r="N566" s="9">
        <v>0</v>
      </c>
      <c r="O566" s="9">
        <v>0</v>
      </c>
      <c r="P566" s="9">
        <v>0</v>
      </c>
      <c r="Q566" s="9">
        <f>MAX(-20,MIN(10,$A566-VLOOKUP(YEAR($A566),'Festive dates'!$A$2:$J$5,8,FALSE)))</f>
        <v>-15</v>
      </c>
      <c r="R566" s="9">
        <f>IF(AND($A566&gt;VLOOKUP(YEAR($A566),'Festive dates'!$A$2:$J$5,2,FALSE),$A566&lt;VLOOKUP(YEAR($A566),'Festive dates'!$A$2:$J$5,3,FALSE)),1,0)</f>
        <v>0</v>
      </c>
      <c r="S566" s="9">
        <f>IF($A566=VLOOKUP(YEAR($A566),'Festive dates'!$A$2:$J$5,2,FALSE),1,0)</f>
        <v>0</v>
      </c>
      <c r="T566" s="9">
        <f>IF($A566=VLOOKUP(YEAR($A566),'Festive dates'!$A$2:$J$5,3,FALSE),1,0)</f>
        <v>0</v>
      </c>
      <c r="U566" s="9">
        <f>IF($A566=VLOOKUP(YEAR($A566),'Festive dates'!$A$2:$J$5,4,FALSE),1,0)</f>
        <v>0</v>
      </c>
      <c r="V566" s="9">
        <f>IF(AND($A566&gt;=VLOOKUP(YEAR($A566),'Festive dates'!$A$2:$J$5,9,FALSE),$A566&lt;=VLOOKUP(YEAR($A566),'Festive dates'!$A$2:$J$5,10,FALSE)),1,0)</f>
        <v>0</v>
      </c>
      <c r="W566" s="9">
        <f>IF($A566=VLOOKUP(YEAR($A566),'Festive dates'!$A$2:$J$5,7,FALSE),1,0)</f>
        <v>0</v>
      </c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</row>
    <row r="567" spans="1:51">
      <c r="A567" s="8">
        <v>45582</v>
      </c>
      <c r="B567" s="9">
        <v>0</v>
      </c>
      <c r="C567" s="9">
        <v>0</v>
      </c>
      <c r="D567" s="9">
        <v>0</v>
      </c>
      <c r="E567" s="9">
        <v>0</v>
      </c>
      <c r="F567" s="9">
        <v>0</v>
      </c>
      <c r="G567" s="9">
        <v>0</v>
      </c>
      <c r="H567" s="9">
        <v>0</v>
      </c>
      <c r="I567" s="9">
        <v>0</v>
      </c>
      <c r="J567" s="9">
        <v>0</v>
      </c>
      <c r="K567" s="9">
        <v>0</v>
      </c>
      <c r="L567" s="9">
        <v>0</v>
      </c>
      <c r="M567" s="9">
        <v>0</v>
      </c>
      <c r="N567" s="9">
        <v>0</v>
      </c>
      <c r="O567" s="9">
        <v>0</v>
      </c>
      <c r="P567" s="9">
        <v>0</v>
      </c>
      <c r="Q567" s="9">
        <f>MAX(-20,MIN(10,$A567-VLOOKUP(YEAR($A567),'Festive dates'!$A$2:$J$5,8,FALSE)))</f>
        <v>-14</v>
      </c>
      <c r="R567" s="9">
        <f>IF(AND($A567&gt;VLOOKUP(YEAR($A567),'Festive dates'!$A$2:$J$5,2,FALSE),$A567&lt;VLOOKUP(YEAR($A567),'Festive dates'!$A$2:$J$5,3,FALSE)),1,0)</f>
        <v>0</v>
      </c>
      <c r="S567" s="9">
        <f>IF($A567=VLOOKUP(YEAR($A567),'Festive dates'!$A$2:$J$5,2,FALSE),1,0)</f>
        <v>0</v>
      </c>
      <c r="T567" s="9">
        <f>IF($A567=VLOOKUP(YEAR($A567),'Festive dates'!$A$2:$J$5,3,FALSE),1,0)</f>
        <v>0</v>
      </c>
      <c r="U567" s="9">
        <f>IF($A567=VLOOKUP(YEAR($A567),'Festive dates'!$A$2:$J$5,4,FALSE),1,0)</f>
        <v>0</v>
      </c>
      <c r="V567" s="9">
        <f>IF(AND($A567&gt;=VLOOKUP(YEAR($A567),'Festive dates'!$A$2:$J$5,9,FALSE),$A567&lt;=VLOOKUP(YEAR($A567),'Festive dates'!$A$2:$J$5,10,FALSE)),1,0)</f>
        <v>0</v>
      </c>
      <c r="W567" s="9">
        <f>IF($A567=VLOOKUP(YEAR($A567),'Festive dates'!$A$2:$J$5,7,FALSE),1,0)</f>
        <v>0</v>
      </c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</row>
    <row r="568" spans="1:51">
      <c r="A568" s="8">
        <v>45583</v>
      </c>
      <c r="B568" s="9">
        <v>0</v>
      </c>
      <c r="C568" s="9">
        <v>0</v>
      </c>
      <c r="D568" s="9">
        <v>0</v>
      </c>
      <c r="E568" s="9">
        <v>0</v>
      </c>
      <c r="F568" s="9">
        <v>0</v>
      </c>
      <c r="G568" s="9">
        <v>0</v>
      </c>
      <c r="H568" s="9">
        <v>0</v>
      </c>
      <c r="I568" s="9">
        <v>0</v>
      </c>
      <c r="J568" s="9">
        <v>0</v>
      </c>
      <c r="K568" s="9">
        <v>0</v>
      </c>
      <c r="L568" s="9">
        <v>0</v>
      </c>
      <c r="M568" s="9">
        <v>0</v>
      </c>
      <c r="N568" s="9">
        <v>0</v>
      </c>
      <c r="O568" s="9">
        <v>0</v>
      </c>
      <c r="P568" s="9">
        <v>0</v>
      </c>
      <c r="Q568" s="9">
        <f>MAX(-20,MIN(10,$A568-VLOOKUP(YEAR($A568),'Festive dates'!$A$2:$J$5,8,FALSE)))</f>
        <v>-13</v>
      </c>
      <c r="R568" s="9">
        <f>IF(AND($A568&gt;VLOOKUP(YEAR($A568),'Festive dates'!$A$2:$J$5,2,FALSE),$A568&lt;VLOOKUP(YEAR($A568),'Festive dates'!$A$2:$J$5,3,FALSE)),1,0)</f>
        <v>0</v>
      </c>
      <c r="S568" s="9">
        <f>IF($A568=VLOOKUP(YEAR($A568),'Festive dates'!$A$2:$J$5,2,FALSE),1,0)</f>
        <v>0</v>
      </c>
      <c r="T568" s="9">
        <f>IF($A568=VLOOKUP(YEAR($A568),'Festive dates'!$A$2:$J$5,3,FALSE),1,0)</f>
        <v>0</v>
      </c>
      <c r="U568" s="9">
        <f>IF($A568=VLOOKUP(YEAR($A568),'Festive dates'!$A$2:$J$5,4,FALSE),1,0)</f>
        <v>0</v>
      </c>
      <c r="V568" s="9">
        <f>IF(AND($A568&gt;=VLOOKUP(YEAR($A568),'Festive dates'!$A$2:$J$5,9,FALSE),$A568&lt;=VLOOKUP(YEAR($A568),'Festive dates'!$A$2:$J$5,10,FALSE)),1,0)</f>
        <v>0</v>
      </c>
      <c r="W568" s="9">
        <f>IF($A568=VLOOKUP(YEAR($A568),'Festive dates'!$A$2:$J$5,7,FALSE),1,0)</f>
        <v>0</v>
      </c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</row>
    <row r="569" spans="1:51">
      <c r="A569" s="8">
        <v>45584</v>
      </c>
      <c r="B569" s="9">
        <v>0</v>
      </c>
      <c r="C569" s="9">
        <v>0</v>
      </c>
      <c r="D569" s="9">
        <v>0</v>
      </c>
      <c r="E569" s="9">
        <v>0</v>
      </c>
      <c r="F569" s="9">
        <v>0</v>
      </c>
      <c r="G569" s="9">
        <v>0</v>
      </c>
      <c r="H569" s="9">
        <v>0</v>
      </c>
      <c r="I569" s="9">
        <v>0</v>
      </c>
      <c r="J569" s="9">
        <v>0</v>
      </c>
      <c r="K569" s="9">
        <v>0</v>
      </c>
      <c r="L569" s="9">
        <v>0</v>
      </c>
      <c r="M569" s="9">
        <v>0</v>
      </c>
      <c r="N569" s="9">
        <v>0</v>
      </c>
      <c r="O569" s="9">
        <v>0</v>
      </c>
      <c r="P569" s="9">
        <v>0</v>
      </c>
      <c r="Q569" s="9">
        <f>MAX(-20,MIN(10,$A569-VLOOKUP(YEAR($A569),'Festive dates'!$A$2:$J$5,8,FALSE)))</f>
        <v>-12</v>
      </c>
      <c r="R569" s="9">
        <f>IF(AND($A569&gt;VLOOKUP(YEAR($A569),'Festive dates'!$A$2:$J$5,2,FALSE),$A569&lt;VLOOKUP(YEAR($A569),'Festive dates'!$A$2:$J$5,3,FALSE)),1,0)</f>
        <v>0</v>
      </c>
      <c r="S569" s="9">
        <f>IF($A569=VLOOKUP(YEAR($A569),'Festive dates'!$A$2:$J$5,2,FALSE),1,0)</f>
        <v>0</v>
      </c>
      <c r="T569" s="9">
        <f>IF($A569=VLOOKUP(YEAR($A569),'Festive dates'!$A$2:$J$5,3,FALSE),1,0)</f>
        <v>0</v>
      </c>
      <c r="U569" s="9">
        <f>IF($A569=VLOOKUP(YEAR($A569),'Festive dates'!$A$2:$J$5,4,FALSE),1,0)</f>
        <v>0</v>
      </c>
      <c r="V569" s="9">
        <f>IF(AND($A569&gt;=VLOOKUP(YEAR($A569),'Festive dates'!$A$2:$J$5,9,FALSE),$A569&lt;=VLOOKUP(YEAR($A569),'Festive dates'!$A$2:$J$5,10,FALSE)),1,0)</f>
        <v>0</v>
      </c>
      <c r="W569" s="9">
        <f>IF($A569=VLOOKUP(YEAR($A569),'Festive dates'!$A$2:$J$5,7,FALSE),1,0)</f>
        <v>0</v>
      </c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</row>
    <row r="570" spans="1:51">
      <c r="A570" s="8">
        <v>45585</v>
      </c>
      <c r="B570" s="9">
        <v>0</v>
      </c>
      <c r="C570" s="9">
        <v>0</v>
      </c>
      <c r="D570" s="9">
        <v>0</v>
      </c>
      <c r="E570" s="9">
        <v>0</v>
      </c>
      <c r="F570" s="9">
        <v>1</v>
      </c>
      <c r="G570" s="9">
        <v>0</v>
      </c>
      <c r="H570" s="9">
        <v>0</v>
      </c>
      <c r="I570" s="9">
        <v>0</v>
      </c>
      <c r="J570" s="9">
        <v>0</v>
      </c>
      <c r="K570" s="9">
        <v>0</v>
      </c>
      <c r="L570" s="9">
        <v>0</v>
      </c>
      <c r="M570" s="9">
        <v>0</v>
      </c>
      <c r="N570" s="9">
        <v>0</v>
      </c>
      <c r="O570" s="9">
        <v>0</v>
      </c>
      <c r="P570" s="9">
        <v>0</v>
      </c>
      <c r="Q570" s="9">
        <f>MAX(-20,MIN(10,$A570-VLOOKUP(YEAR($A570),'Festive dates'!$A$2:$J$5,8,FALSE)))</f>
        <v>-11</v>
      </c>
      <c r="R570" s="9">
        <f>IF(AND($A570&gt;VLOOKUP(YEAR($A570),'Festive dates'!$A$2:$J$5,2,FALSE),$A570&lt;VLOOKUP(YEAR($A570),'Festive dates'!$A$2:$J$5,3,FALSE)),1,0)</f>
        <v>0</v>
      </c>
      <c r="S570" s="9">
        <f>IF($A570=VLOOKUP(YEAR($A570),'Festive dates'!$A$2:$J$5,2,FALSE),1,0)</f>
        <v>0</v>
      </c>
      <c r="T570" s="9">
        <f>IF($A570=VLOOKUP(YEAR($A570),'Festive dates'!$A$2:$J$5,3,FALSE),1,0)</f>
        <v>0</v>
      </c>
      <c r="U570" s="9">
        <f>IF($A570=VLOOKUP(YEAR($A570),'Festive dates'!$A$2:$J$5,4,FALSE),1,0)</f>
        <v>0</v>
      </c>
      <c r="V570" s="9">
        <f>IF(AND($A570&gt;=VLOOKUP(YEAR($A570),'Festive dates'!$A$2:$J$5,9,FALSE),$A570&lt;=VLOOKUP(YEAR($A570),'Festive dates'!$A$2:$J$5,10,FALSE)),1,0)</f>
        <v>0</v>
      </c>
      <c r="W570" s="9">
        <f>IF($A570=VLOOKUP(YEAR($A570),'Festive dates'!$A$2:$J$5,7,FALSE),1,0)</f>
        <v>0</v>
      </c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</row>
    <row r="571" spans="1:51">
      <c r="A571" s="8">
        <v>45586</v>
      </c>
      <c r="B571" s="9">
        <v>0</v>
      </c>
      <c r="C571" s="9">
        <v>0</v>
      </c>
      <c r="D571" s="9">
        <v>0</v>
      </c>
      <c r="E571" s="9">
        <v>0</v>
      </c>
      <c r="F571" s="9">
        <v>0</v>
      </c>
      <c r="G571" s="9">
        <v>0</v>
      </c>
      <c r="H571" s="9">
        <v>0</v>
      </c>
      <c r="I571" s="9">
        <v>0</v>
      </c>
      <c r="J571" s="9">
        <v>0</v>
      </c>
      <c r="K571" s="9">
        <v>0</v>
      </c>
      <c r="L571" s="9">
        <v>0</v>
      </c>
      <c r="M571" s="9">
        <v>0</v>
      </c>
      <c r="N571" s="9">
        <v>0</v>
      </c>
      <c r="O571" s="9">
        <v>0</v>
      </c>
      <c r="P571" s="9">
        <v>0</v>
      </c>
      <c r="Q571" s="9">
        <f>MAX(-20,MIN(10,$A571-VLOOKUP(YEAR($A571),'Festive dates'!$A$2:$J$5,8,FALSE)))</f>
        <v>-10</v>
      </c>
      <c r="R571" s="9">
        <f>IF(AND($A571&gt;VLOOKUP(YEAR($A571),'Festive dates'!$A$2:$J$5,2,FALSE),$A571&lt;VLOOKUP(YEAR($A571),'Festive dates'!$A$2:$J$5,3,FALSE)),1,0)</f>
        <v>0</v>
      </c>
      <c r="S571" s="9">
        <f>IF($A571=VLOOKUP(YEAR($A571),'Festive dates'!$A$2:$J$5,2,FALSE),1,0)</f>
        <v>0</v>
      </c>
      <c r="T571" s="9">
        <f>IF($A571=VLOOKUP(YEAR($A571),'Festive dates'!$A$2:$J$5,3,FALSE),1,0)</f>
        <v>0</v>
      </c>
      <c r="U571" s="9">
        <f>IF($A571=VLOOKUP(YEAR($A571),'Festive dates'!$A$2:$J$5,4,FALSE),1,0)</f>
        <v>0</v>
      </c>
      <c r="V571" s="9">
        <f>IF(AND($A571&gt;=VLOOKUP(YEAR($A571),'Festive dates'!$A$2:$J$5,9,FALSE),$A571&lt;=VLOOKUP(YEAR($A571),'Festive dates'!$A$2:$J$5,10,FALSE)),1,0)</f>
        <v>0</v>
      </c>
      <c r="W571" s="9">
        <f>IF($A571=VLOOKUP(YEAR($A571),'Festive dates'!$A$2:$J$5,7,FALSE),1,0)</f>
        <v>0</v>
      </c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</row>
    <row r="572" spans="1:51">
      <c r="A572" s="8">
        <v>45587</v>
      </c>
      <c r="B572" s="9">
        <v>0</v>
      </c>
      <c r="C572" s="9">
        <v>0</v>
      </c>
      <c r="D572" s="9">
        <v>0</v>
      </c>
      <c r="E572" s="9">
        <v>0</v>
      </c>
      <c r="F572" s="9">
        <v>0</v>
      </c>
      <c r="G572" s="9">
        <v>0</v>
      </c>
      <c r="H572" s="9">
        <v>0</v>
      </c>
      <c r="I572" s="9">
        <v>0</v>
      </c>
      <c r="J572" s="9">
        <v>0</v>
      </c>
      <c r="K572" s="9">
        <v>0</v>
      </c>
      <c r="L572" s="9">
        <v>0</v>
      </c>
      <c r="M572" s="9">
        <v>0</v>
      </c>
      <c r="N572" s="9">
        <v>0</v>
      </c>
      <c r="O572" s="9">
        <v>0</v>
      </c>
      <c r="P572" s="9">
        <v>0</v>
      </c>
      <c r="Q572" s="9">
        <f>MAX(-20,MIN(10,$A572-VLOOKUP(YEAR($A572),'Festive dates'!$A$2:$J$5,8,FALSE)))</f>
        <v>-9</v>
      </c>
      <c r="R572" s="9">
        <f>IF(AND($A572&gt;VLOOKUP(YEAR($A572),'Festive dates'!$A$2:$J$5,2,FALSE),$A572&lt;VLOOKUP(YEAR($A572),'Festive dates'!$A$2:$J$5,3,FALSE)),1,0)</f>
        <v>0</v>
      </c>
      <c r="S572" s="9">
        <f>IF($A572=VLOOKUP(YEAR($A572),'Festive dates'!$A$2:$J$5,2,FALSE),1,0)</f>
        <v>0</v>
      </c>
      <c r="T572" s="9">
        <f>IF($A572=VLOOKUP(YEAR($A572),'Festive dates'!$A$2:$J$5,3,FALSE),1,0)</f>
        <v>0</v>
      </c>
      <c r="U572" s="9">
        <f>IF($A572=VLOOKUP(YEAR($A572),'Festive dates'!$A$2:$J$5,4,FALSE),1,0)</f>
        <v>0</v>
      </c>
      <c r="V572" s="9">
        <f>IF(AND($A572&gt;=VLOOKUP(YEAR($A572),'Festive dates'!$A$2:$J$5,9,FALSE),$A572&lt;=VLOOKUP(YEAR($A572),'Festive dates'!$A$2:$J$5,10,FALSE)),1,0)</f>
        <v>0</v>
      </c>
      <c r="W572" s="9">
        <f>IF($A572=VLOOKUP(YEAR($A572),'Festive dates'!$A$2:$J$5,7,FALSE),1,0)</f>
        <v>0</v>
      </c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</row>
    <row r="573" spans="1:51">
      <c r="A573" s="8">
        <v>45588</v>
      </c>
      <c r="B573" s="9">
        <v>0</v>
      </c>
      <c r="C573" s="9">
        <v>0</v>
      </c>
      <c r="D573" s="9">
        <v>0</v>
      </c>
      <c r="E573" s="9">
        <v>0</v>
      </c>
      <c r="F573" s="9">
        <v>0</v>
      </c>
      <c r="G573" s="9">
        <v>0</v>
      </c>
      <c r="H573" s="9">
        <v>0</v>
      </c>
      <c r="I573" s="9">
        <v>0</v>
      </c>
      <c r="J573" s="9">
        <v>0</v>
      </c>
      <c r="K573" s="9">
        <v>0</v>
      </c>
      <c r="L573" s="9">
        <v>0</v>
      </c>
      <c r="M573" s="9">
        <v>0</v>
      </c>
      <c r="N573" s="9">
        <v>0</v>
      </c>
      <c r="O573" s="9">
        <v>0</v>
      </c>
      <c r="P573" s="9">
        <v>0</v>
      </c>
      <c r="Q573" s="9">
        <f>MAX(-20,MIN(10,$A573-VLOOKUP(YEAR($A573),'Festive dates'!$A$2:$J$5,8,FALSE)))</f>
        <v>-8</v>
      </c>
      <c r="R573" s="9">
        <f>IF(AND($A573&gt;VLOOKUP(YEAR($A573),'Festive dates'!$A$2:$J$5,2,FALSE),$A573&lt;VLOOKUP(YEAR($A573),'Festive dates'!$A$2:$J$5,3,FALSE)),1,0)</f>
        <v>0</v>
      </c>
      <c r="S573" s="9">
        <f>IF($A573=VLOOKUP(YEAR($A573),'Festive dates'!$A$2:$J$5,2,FALSE),1,0)</f>
        <v>0</v>
      </c>
      <c r="T573" s="9">
        <f>IF($A573=VLOOKUP(YEAR($A573),'Festive dates'!$A$2:$J$5,3,FALSE),1,0)</f>
        <v>0</v>
      </c>
      <c r="U573" s="9">
        <f>IF($A573=VLOOKUP(YEAR($A573),'Festive dates'!$A$2:$J$5,4,FALSE),1,0)</f>
        <v>0</v>
      </c>
      <c r="V573" s="9">
        <f>IF(AND($A573&gt;=VLOOKUP(YEAR($A573),'Festive dates'!$A$2:$J$5,9,FALSE),$A573&lt;=VLOOKUP(YEAR($A573),'Festive dates'!$A$2:$J$5,10,FALSE)),1,0)</f>
        <v>0</v>
      </c>
      <c r="W573" s="9">
        <f>IF($A573=VLOOKUP(YEAR($A573),'Festive dates'!$A$2:$J$5,7,FALSE),1,0)</f>
        <v>0</v>
      </c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</row>
    <row r="574" spans="1:51">
      <c r="A574" s="8">
        <v>45589</v>
      </c>
      <c r="B574" s="9">
        <v>0</v>
      </c>
      <c r="C574" s="9">
        <v>0</v>
      </c>
      <c r="D574" s="9">
        <v>0</v>
      </c>
      <c r="E574" s="9">
        <v>0</v>
      </c>
      <c r="F574" s="9">
        <v>0</v>
      </c>
      <c r="G574" s="9">
        <v>0</v>
      </c>
      <c r="H574" s="9">
        <v>0</v>
      </c>
      <c r="I574" s="9">
        <v>0</v>
      </c>
      <c r="J574" s="9">
        <v>0</v>
      </c>
      <c r="K574" s="9">
        <v>0</v>
      </c>
      <c r="L574" s="9">
        <v>0</v>
      </c>
      <c r="M574" s="9">
        <v>0</v>
      </c>
      <c r="N574" s="9">
        <v>0</v>
      </c>
      <c r="O574" s="9">
        <v>0</v>
      </c>
      <c r="P574" s="9">
        <v>0</v>
      </c>
      <c r="Q574" s="9">
        <f>MAX(-20,MIN(10,$A574-VLOOKUP(YEAR($A574),'Festive dates'!$A$2:$J$5,8,FALSE)))</f>
        <v>-7</v>
      </c>
      <c r="R574" s="9">
        <f>IF(AND($A574&gt;VLOOKUP(YEAR($A574),'Festive dates'!$A$2:$J$5,2,FALSE),$A574&lt;VLOOKUP(YEAR($A574),'Festive dates'!$A$2:$J$5,3,FALSE)),1,0)</f>
        <v>0</v>
      </c>
      <c r="S574" s="9">
        <f>IF($A574=VLOOKUP(YEAR($A574),'Festive dates'!$A$2:$J$5,2,FALSE),1,0)</f>
        <v>0</v>
      </c>
      <c r="T574" s="9">
        <f>IF($A574=VLOOKUP(YEAR($A574),'Festive dates'!$A$2:$J$5,3,FALSE),1,0)</f>
        <v>0</v>
      </c>
      <c r="U574" s="9">
        <f>IF($A574=VLOOKUP(YEAR($A574),'Festive dates'!$A$2:$J$5,4,FALSE),1,0)</f>
        <v>0</v>
      </c>
      <c r="V574" s="9">
        <f>IF(AND($A574&gt;=VLOOKUP(YEAR($A574),'Festive dates'!$A$2:$J$5,9,FALSE),$A574&lt;=VLOOKUP(YEAR($A574),'Festive dates'!$A$2:$J$5,10,FALSE)),1,0)</f>
        <v>0</v>
      </c>
      <c r="W574" s="9">
        <f>IF($A574=VLOOKUP(YEAR($A574),'Festive dates'!$A$2:$J$5,7,FALSE),1,0)</f>
        <v>0</v>
      </c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</row>
    <row r="575" spans="1:51">
      <c r="A575" s="8">
        <v>45590</v>
      </c>
      <c r="B575" s="9">
        <v>0</v>
      </c>
      <c r="C575" s="9">
        <v>0</v>
      </c>
      <c r="D575" s="9">
        <v>0</v>
      </c>
      <c r="E575" s="9">
        <v>0</v>
      </c>
      <c r="F575" s="9">
        <v>0</v>
      </c>
      <c r="G575" s="9">
        <v>0</v>
      </c>
      <c r="H575" s="9">
        <v>0</v>
      </c>
      <c r="I575" s="9">
        <v>0</v>
      </c>
      <c r="J575" s="9">
        <v>0</v>
      </c>
      <c r="K575" s="9">
        <v>0</v>
      </c>
      <c r="L575" s="9">
        <v>0</v>
      </c>
      <c r="M575" s="9">
        <v>0</v>
      </c>
      <c r="N575" s="9">
        <v>0</v>
      </c>
      <c r="O575" s="9">
        <v>0</v>
      </c>
      <c r="P575" s="9">
        <v>0</v>
      </c>
      <c r="Q575" s="9">
        <f>MAX(-20,MIN(10,$A575-VLOOKUP(YEAR($A575),'Festive dates'!$A$2:$J$5,8,FALSE)))</f>
        <v>-6</v>
      </c>
      <c r="R575" s="9">
        <f>IF(AND($A575&gt;VLOOKUP(YEAR($A575),'Festive dates'!$A$2:$J$5,2,FALSE),$A575&lt;VLOOKUP(YEAR($A575),'Festive dates'!$A$2:$J$5,3,FALSE)),1,0)</f>
        <v>0</v>
      </c>
      <c r="S575" s="9">
        <f>IF($A575=VLOOKUP(YEAR($A575),'Festive dates'!$A$2:$J$5,2,FALSE),1,0)</f>
        <v>0</v>
      </c>
      <c r="T575" s="9">
        <f>IF($A575=VLOOKUP(YEAR($A575),'Festive dates'!$A$2:$J$5,3,FALSE),1,0)</f>
        <v>0</v>
      </c>
      <c r="U575" s="9">
        <f>IF($A575=VLOOKUP(YEAR($A575),'Festive dates'!$A$2:$J$5,4,FALSE),1,0)</f>
        <v>0</v>
      </c>
      <c r="V575" s="9">
        <f>IF(AND($A575&gt;=VLOOKUP(YEAR($A575),'Festive dates'!$A$2:$J$5,9,FALSE),$A575&lt;=VLOOKUP(YEAR($A575),'Festive dates'!$A$2:$J$5,10,FALSE)),1,0)</f>
        <v>0</v>
      </c>
      <c r="W575" s="9">
        <f>IF($A575=VLOOKUP(YEAR($A575),'Festive dates'!$A$2:$J$5,7,FALSE),1,0)</f>
        <v>0</v>
      </c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</row>
    <row r="576" spans="1:51">
      <c r="A576" s="8">
        <v>45591</v>
      </c>
      <c r="B576" s="9">
        <v>0</v>
      </c>
      <c r="C576" s="9">
        <v>0</v>
      </c>
      <c r="D576" s="9">
        <v>0</v>
      </c>
      <c r="E576" s="9">
        <v>0</v>
      </c>
      <c r="F576" s="9">
        <v>0</v>
      </c>
      <c r="G576" s="9">
        <v>0</v>
      </c>
      <c r="H576" s="9">
        <v>0</v>
      </c>
      <c r="I576" s="9">
        <v>0</v>
      </c>
      <c r="J576" s="9">
        <v>0</v>
      </c>
      <c r="K576" s="9">
        <v>0</v>
      </c>
      <c r="L576" s="9">
        <v>0</v>
      </c>
      <c r="M576" s="9">
        <v>0</v>
      </c>
      <c r="N576" s="9">
        <v>0</v>
      </c>
      <c r="O576" s="9">
        <v>0</v>
      </c>
      <c r="P576" s="9">
        <v>0</v>
      </c>
      <c r="Q576" s="9">
        <f>MAX(-20,MIN(10,$A576-VLOOKUP(YEAR($A576),'Festive dates'!$A$2:$J$5,8,FALSE)))</f>
        <v>-5</v>
      </c>
      <c r="R576" s="9">
        <f>IF(AND($A576&gt;VLOOKUP(YEAR($A576),'Festive dates'!$A$2:$J$5,2,FALSE),$A576&lt;VLOOKUP(YEAR($A576),'Festive dates'!$A$2:$J$5,3,FALSE)),1,0)</f>
        <v>0</v>
      </c>
      <c r="S576" s="9">
        <f>IF($A576=VLOOKUP(YEAR($A576),'Festive dates'!$A$2:$J$5,2,FALSE),1,0)</f>
        <v>0</v>
      </c>
      <c r="T576" s="9">
        <f>IF($A576=VLOOKUP(YEAR($A576),'Festive dates'!$A$2:$J$5,3,FALSE),1,0)</f>
        <v>0</v>
      </c>
      <c r="U576" s="9">
        <f>IF($A576=VLOOKUP(YEAR($A576),'Festive dates'!$A$2:$J$5,4,FALSE),1,0)</f>
        <v>0</v>
      </c>
      <c r="V576" s="9">
        <f>IF(AND($A576&gt;=VLOOKUP(YEAR($A576),'Festive dates'!$A$2:$J$5,9,FALSE),$A576&lt;=VLOOKUP(YEAR($A576),'Festive dates'!$A$2:$J$5,10,FALSE)),1,0)</f>
        <v>0</v>
      </c>
      <c r="W576" s="9">
        <f>IF($A576=VLOOKUP(YEAR($A576),'Festive dates'!$A$2:$J$5,7,FALSE),1,0)</f>
        <v>0</v>
      </c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</row>
    <row r="577" spans="1:51">
      <c r="A577" s="8">
        <v>45592</v>
      </c>
      <c r="B577" s="9">
        <v>0</v>
      </c>
      <c r="C577" s="9">
        <v>0</v>
      </c>
      <c r="D577" s="9">
        <v>0</v>
      </c>
      <c r="E577" s="9">
        <v>0</v>
      </c>
      <c r="F577" s="9">
        <v>0</v>
      </c>
      <c r="G577" s="9">
        <v>0</v>
      </c>
      <c r="H577" s="9">
        <v>0</v>
      </c>
      <c r="I577" s="9">
        <v>0</v>
      </c>
      <c r="J577" s="9">
        <v>0</v>
      </c>
      <c r="K577" s="9">
        <v>0</v>
      </c>
      <c r="L577" s="9">
        <v>0</v>
      </c>
      <c r="M577" s="9">
        <v>0</v>
      </c>
      <c r="N577" s="9">
        <v>0</v>
      </c>
      <c r="O577" s="9">
        <v>0</v>
      </c>
      <c r="P577" s="9">
        <v>0</v>
      </c>
      <c r="Q577" s="9">
        <f>MAX(-20,MIN(10,$A577-VLOOKUP(YEAR($A577),'Festive dates'!$A$2:$J$5,8,FALSE)))</f>
        <v>-4</v>
      </c>
      <c r="R577" s="9">
        <f>IF(AND($A577&gt;VLOOKUP(YEAR($A577),'Festive dates'!$A$2:$J$5,2,FALSE),$A577&lt;VLOOKUP(YEAR($A577),'Festive dates'!$A$2:$J$5,3,FALSE)),1,0)</f>
        <v>0</v>
      </c>
      <c r="S577" s="9">
        <f>IF($A577=VLOOKUP(YEAR($A577),'Festive dates'!$A$2:$J$5,2,FALSE),1,0)</f>
        <v>0</v>
      </c>
      <c r="T577" s="9">
        <f>IF($A577=VLOOKUP(YEAR($A577),'Festive dates'!$A$2:$J$5,3,FALSE),1,0)</f>
        <v>0</v>
      </c>
      <c r="U577" s="9">
        <f>IF($A577=VLOOKUP(YEAR($A577),'Festive dates'!$A$2:$J$5,4,FALSE),1,0)</f>
        <v>0</v>
      </c>
      <c r="V577" s="9">
        <f>IF(AND($A577&gt;=VLOOKUP(YEAR($A577),'Festive dates'!$A$2:$J$5,9,FALSE),$A577&lt;=VLOOKUP(YEAR($A577),'Festive dates'!$A$2:$J$5,10,FALSE)),1,0)</f>
        <v>0</v>
      </c>
      <c r="W577" s="9">
        <f>IF($A577=VLOOKUP(YEAR($A577),'Festive dates'!$A$2:$J$5,7,FALSE),1,0)</f>
        <v>0</v>
      </c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</row>
    <row r="578" spans="1:51">
      <c r="A578" s="8">
        <v>45593</v>
      </c>
      <c r="B578" s="9">
        <v>0</v>
      </c>
      <c r="C578" s="9">
        <v>0</v>
      </c>
      <c r="D578" s="9">
        <v>0</v>
      </c>
      <c r="E578" s="9">
        <v>0</v>
      </c>
      <c r="F578" s="9">
        <v>0</v>
      </c>
      <c r="G578" s="9">
        <v>0</v>
      </c>
      <c r="H578" s="9">
        <v>0</v>
      </c>
      <c r="I578" s="9">
        <v>0</v>
      </c>
      <c r="J578" s="9">
        <v>0</v>
      </c>
      <c r="K578" s="9">
        <v>0</v>
      </c>
      <c r="L578" s="9">
        <v>0</v>
      </c>
      <c r="M578" s="9">
        <v>0</v>
      </c>
      <c r="N578" s="9">
        <v>0</v>
      </c>
      <c r="O578" s="9">
        <v>0</v>
      </c>
      <c r="P578" s="9">
        <v>0</v>
      </c>
      <c r="Q578" s="9">
        <f>MAX(-20,MIN(10,$A578-VLOOKUP(YEAR($A578),'Festive dates'!$A$2:$J$5,8,FALSE)))</f>
        <v>-3</v>
      </c>
      <c r="R578" s="9">
        <f>IF(AND($A578&gt;VLOOKUP(YEAR($A578),'Festive dates'!$A$2:$J$5,2,FALSE),$A578&lt;VLOOKUP(YEAR($A578),'Festive dates'!$A$2:$J$5,3,FALSE)),1,0)</f>
        <v>0</v>
      </c>
      <c r="S578" s="9">
        <f>IF($A578=VLOOKUP(YEAR($A578),'Festive dates'!$A$2:$J$5,2,FALSE),1,0)</f>
        <v>0</v>
      </c>
      <c r="T578" s="9">
        <f>IF($A578=VLOOKUP(YEAR($A578),'Festive dates'!$A$2:$J$5,3,FALSE),1,0)</f>
        <v>0</v>
      </c>
      <c r="U578" s="9">
        <f>IF($A578=VLOOKUP(YEAR($A578),'Festive dates'!$A$2:$J$5,4,FALSE),1,0)</f>
        <v>0</v>
      </c>
      <c r="V578" s="9">
        <f>IF(AND($A578&gt;=VLOOKUP(YEAR($A578),'Festive dates'!$A$2:$J$5,9,FALSE),$A578&lt;=VLOOKUP(YEAR($A578),'Festive dates'!$A$2:$J$5,10,FALSE)),1,0)</f>
        <v>0</v>
      </c>
      <c r="W578" s="9">
        <f>IF($A578=VLOOKUP(YEAR($A578),'Festive dates'!$A$2:$J$5,7,FALSE),1,0)</f>
        <v>0</v>
      </c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</row>
    <row r="579" spans="1:51">
      <c r="A579" s="8">
        <v>45594</v>
      </c>
      <c r="B579" s="9">
        <v>0</v>
      </c>
      <c r="C579" s="9">
        <v>0</v>
      </c>
      <c r="D579" s="9">
        <v>0</v>
      </c>
      <c r="E579" s="9">
        <v>0</v>
      </c>
      <c r="F579" s="9">
        <v>0</v>
      </c>
      <c r="G579" s="9">
        <v>0</v>
      </c>
      <c r="H579" s="9">
        <v>0</v>
      </c>
      <c r="I579" s="9">
        <v>0</v>
      </c>
      <c r="J579" s="9">
        <v>0</v>
      </c>
      <c r="K579" s="9">
        <v>0</v>
      </c>
      <c r="L579" s="9">
        <v>0</v>
      </c>
      <c r="M579" s="9">
        <v>0</v>
      </c>
      <c r="N579" s="9">
        <v>0</v>
      </c>
      <c r="O579" s="9">
        <v>0</v>
      </c>
      <c r="P579" s="9">
        <v>0</v>
      </c>
      <c r="Q579" s="9">
        <f>MAX(-20,MIN(10,$A579-VLOOKUP(YEAR($A579),'Festive dates'!$A$2:$J$5,8,FALSE)))</f>
        <v>-2</v>
      </c>
      <c r="R579" s="9">
        <f>IF(AND($A579&gt;VLOOKUP(YEAR($A579),'Festive dates'!$A$2:$J$5,2,FALSE),$A579&lt;VLOOKUP(YEAR($A579),'Festive dates'!$A$2:$J$5,3,FALSE)),1,0)</f>
        <v>0</v>
      </c>
      <c r="S579" s="9">
        <f>IF($A579=VLOOKUP(YEAR($A579),'Festive dates'!$A$2:$J$5,2,FALSE),1,0)</f>
        <v>0</v>
      </c>
      <c r="T579" s="9">
        <f>IF($A579=VLOOKUP(YEAR($A579),'Festive dates'!$A$2:$J$5,3,FALSE),1,0)</f>
        <v>0</v>
      </c>
      <c r="U579" s="9">
        <f>IF($A579=VLOOKUP(YEAR($A579),'Festive dates'!$A$2:$J$5,4,FALSE),1,0)</f>
        <v>0</v>
      </c>
      <c r="V579" s="9">
        <f>IF(AND($A579&gt;=VLOOKUP(YEAR($A579),'Festive dates'!$A$2:$J$5,9,FALSE),$A579&lt;=VLOOKUP(YEAR($A579),'Festive dates'!$A$2:$J$5,10,FALSE)),1,0)</f>
        <v>0</v>
      </c>
      <c r="W579" s="9">
        <f>IF($A579=VLOOKUP(YEAR($A579),'Festive dates'!$A$2:$J$5,7,FALSE),1,0)</f>
        <v>1</v>
      </c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</row>
    <row r="580" spans="1:51">
      <c r="A580" s="8">
        <v>45595</v>
      </c>
      <c r="B580" s="9">
        <v>0</v>
      </c>
      <c r="C580" s="9">
        <v>0</v>
      </c>
      <c r="D580" s="9">
        <v>0</v>
      </c>
      <c r="E580" s="9">
        <v>0</v>
      </c>
      <c r="F580" s="9">
        <v>0</v>
      </c>
      <c r="G580" s="9">
        <v>0</v>
      </c>
      <c r="H580" s="9">
        <v>0</v>
      </c>
      <c r="I580" s="9">
        <v>0</v>
      </c>
      <c r="J580" s="9">
        <v>0</v>
      </c>
      <c r="K580" s="9">
        <v>0</v>
      </c>
      <c r="L580" s="9">
        <v>0</v>
      </c>
      <c r="M580" s="9">
        <v>0</v>
      </c>
      <c r="N580" s="9">
        <v>0</v>
      </c>
      <c r="O580" s="9">
        <v>0</v>
      </c>
      <c r="P580" s="9">
        <v>0</v>
      </c>
      <c r="Q580" s="9">
        <f>MAX(-20,MIN(10,$A580-VLOOKUP(YEAR($A580),'Festive dates'!$A$2:$J$5,8,FALSE)))</f>
        <v>-1</v>
      </c>
      <c r="R580" s="9">
        <f>IF(AND($A580&gt;VLOOKUP(YEAR($A580),'Festive dates'!$A$2:$J$5,2,FALSE),$A580&lt;VLOOKUP(YEAR($A580),'Festive dates'!$A$2:$J$5,3,FALSE)),1,0)</f>
        <v>0</v>
      </c>
      <c r="S580" s="9">
        <f>IF($A580=VLOOKUP(YEAR($A580),'Festive dates'!$A$2:$J$5,2,FALSE),1,0)</f>
        <v>0</v>
      </c>
      <c r="T580" s="9">
        <f>IF($A580=VLOOKUP(YEAR($A580),'Festive dates'!$A$2:$J$5,3,FALSE),1,0)</f>
        <v>0</v>
      </c>
      <c r="U580" s="9">
        <f>IF($A580=VLOOKUP(YEAR($A580),'Festive dates'!$A$2:$J$5,4,FALSE),1,0)</f>
        <v>0</v>
      </c>
      <c r="V580" s="9">
        <f>IF(AND($A580&gt;=VLOOKUP(YEAR($A580),'Festive dates'!$A$2:$J$5,9,FALSE),$A580&lt;=VLOOKUP(YEAR($A580),'Festive dates'!$A$2:$J$5,10,FALSE)),1,0)</f>
        <v>0</v>
      </c>
      <c r="W580" s="9">
        <f>IF($A580=VLOOKUP(YEAR($A580),'Festive dates'!$A$2:$J$5,7,FALSE),1,0)</f>
        <v>0</v>
      </c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</row>
    <row r="581" spans="1:51">
      <c r="A581" s="8">
        <v>45596</v>
      </c>
      <c r="B581" s="9">
        <v>0</v>
      </c>
      <c r="C581" s="9">
        <v>0</v>
      </c>
      <c r="D581" s="9">
        <v>0</v>
      </c>
      <c r="E581" s="9">
        <v>0</v>
      </c>
      <c r="F581" s="9">
        <v>0</v>
      </c>
      <c r="G581" s="9">
        <v>0</v>
      </c>
      <c r="H581" s="9">
        <v>0</v>
      </c>
      <c r="I581" s="9">
        <v>0</v>
      </c>
      <c r="J581" s="9">
        <v>0</v>
      </c>
      <c r="K581" s="9">
        <v>0</v>
      </c>
      <c r="L581" s="9">
        <v>0</v>
      </c>
      <c r="M581" s="9">
        <v>0</v>
      </c>
      <c r="N581" s="9">
        <v>0</v>
      </c>
      <c r="O581" s="9">
        <v>0</v>
      </c>
      <c r="P581" s="9">
        <v>0</v>
      </c>
      <c r="Q581" s="9">
        <f>MAX(-20,MIN(10,$A581-VLOOKUP(YEAR($A581),'Festive dates'!$A$2:$J$5,8,FALSE)))</f>
        <v>0</v>
      </c>
      <c r="R581" s="9">
        <f>IF(AND($A581&gt;VLOOKUP(YEAR($A581),'Festive dates'!$A$2:$J$5,2,FALSE),$A581&lt;VLOOKUP(YEAR($A581),'Festive dates'!$A$2:$J$5,3,FALSE)),1,0)</f>
        <v>0</v>
      </c>
      <c r="S581" s="9">
        <f>IF($A581=VLOOKUP(YEAR($A581),'Festive dates'!$A$2:$J$5,2,FALSE),1,0)</f>
        <v>0</v>
      </c>
      <c r="T581" s="9">
        <f>IF($A581=VLOOKUP(YEAR($A581),'Festive dates'!$A$2:$J$5,3,FALSE),1,0)</f>
        <v>0</v>
      </c>
      <c r="U581" s="9">
        <f>IF($A581=VLOOKUP(YEAR($A581),'Festive dates'!$A$2:$J$5,4,FALSE),1,0)</f>
        <v>0</v>
      </c>
      <c r="V581" s="9">
        <f>IF(AND($A581&gt;=VLOOKUP(YEAR($A581),'Festive dates'!$A$2:$J$5,9,FALSE),$A581&lt;=VLOOKUP(YEAR($A581),'Festive dates'!$A$2:$J$5,10,FALSE)),1,0)</f>
        <v>0</v>
      </c>
      <c r="W581" s="9">
        <f>IF($A581=VLOOKUP(YEAR($A581),'Festive dates'!$A$2:$J$5,7,FALSE),1,0)</f>
        <v>0</v>
      </c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</row>
    <row r="582" spans="1:51">
      <c r="A582" s="8">
        <v>45597</v>
      </c>
      <c r="B582" s="9">
        <v>0</v>
      </c>
      <c r="C582" s="9">
        <v>0</v>
      </c>
      <c r="D582" s="9">
        <v>0</v>
      </c>
      <c r="E582" s="9">
        <v>0</v>
      </c>
      <c r="F582" s="9">
        <v>0</v>
      </c>
      <c r="G582" s="9">
        <v>0</v>
      </c>
      <c r="H582" s="9">
        <v>0</v>
      </c>
      <c r="I582" s="9">
        <v>0</v>
      </c>
      <c r="J582" s="9">
        <v>0</v>
      </c>
      <c r="K582" s="9">
        <v>0</v>
      </c>
      <c r="L582" s="9">
        <v>0</v>
      </c>
      <c r="M582" s="9">
        <v>0</v>
      </c>
      <c r="N582" s="9">
        <v>0</v>
      </c>
      <c r="O582" s="9">
        <v>0</v>
      </c>
      <c r="P582" s="9">
        <v>0</v>
      </c>
      <c r="Q582" s="9">
        <f>MAX(-20,MIN(10,$A582-VLOOKUP(YEAR($A582),'Festive dates'!$A$2:$J$5,8,FALSE)))</f>
        <v>1</v>
      </c>
      <c r="R582" s="9">
        <f>IF(AND($A582&gt;VLOOKUP(YEAR($A582),'Festive dates'!$A$2:$J$5,2,FALSE),$A582&lt;VLOOKUP(YEAR($A582),'Festive dates'!$A$2:$J$5,3,FALSE)),1,0)</f>
        <v>0</v>
      </c>
      <c r="S582" s="9">
        <f>IF($A582=VLOOKUP(YEAR($A582),'Festive dates'!$A$2:$J$5,2,FALSE),1,0)</f>
        <v>0</v>
      </c>
      <c r="T582" s="9">
        <f>IF($A582=VLOOKUP(YEAR($A582),'Festive dates'!$A$2:$J$5,3,FALSE),1,0)</f>
        <v>0</v>
      </c>
      <c r="U582" s="9">
        <f>IF($A582=VLOOKUP(YEAR($A582),'Festive dates'!$A$2:$J$5,4,FALSE),1,0)</f>
        <v>0</v>
      </c>
      <c r="V582" s="9">
        <f>IF(AND($A582&gt;=VLOOKUP(YEAR($A582),'Festive dates'!$A$2:$J$5,9,FALSE),$A582&lt;=VLOOKUP(YEAR($A582),'Festive dates'!$A$2:$J$5,10,FALSE)),1,0)</f>
        <v>0</v>
      </c>
      <c r="W582" s="9">
        <f>IF($A582=VLOOKUP(YEAR($A582),'Festive dates'!$A$2:$J$5,7,FALSE),1,0)</f>
        <v>0</v>
      </c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</row>
    <row r="583" spans="1:51">
      <c r="A583" s="8">
        <v>45598</v>
      </c>
      <c r="B583" s="9">
        <v>0</v>
      </c>
      <c r="C583" s="9">
        <v>0</v>
      </c>
      <c r="D583" s="9">
        <v>0</v>
      </c>
      <c r="E583" s="9">
        <v>0</v>
      </c>
      <c r="F583" s="9">
        <v>0</v>
      </c>
      <c r="G583" s="9">
        <v>0</v>
      </c>
      <c r="H583" s="9">
        <v>0</v>
      </c>
      <c r="I583" s="9">
        <v>0</v>
      </c>
      <c r="J583" s="9">
        <v>0</v>
      </c>
      <c r="K583" s="9">
        <v>0</v>
      </c>
      <c r="L583" s="9">
        <v>0</v>
      </c>
      <c r="M583" s="9">
        <v>0</v>
      </c>
      <c r="N583" s="9">
        <v>0</v>
      </c>
      <c r="O583" s="9">
        <v>0</v>
      </c>
      <c r="P583" s="9">
        <v>0</v>
      </c>
      <c r="Q583" s="9">
        <f>MAX(-20,MIN(10,$A583-VLOOKUP(YEAR($A583),'Festive dates'!$A$2:$J$5,8,FALSE)))</f>
        <v>2</v>
      </c>
      <c r="R583" s="9">
        <f>IF(AND($A583&gt;VLOOKUP(YEAR($A583),'Festive dates'!$A$2:$J$5,2,FALSE),$A583&lt;VLOOKUP(YEAR($A583),'Festive dates'!$A$2:$J$5,3,FALSE)),1,0)</f>
        <v>0</v>
      </c>
      <c r="S583" s="9">
        <f>IF($A583=VLOOKUP(YEAR($A583),'Festive dates'!$A$2:$J$5,2,FALSE),1,0)</f>
        <v>0</v>
      </c>
      <c r="T583" s="9">
        <f>IF($A583=VLOOKUP(YEAR($A583),'Festive dates'!$A$2:$J$5,3,FALSE),1,0)</f>
        <v>0</v>
      </c>
      <c r="U583" s="9">
        <f>IF($A583=VLOOKUP(YEAR($A583),'Festive dates'!$A$2:$J$5,4,FALSE),1,0)</f>
        <v>0</v>
      </c>
      <c r="V583" s="9">
        <f>IF(AND($A583&gt;=VLOOKUP(YEAR($A583),'Festive dates'!$A$2:$J$5,9,FALSE),$A583&lt;=VLOOKUP(YEAR($A583),'Festive dates'!$A$2:$J$5,10,FALSE)),1,0)</f>
        <v>0</v>
      </c>
      <c r="W583" s="9">
        <f>IF($A583=VLOOKUP(YEAR($A583),'Festive dates'!$A$2:$J$5,7,FALSE),1,0)</f>
        <v>0</v>
      </c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</row>
    <row r="584" spans="1:51">
      <c r="A584" s="8">
        <v>45599</v>
      </c>
      <c r="B584" s="9">
        <v>0</v>
      </c>
      <c r="C584" s="9">
        <v>0</v>
      </c>
      <c r="D584" s="9">
        <v>0</v>
      </c>
      <c r="E584" s="9">
        <v>0</v>
      </c>
      <c r="F584" s="9">
        <v>0</v>
      </c>
      <c r="G584" s="9">
        <v>0</v>
      </c>
      <c r="H584" s="9">
        <v>0</v>
      </c>
      <c r="I584" s="9">
        <v>0</v>
      </c>
      <c r="J584" s="9">
        <v>0</v>
      </c>
      <c r="K584" s="9">
        <v>0</v>
      </c>
      <c r="L584" s="9">
        <v>0</v>
      </c>
      <c r="M584" s="9">
        <v>0</v>
      </c>
      <c r="N584" s="9">
        <v>0</v>
      </c>
      <c r="O584" s="9">
        <v>0</v>
      </c>
      <c r="P584" s="9">
        <v>0</v>
      </c>
      <c r="Q584" s="9">
        <f>MAX(-20,MIN(10,$A584-VLOOKUP(YEAR($A584),'Festive dates'!$A$2:$J$5,8,FALSE)))</f>
        <v>3</v>
      </c>
      <c r="R584" s="9">
        <f>IF(AND($A584&gt;VLOOKUP(YEAR($A584),'Festive dates'!$A$2:$J$5,2,FALSE),$A584&lt;VLOOKUP(YEAR($A584),'Festive dates'!$A$2:$J$5,3,FALSE)),1,0)</f>
        <v>0</v>
      </c>
      <c r="S584" s="9">
        <f>IF($A584=VLOOKUP(YEAR($A584),'Festive dates'!$A$2:$J$5,2,FALSE),1,0)</f>
        <v>0</v>
      </c>
      <c r="T584" s="9">
        <f>IF($A584=VLOOKUP(YEAR($A584),'Festive dates'!$A$2:$J$5,3,FALSE),1,0)</f>
        <v>0</v>
      </c>
      <c r="U584" s="9">
        <f>IF($A584=VLOOKUP(YEAR($A584),'Festive dates'!$A$2:$J$5,4,FALSE),1,0)</f>
        <v>0</v>
      </c>
      <c r="V584" s="9">
        <f>IF(AND($A584&gt;=VLOOKUP(YEAR($A584),'Festive dates'!$A$2:$J$5,9,FALSE),$A584&lt;=VLOOKUP(YEAR($A584),'Festive dates'!$A$2:$J$5,10,FALSE)),1,0)</f>
        <v>0</v>
      </c>
      <c r="W584" s="9">
        <f>IF($A584=VLOOKUP(YEAR($A584),'Festive dates'!$A$2:$J$5,7,FALSE),1,0)</f>
        <v>0</v>
      </c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</row>
    <row r="585" spans="1:51">
      <c r="A585" s="8">
        <v>45600</v>
      </c>
      <c r="B585" s="9">
        <v>0</v>
      </c>
      <c r="C585" s="9">
        <v>0</v>
      </c>
      <c r="D585" s="9">
        <v>0</v>
      </c>
      <c r="E585" s="9">
        <v>0</v>
      </c>
      <c r="F585" s="9">
        <v>0</v>
      </c>
      <c r="G585" s="9">
        <v>0</v>
      </c>
      <c r="H585" s="9">
        <v>0</v>
      </c>
      <c r="I585" s="9">
        <v>0</v>
      </c>
      <c r="J585" s="9">
        <v>0</v>
      </c>
      <c r="K585" s="9">
        <v>0</v>
      </c>
      <c r="L585" s="9">
        <v>0</v>
      </c>
      <c r="M585" s="9">
        <v>0</v>
      </c>
      <c r="N585" s="9">
        <v>0</v>
      </c>
      <c r="O585" s="9">
        <v>0</v>
      </c>
      <c r="P585" s="9">
        <v>0</v>
      </c>
      <c r="Q585" s="9">
        <f>MAX(-20,MIN(10,$A585-VLOOKUP(YEAR($A585),'Festive dates'!$A$2:$J$5,8,FALSE)))</f>
        <v>4</v>
      </c>
      <c r="R585" s="9">
        <f>IF(AND($A585&gt;VLOOKUP(YEAR($A585),'Festive dates'!$A$2:$J$5,2,FALSE),$A585&lt;VLOOKUP(YEAR($A585),'Festive dates'!$A$2:$J$5,3,FALSE)),1,0)</f>
        <v>0</v>
      </c>
      <c r="S585" s="9">
        <f>IF($A585=VLOOKUP(YEAR($A585),'Festive dates'!$A$2:$J$5,2,FALSE),1,0)</f>
        <v>0</v>
      </c>
      <c r="T585" s="9">
        <f>IF($A585=VLOOKUP(YEAR($A585),'Festive dates'!$A$2:$J$5,3,FALSE),1,0)</f>
        <v>0</v>
      </c>
      <c r="U585" s="9">
        <f>IF($A585=VLOOKUP(YEAR($A585),'Festive dates'!$A$2:$J$5,4,FALSE),1,0)</f>
        <v>0</v>
      </c>
      <c r="V585" s="9">
        <f>IF(AND($A585&gt;=VLOOKUP(YEAR($A585),'Festive dates'!$A$2:$J$5,9,FALSE),$A585&lt;=VLOOKUP(YEAR($A585),'Festive dates'!$A$2:$J$5,10,FALSE)),1,0)</f>
        <v>0</v>
      </c>
      <c r="W585" s="9">
        <f>IF($A585=VLOOKUP(YEAR($A585),'Festive dates'!$A$2:$J$5,7,FALSE),1,0)</f>
        <v>0</v>
      </c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</row>
    <row r="586" spans="1:51">
      <c r="A586" s="8">
        <v>45601</v>
      </c>
      <c r="B586" s="9">
        <v>0</v>
      </c>
      <c r="C586" s="9">
        <v>0</v>
      </c>
      <c r="D586" s="9">
        <v>0</v>
      </c>
      <c r="E586" s="9">
        <v>0</v>
      </c>
      <c r="F586" s="9">
        <v>0</v>
      </c>
      <c r="G586" s="9">
        <v>0</v>
      </c>
      <c r="H586" s="9">
        <v>0</v>
      </c>
      <c r="I586" s="9">
        <v>0</v>
      </c>
      <c r="J586" s="9">
        <v>0</v>
      </c>
      <c r="K586" s="9">
        <v>0</v>
      </c>
      <c r="L586" s="9">
        <v>0</v>
      </c>
      <c r="M586" s="9">
        <v>0</v>
      </c>
      <c r="N586" s="9">
        <v>0</v>
      </c>
      <c r="O586" s="9">
        <v>0</v>
      </c>
      <c r="P586" s="9">
        <v>1</v>
      </c>
      <c r="Q586" s="9">
        <f>MAX(-20,MIN(10,$A586-VLOOKUP(YEAR($A586),'Festive dates'!$A$2:$J$5,8,FALSE)))</f>
        <v>5</v>
      </c>
      <c r="R586" s="9">
        <f>IF(AND($A586&gt;VLOOKUP(YEAR($A586),'Festive dates'!$A$2:$J$5,2,FALSE),$A586&lt;VLOOKUP(YEAR($A586),'Festive dates'!$A$2:$J$5,3,FALSE)),1,0)</f>
        <v>0</v>
      </c>
      <c r="S586" s="9">
        <f>IF($A586=VLOOKUP(YEAR($A586),'Festive dates'!$A$2:$J$5,2,FALSE),1,0)</f>
        <v>0</v>
      </c>
      <c r="T586" s="9">
        <f>IF($A586=VLOOKUP(YEAR($A586),'Festive dates'!$A$2:$J$5,3,FALSE),1,0)</f>
        <v>0</v>
      </c>
      <c r="U586" s="9">
        <f>IF($A586=VLOOKUP(YEAR($A586),'Festive dates'!$A$2:$J$5,4,FALSE),1,0)</f>
        <v>0</v>
      </c>
      <c r="V586" s="9">
        <f>IF(AND($A586&gt;=VLOOKUP(YEAR($A586),'Festive dates'!$A$2:$J$5,9,FALSE),$A586&lt;=VLOOKUP(YEAR($A586),'Festive dates'!$A$2:$J$5,10,FALSE)),1,0)</f>
        <v>0</v>
      </c>
      <c r="W586" s="9">
        <f>IF($A586=VLOOKUP(YEAR($A586),'Festive dates'!$A$2:$J$5,7,FALSE),1,0)</f>
        <v>0</v>
      </c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</row>
    <row r="587" spans="1:51">
      <c r="A587" s="8">
        <v>45602</v>
      </c>
      <c r="B587" s="9">
        <v>0</v>
      </c>
      <c r="C587" s="9">
        <v>0</v>
      </c>
      <c r="D587" s="9">
        <v>0</v>
      </c>
      <c r="E587" s="9">
        <v>0</v>
      </c>
      <c r="F587" s="9">
        <v>0</v>
      </c>
      <c r="G587" s="9">
        <v>0</v>
      </c>
      <c r="H587" s="9">
        <v>0</v>
      </c>
      <c r="I587" s="9">
        <v>0</v>
      </c>
      <c r="J587" s="9">
        <v>0</v>
      </c>
      <c r="K587" s="9">
        <v>0</v>
      </c>
      <c r="L587" s="9">
        <v>0</v>
      </c>
      <c r="M587" s="9">
        <v>0</v>
      </c>
      <c r="N587" s="9">
        <v>0</v>
      </c>
      <c r="O587" s="9">
        <v>0</v>
      </c>
      <c r="P587" s="9">
        <v>1</v>
      </c>
      <c r="Q587" s="9">
        <f>MAX(-20,MIN(10,$A587-VLOOKUP(YEAR($A587),'Festive dates'!$A$2:$J$5,8,FALSE)))</f>
        <v>6</v>
      </c>
      <c r="R587" s="9">
        <f>IF(AND($A587&gt;VLOOKUP(YEAR($A587),'Festive dates'!$A$2:$J$5,2,FALSE),$A587&lt;VLOOKUP(YEAR($A587),'Festive dates'!$A$2:$J$5,3,FALSE)),1,0)</f>
        <v>0</v>
      </c>
      <c r="S587" s="9">
        <f>IF($A587=VLOOKUP(YEAR($A587),'Festive dates'!$A$2:$J$5,2,FALSE),1,0)</f>
        <v>0</v>
      </c>
      <c r="T587" s="9">
        <f>IF($A587=VLOOKUP(YEAR($A587),'Festive dates'!$A$2:$J$5,3,FALSE),1,0)</f>
        <v>0</v>
      </c>
      <c r="U587" s="9">
        <f>IF($A587=VLOOKUP(YEAR($A587),'Festive dates'!$A$2:$J$5,4,FALSE),1,0)</f>
        <v>0</v>
      </c>
      <c r="V587" s="9">
        <f>IF(AND($A587&gt;=VLOOKUP(YEAR($A587),'Festive dates'!$A$2:$J$5,9,FALSE),$A587&lt;=VLOOKUP(YEAR($A587),'Festive dates'!$A$2:$J$5,10,FALSE)),1,0)</f>
        <v>0</v>
      </c>
      <c r="W587" s="9">
        <f>IF($A587=VLOOKUP(YEAR($A587),'Festive dates'!$A$2:$J$5,7,FALSE),1,0)</f>
        <v>0</v>
      </c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</row>
    <row r="588" spans="1:51">
      <c r="A588" s="8">
        <v>45603</v>
      </c>
      <c r="B588" s="9">
        <v>0</v>
      </c>
      <c r="C588" s="9">
        <v>0</v>
      </c>
      <c r="D588" s="9">
        <v>0</v>
      </c>
      <c r="E588" s="9">
        <v>0</v>
      </c>
      <c r="F588" s="9">
        <v>0</v>
      </c>
      <c r="G588" s="9">
        <v>0</v>
      </c>
      <c r="H588" s="9">
        <v>0</v>
      </c>
      <c r="I588" s="9">
        <v>0</v>
      </c>
      <c r="J588" s="9">
        <v>0</v>
      </c>
      <c r="K588" s="9">
        <v>0</v>
      </c>
      <c r="L588" s="9">
        <v>0</v>
      </c>
      <c r="M588" s="9">
        <v>0</v>
      </c>
      <c r="N588" s="9">
        <v>0</v>
      </c>
      <c r="O588" s="9">
        <v>0</v>
      </c>
      <c r="P588" s="9">
        <v>0</v>
      </c>
      <c r="Q588" s="9">
        <f>MAX(-20,MIN(10,$A588-VLOOKUP(YEAR($A588),'Festive dates'!$A$2:$J$5,8,FALSE)))</f>
        <v>7</v>
      </c>
      <c r="R588" s="9">
        <f>IF(AND($A588&gt;VLOOKUP(YEAR($A588),'Festive dates'!$A$2:$J$5,2,FALSE),$A588&lt;VLOOKUP(YEAR($A588),'Festive dates'!$A$2:$J$5,3,FALSE)),1,0)</f>
        <v>0</v>
      </c>
      <c r="S588" s="9">
        <f>IF($A588=VLOOKUP(YEAR($A588),'Festive dates'!$A$2:$J$5,2,FALSE),1,0)</f>
        <v>0</v>
      </c>
      <c r="T588" s="9">
        <f>IF($A588=VLOOKUP(YEAR($A588),'Festive dates'!$A$2:$J$5,3,FALSE),1,0)</f>
        <v>0</v>
      </c>
      <c r="U588" s="9">
        <f>IF($A588=VLOOKUP(YEAR($A588),'Festive dates'!$A$2:$J$5,4,FALSE),1,0)</f>
        <v>0</v>
      </c>
      <c r="V588" s="9">
        <f>IF(AND($A588&gt;=VLOOKUP(YEAR($A588),'Festive dates'!$A$2:$J$5,9,FALSE),$A588&lt;=VLOOKUP(YEAR($A588),'Festive dates'!$A$2:$J$5,10,FALSE)),1,0)</f>
        <v>0</v>
      </c>
      <c r="W588" s="9">
        <f>IF($A588=VLOOKUP(YEAR($A588),'Festive dates'!$A$2:$J$5,7,FALSE),1,0)</f>
        <v>0</v>
      </c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</row>
    <row r="589" spans="1:51">
      <c r="A589" s="8">
        <v>45604</v>
      </c>
      <c r="B589" s="9">
        <v>0</v>
      </c>
      <c r="C589" s="9">
        <v>0</v>
      </c>
      <c r="D589" s="9">
        <v>0</v>
      </c>
      <c r="E589" s="9">
        <v>0</v>
      </c>
      <c r="F589" s="9">
        <v>0</v>
      </c>
      <c r="G589" s="9">
        <v>0</v>
      </c>
      <c r="H589" s="9">
        <v>0</v>
      </c>
      <c r="I589" s="9">
        <v>0</v>
      </c>
      <c r="J589" s="9">
        <v>0</v>
      </c>
      <c r="K589" s="9">
        <v>0</v>
      </c>
      <c r="L589" s="9">
        <v>0</v>
      </c>
      <c r="M589" s="9">
        <v>0</v>
      </c>
      <c r="N589" s="9">
        <v>0</v>
      </c>
      <c r="O589" s="9">
        <v>0</v>
      </c>
      <c r="P589" s="9">
        <v>0</v>
      </c>
      <c r="Q589" s="9">
        <f>MAX(-20,MIN(10,$A589-VLOOKUP(YEAR($A589),'Festive dates'!$A$2:$J$5,8,FALSE)))</f>
        <v>8</v>
      </c>
      <c r="R589" s="9">
        <f>IF(AND($A589&gt;VLOOKUP(YEAR($A589),'Festive dates'!$A$2:$J$5,2,FALSE),$A589&lt;VLOOKUP(YEAR($A589),'Festive dates'!$A$2:$J$5,3,FALSE)),1,0)</f>
        <v>0</v>
      </c>
      <c r="S589" s="9">
        <f>IF($A589=VLOOKUP(YEAR($A589),'Festive dates'!$A$2:$J$5,2,FALSE),1,0)</f>
        <v>0</v>
      </c>
      <c r="T589" s="9">
        <f>IF($A589=VLOOKUP(YEAR($A589),'Festive dates'!$A$2:$J$5,3,FALSE),1,0)</f>
        <v>0</v>
      </c>
      <c r="U589" s="9">
        <f>IF($A589=VLOOKUP(YEAR($A589),'Festive dates'!$A$2:$J$5,4,FALSE),1,0)</f>
        <v>0</v>
      </c>
      <c r="V589" s="9">
        <f>IF(AND($A589&gt;=VLOOKUP(YEAR($A589),'Festive dates'!$A$2:$J$5,9,FALSE),$A589&lt;=VLOOKUP(YEAR($A589),'Festive dates'!$A$2:$J$5,10,FALSE)),1,0)</f>
        <v>0</v>
      </c>
      <c r="W589" s="9">
        <f>IF($A589=VLOOKUP(YEAR($A589),'Festive dates'!$A$2:$J$5,7,FALSE),1,0)</f>
        <v>0</v>
      </c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</row>
    <row r="590" spans="1:51">
      <c r="A590" s="8">
        <v>45605</v>
      </c>
      <c r="B590" s="9">
        <v>0</v>
      </c>
      <c r="C590" s="9">
        <v>0</v>
      </c>
      <c r="D590" s="9">
        <v>0</v>
      </c>
      <c r="E590" s="9">
        <v>0</v>
      </c>
      <c r="F590" s="9">
        <v>0</v>
      </c>
      <c r="G590" s="9">
        <v>0</v>
      </c>
      <c r="H590" s="9">
        <v>0</v>
      </c>
      <c r="I590" s="9">
        <v>0</v>
      </c>
      <c r="J590" s="9">
        <v>0</v>
      </c>
      <c r="K590" s="9">
        <v>0</v>
      </c>
      <c r="L590" s="9">
        <v>0</v>
      </c>
      <c r="M590" s="9">
        <v>0</v>
      </c>
      <c r="N590" s="9">
        <v>0</v>
      </c>
      <c r="O590" s="9">
        <v>0</v>
      </c>
      <c r="P590" s="9">
        <v>1</v>
      </c>
      <c r="Q590" s="9">
        <f>MAX(-20,MIN(10,$A590-VLOOKUP(YEAR($A590),'Festive dates'!$A$2:$J$5,8,FALSE)))</f>
        <v>9</v>
      </c>
      <c r="R590" s="9">
        <f>IF(AND($A590&gt;VLOOKUP(YEAR($A590),'Festive dates'!$A$2:$J$5,2,FALSE),$A590&lt;VLOOKUP(YEAR($A590),'Festive dates'!$A$2:$J$5,3,FALSE)),1,0)</f>
        <v>0</v>
      </c>
      <c r="S590" s="9">
        <f>IF($A590=VLOOKUP(YEAR($A590),'Festive dates'!$A$2:$J$5,2,FALSE),1,0)</f>
        <v>0</v>
      </c>
      <c r="T590" s="9">
        <f>IF($A590=VLOOKUP(YEAR($A590),'Festive dates'!$A$2:$J$5,3,FALSE),1,0)</f>
        <v>0</v>
      </c>
      <c r="U590" s="9">
        <f>IF($A590=VLOOKUP(YEAR($A590),'Festive dates'!$A$2:$J$5,4,FALSE),1,0)</f>
        <v>0</v>
      </c>
      <c r="V590" s="9">
        <f>IF(AND($A590&gt;=VLOOKUP(YEAR($A590),'Festive dates'!$A$2:$J$5,9,FALSE),$A590&lt;=VLOOKUP(YEAR($A590),'Festive dates'!$A$2:$J$5,10,FALSE)),1,0)</f>
        <v>0</v>
      </c>
      <c r="W590" s="9">
        <f>IF($A590=VLOOKUP(YEAR($A590),'Festive dates'!$A$2:$J$5,7,FALSE),1,0)</f>
        <v>0</v>
      </c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</row>
    <row r="591" spans="1:51">
      <c r="A591" s="8">
        <v>45606</v>
      </c>
      <c r="B591" s="9">
        <v>0</v>
      </c>
      <c r="C591" s="9">
        <v>0</v>
      </c>
      <c r="D591" s="9">
        <v>0</v>
      </c>
      <c r="E591" s="9">
        <v>0</v>
      </c>
      <c r="F591" s="9">
        <v>0</v>
      </c>
      <c r="G591" s="9">
        <v>0</v>
      </c>
      <c r="H591" s="9">
        <v>0</v>
      </c>
      <c r="I591" s="9">
        <v>0</v>
      </c>
      <c r="J591" s="9">
        <v>0</v>
      </c>
      <c r="K591" s="9">
        <v>0</v>
      </c>
      <c r="L591" s="9">
        <v>0</v>
      </c>
      <c r="M591" s="9">
        <v>0</v>
      </c>
      <c r="N591" s="9">
        <v>0</v>
      </c>
      <c r="O591" s="9">
        <v>0</v>
      </c>
      <c r="P591" s="9">
        <v>1</v>
      </c>
      <c r="Q591" s="9">
        <f>MAX(-20,MIN(10,$A591-VLOOKUP(YEAR($A591),'Festive dates'!$A$2:$J$5,8,FALSE)))</f>
        <v>10</v>
      </c>
      <c r="R591" s="9">
        <f>IF(AND($A591&gt;VLOOKUP(YEAR($A591),'Festive dates'!$A$2:$J$5,2,FALSE),$A591&lt;VLOOKUP(YEAR($A591),'Festive dates'!$A$2:$J$5,3,FALSE)),1,0)</f>
        <v>0</v>
      </c>
      <c r="S591" s="9">
        <f>IF($A591=VLOOKUP(YEAR($A591),'Festive dates'!$A$2:$J$5,2,FALSE),1,0)</f>
        <v>0</v>
      </c>
      <c r="T591" s="9">
        <f>IF($A591=VLOOKUP(YEAR($A591),'Festive dates'!$A$2:$J$5,3,FALSE),1,0)</f>
        <v>0</v>
      </c>
      <c r="U591" s="9">
        <f>IF($A591=VLOOKUP(YEAR($A591),'Festive dates'!$A$2:$J$5,4,FALSE),1,0)</f>
        <v>0</v>
      </c>
      <c r="V591" s="9">
        <f>IF(AND($A591&gt;=VLOOKUP(YEAR($A591),'Festive dates'!$A$2:$J$5,9,FALSE),$A591&lt;=VLOOKUP(YEAR($A591),'Festive dates'!$A$2:$J$5,10,FALSE)),1,0)</f>
        <v>0</v>
      </c>
      <c r="W591" s="9">
        <f>IF($A591=VLOOKUP(YEAR($A591),'Festive dates'!$A$2:$J$5,7,FALSE),1,0)</f>
        <v>0</v>
      </c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</row>
    <row r="592" spans="1:51">
      <c r="A592" s="8">
        <v>45607</v>
      </c>
      <c r="B592" s="9">
        <v>0</v>
      </c>
      <c r="C592" s="9">
        <v>0</v>
      </c>
      <c r="D592" s="9">
        <v>0</v>
      </c>
      <c r="E592" s="9">
        <v>0</v>
      </c>
      <c r="F592" s="9">
        <v>0</v>
      </c>
      <c r="G592" s="9">
        <v>0</v>
      </c>
      <c r="H592" s="9">
        <v>0</v>
      </c>
      <c r="I592" s="9">
        <v>0</v>
      </c>
      <c r="J592" s="9">
        <v>0</v>
      </c>
      <c r="K592" s="9">
        <v>0</v>
      </c>
      <c r="L592" s="9">
        <v>0</v>
      </c>
      <c r="M592" s="9">
        <v>0</v>
      </c>
      <c r="N592" s="9">
        <v>0</v>
      </c>
      <c r="O592" s="9">
        <v>0</v>
      </c>
      <c r="P592" s="9">
        <v>1</v>
      </c>
      <c r="Q592" s="9">
        <f>MAX(-20,MIN(10,$A592-VLOOKUP(YEAR($A592),'Festive dates'!$A$2:$J$5,8,FALSE)))</f>
        <v>10</v>
      </c>
      <c r="R592" s="9">
        <f>IF(AND($A592&gt;VLOOKUP(YEAR($A592),'Festive dates'!$A$2:$J$5,2,FALSE),$A592&lt;VLOOKUP(YEAR($A592),'Festive dates'!$A$2:$J$5,3,FALSE)),1,0)</f>
        <v>0</v>
      </c>
      <c r="S592" s="9">
        <f>IF($A592=VLOOKUP(YEAR($A592),'Festive dates'!$A$2:$J$5,2,FALSE),1,0)</f>
        <v>0</v>
      </c>
      <c r="T592" s="9">
        <f>IF($A592=VLOOKUP(YEAR($A592),'Festive dates'!$A$2:$J$5,3,FALSE),1,0)</f>
        <v>0</v>
      </c>
      <c r="U592" s="9">
        <f>IF($A592=VLOOKUP(YEAR($A592),'Festive dates'!$A$2:$J$5,4,FALSE),1,0)</f>
        <v>0</v>
      </c>
      <c r="V592" s="9">
        <f>IF(AND($A592&gt;=VLOOKUP(YEAR($A592),'Festive dates'!$A$2:$J$5,9,FALSE),$A592&lt;=VLOOKUP(YEAR($A592),'Festive dates'!$A$2:$J$5,10,FALSE)),1,0)</f>
        <v>0</v>
      </c>
      <c r="W592" s="9">
        <f>IF($A592=VLOOKUP(YEAR($A592),'Festive dates'!$A$2:$J$5,7,FALSE),1,0)</f>
        <v>0</v>
      </c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</row>
    <row r="593" spans="1:51">
      <c r="A593" s="8">
        <v>45608</v>
      </c>
      <c r="B593" s="9">
        <v>0</v>
      </c>
      <c r="C593" s="9">
        <v>0</v>
      </c>
      <c r="D593" s="9">
        <v>0</v>
      </c>
      <c r="E593" s="9">
        <v>0</v>
      </c>
      <c r="F593" s="9">
        <v>0</v>
      </c>
      <c r="G593" s="9">
        <v>0</v>
      </c>
      <c r="H593" s="9">
        <v>0</v>
      </c>
      <c r="I593" s="9">
        <v>0</v>
      </c>
      <c r="J593" s="9">
        <v>0</v>
      </c>
      <c r="K593" s="9">
        <v>0</v>
      </c>
      <c r="L593" s="9">
        <v>0</v>
      </c>
      <c r="M593" s="9">
        <v>0</v>
      </c>
      <c r="N593" s="9">
        <v>0</v>
      </c>
      <c r="O593" s="9">
        <v>0</v>
      </c>
      <c r="P593" s="9">
        <v>0</v>
      </c>
      <c r="Q593" s="9">
        <f>MAX(-20,MIN(10,$A593-VLOOKUP(YEAR($A593),'Festive dates'!$A$2:$J$5,8,FALSE)))</f>
        <v>10</v>
      </c>
      <c r="R593" s="9">
        <f>IF(AND($A593&gt;VLOOKUP(YEAR($A593),'Festive dates'!$A$2:$J$5,2,FALSE),$A593&lt;VLOOKUP(YEAR($A593),'Festive dates'!$A$2:$J$5,3,FALSE)),1,0)</f>
        <v>0</v>
      </c>
      <c r="S593" s="9">
        <f>IF($A593=VLOOKUP(YEAR($A593),'Festive dates'!$A$2:$J$5,2,FALSE),1,0)</f>
        <v>0</v>
      </c>
      <c r="T593" s="9">
        <f>IF($A593=VLOOKUP(YEAR($A593),'Festive dates'!$A$2:$J$5,3,FALSE),1,0)</f>
        <v>0</v>
      </c>
      <c r="U593" s="9">
        <f>IF($A593=VLOOKUP(YEAR($A593),'Festive dates'!$A$2:$J$5,4,FALSE),1,0)</f>
        <v>0</v>
      </c>
      <c r="V593" s="9">
        <f>IF(AND($A593&gt;=VLOOKUP(YEAR($A593),'Festive dates'!$A$2:$J$5,9,FALSE),$A593&lt;=VLOOKUP(YEAR($A593),'Festive dates'!$A$2:$J$5,10,FALSE)),1,0)</f>
        <v>0</v>
      </c>
      <c r="W593" s="9">
        <f>IF($A593=VLOOKUP(YEAR($A593),'Festive dates'!$A$2:$J$5,7,FALSE),1,0)</f>
        <v>0</v>
      </c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</row>
    <row r="594" spans="1:51">
      <c r="A594" s="8">
        <v>45609</v>
      </c>
      <c r="B594" s="9">
        <v>0</v>
      </c>
      <c r="C594" s="9">
        <v>0</v>
      </c>
      <c r="D594" s="9">
        <v>0</v>
      </c>
      <c r="E594" s="9">
        <v>0</v>
      </c>
      <c r="F594" s="9">
        <v>0</v>
      </c>
      <c r="G594" s="9">
        <v>0</v>
      </c>
      <c r="H594" s="9">
        <v>0</v>
      </c>
      <c r="I594" s="9">
        <v>0</v>
      </c>
      <c r="J594" s="9">
        <v>0</v>
      </c>
      <c r="K594" s="9">
        <v>0</v>
      </c>
      <c r="L594" s="9">
        <v>0</v>
      </c>
      <c r="M594" s="9">
        <v>0</v>
      </c>
      <c r="N594" s="9">
        <v>0</v>
      </c>
      <c r="O594" s="9">
        <v>0</v>
      </c>
      <c r="P594" s="9">
        <v>0</v>
      </c>
      <c r="Q594" s="9">
        <f>MAX(-20,MIN(10,$A594-VLOOKUP(YEAR($A594),'Festive dates'!$A$2:$J$5,8,FALSE)))</f>
        <v>10</v>
      </c>
      <c r="R594" s="9">
        <f>IF(AND($A594&gt;VLOOKUP(YEAR($A594),'Festive dates'!$A$2:$J$5,2,FALSE),$A594&lt;VLOOKUP(YEAR($A594),'Festive dates'!$A$2:$J$5,3,FALSE)),1,0)</f>
        <v>0</v>
      </c>
      <c r="S594" s="9">
        <f>IF($A594=VLOOKUP(YEAR($A594),'Festive dates'!$A$2:$J$5,2,FALSE),1,0)</f>
        <v>0</v>
      </c>
      <c r="T594" s="9">
        <f>IF($A594=VLOOKUP(YEAR($A594),'Festive dates'!$A$2:$J$5,3,FALSE),1,0)</f>
        <v>0</v>
      </c>
      <c r="U594" s="9">
        <f>IF($A594=VLOOKUP(YEAR($A594),'Festive dates'!$A$2:$J$5,4,FALSE),1,0)</f>
        <v>0</v>
      </c>
      <c r="V594" s="9">
        <f>IF(AND($A594&gt;=VLOOKUP(YEAR($A594),'Festive dates'!$A$2:$J$5,9,FALSE),$A594&lt;=VLOOKUP(YEAR($A594),'Festive dates'!$A$2:$J$5,10,FALSE)),1,0)</f>
        <v>0</v>
      </c>
      <c r="W594" s="9">
        <f>IF($A594=VLOOKUP(YEAR($A594),'Festive dates'!$A$2:$J$5,7,FALSE),1,0)</f>
        <v>0</v>
      </c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</row>
    <row r="595" spans="1:51">
      <c r="A595" s="8">
        <v>45610</v>
      </c>
      <c r="B595" s="9">
        <v>0</v>
      </c>
      <c r="C595" s="9">
        <v>0</v>
      </c>
      <c r="D595" s="9">
        <v>0</v>
      </c>
      <c r="E595" s="9">
        <v>0</v>
      </c>
      <c r="F595" s="9">
        <v>0</v>
      </c>
      <c r="G595" s="9">
        <v>0</v>
      </c>
      <c r="H595" s="9">
        <v>0</v>
      </c>
      <c r="I595" s="9">
        <v>0</v>
      </c>
      <c r="J595" s="9">
        <v>0</v>
      </c>
      <c r="K595" s="9">
        <v>0</v>
      </c>
      <c r="L595" s="9">
        <v>0</v>
      </c>
      <c r="M595" s="9">
        <v>0</v>
      </c>
      <c r="N595" s="9">
        <v>0</v>
      </c>
      <c r="O595" s="9">
        <v>0</v>
      </c>
      <c r="P595" s="9">
        <v>0</v>
      </c>
      <c r="Q595" s="9">
        <f>MAX(-20,MIN(10,$A595-VLOOKUP(YEAR($A595),'Festive dates'!$A$2:$J$5,8,FALSE)))</f>
        <v>10</v>
      </c>
      <c r="R595" s="9">
        <f>IF(AND($A595&gt;VLOOKUP(YEAR($A595),'Festive dates'!$A$2:$J$5,2,FALSE),$A595&lt;VLOOKUP(YEAR($A595),'Festive dates'!$A$2:$J$5,3,FALSE)),1,0)</f>
        <v>0</v>
      </c>
      <c r="S595" s="9">
        <f>IF($A595=VLOOKUP(YEAR($A595),'Festive dates'!$A$2:$J$5,2,FALSE),1,0)</f>
        <v>0</v>
      </c>
      <c r="T595" s="9">
        <f>IF($A595=VLOOKUP(YEAR($A595),'Festive dates'!$A$2:$J$5,3,FALSE),1,0)</f>
        <v>0</v>
      </c>
      <c r="U595" s="9">
        <f>IF($A595=VLOOKUP(YEAR($A595),'Festive dates'!$A$2:$J$5,4,FALSE),1,0)</f>
        <v>0</v>
      </c>
      <c r="V595" s="9">
        <f>IF(AND($A595&gt;=VLOOKUP(YEAR($A595),'Festive dates'!$A$2:$J$5,9,FALSE),$A595&lt;=VLOOKUP(YEAR($A595),'Festive dates'!$A$2:$J$5,10,FALSE)),1,0)</f>
        <v>0</v>
      </c>
      <c r="W595" s="9">
        <f>IF($A595=VLOOKUP(YEAR($A595),'Festive dates'!$A$2:$J$5,7,FALSE),1,0)</f>
        <v>0</v>
      </c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</row>
    <row r="596" spans="1:51">
      <c r="A596" s="8">
        <v>45611</v>
      </c>
      <c r="B596" s="9">
        <v>0</v>
      </c>
      <c r="C596" s="9">
        <v>0</v>
      </c>
      <c r="D596" s="9">
        <v>0</v>
      </c>
      <c r="E596" s="9">
        <v>0</v>
      </c>
      <c r="F596" s="9">
        <v>0</v>
      </c>
      <c r="G596" s="9">
        <v>0</v>
      </c>
      <c r="H596" s="9">
        <v>0</v>
      </c>
      <c r="I596" s="9">
        <v>0</v>
      </c>
      <c r="J596" s="9">
        <v>0</v>
      </c>
      <c r="K596" s="9">
        <v>0</v>
      </c>
      <c r="L596" s="9">
        <v>0</v>
      </c>
      <c r="M596" s="9">
        <v>0</v>
      </c>
      <c r="N596" s="9">
        <v>0</v>
      </c>
      <c r="O596" s="9">
        <v>0</v>
      </c>
      <c r="P596" s="9">
        <v>1</v>
      </c>
      <c r="Q596" s="9">
        <f>MAX(-20,MIN(10,$A596-VLOOKUP(YEAR($A596),'Festive dates'!$A$2:$J$5,8,FALSE)))</f>
        <v>10</v>
      </c>
      <c r="R596" s="9">
        <f>IF(AND($A596&gt;VLOOKUP(YEAR($A596),'Festive dates'!$A$2:$J$5,2,FALSE),$A596&lt;VLOOKUP(YEAR($A596),'Festive dates'!$A$2:$J$5,3,FALSE)),1,0)</f>
        <v>0</v>
      </c>
      <c r="S596" s="9">
        <f>IF($A596=VLOOKUP(YEAR($A596),'Festive dates'!$A$2:$J$5,2,FALSE),1,0)</f>
        <v>0</v>
      </c>
      <c r="T596" s="9">
        <f>IF($A596=VLOOKUP(YEAR($A596),'Festive dates'!$A$2:$J$5,3,FALSE),1,0)</f>
        <v>0</v>
      </c>
      <c r="U596" s="9">
        <f>IF($A596=VLOOKUP(YEAR($A596),'Festive dates'!$A$2:$J$5,4,FALSE),1,0)</f>
        <v>0</v>
      </c>
      <c r="V596" s="9">
        <f>IF(AND($A596&gt;=VLOOKUP(YEAR($A596),'Festive dates'!$A$2:$J$5,9,FALSE),$A596&lt;=VLOOKUP(YEAR($A596),'Festive dates'!$A$2:$J$5,10,FALSE)),1,0)</f>
        <v>0</v>
      </c>
      <c r="W596" s="9">
        <f>IF($A596=VLOOKUP(YEAR($A596),'Festive dates'!$A$2:$J$5,7,FALSE),1,0)</f>
        <v>0</v>
      </c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</row>
    <row r="597" spans="1:51">
      <c r="A597" s="8">
        <v>45612</v>
      </c>
      <c r="B597" s="9">
        <v>0</v>
      </c>
      <c r="C597" s="9">
        <v>0</v>
      </c>
      <c r="D597" s="9">
        <v>0</v>
      </c>
      <c r="E597" s="9">
        <v>0</v>
      </c>
      <c r="F597" s="9">
        <v>0</v>
      </c>
      <c r="G597" s="9">
        <v>0</v>
      </c>
      <c r="H597" s="9">
        <v>0</v>
      </c>
      <c r="I597" s="9">
        <v>0</v>
      </c>
      <c r="J597" s="9">
        <v>0</v>
      </c>
      <c r="K597" s="9">
        <v>0</v>
      </c>
      <c r="L597" s="9">
        <v>0</v>
      </c>
      <c r="M597" s="9">
        <v>0</v>
      </c>
      <c r="N597" s="9">
        <v>0</v>
      </c>
      <c r="O597" s="9">
        <v>0</v>
      </c>
      <c r="P597" s="9">
        <v>1</v>
      </c>
      <c r="Q597" s="9">
        <f>MAX(-20,MIN(10,$A597-VLOOKUP(YEAR($A597),'Festive dates'!$A$2:$J$5,8,FALSE)))</f>
        <v>10</v>
      </c>
      <c r="R597" s="9">
        <f>IF(AND($A597&gt;VLOOKUP(YEAR($A597),'Festive dates'!$A$2:$J$5,2,FALSE),$A597&lt;VLOOKUP(YEAR($A597),'Festive dates'!$A$2:$J$5,3,FALSE)),1,0)</f>
        <v>0</v>
      </c>
      <c r="S597" s="9">
        <f>IF($A597=VLOOKUP(YEAR($A597),'Festive dates'!$A$2:$J$5,2,FALSE),1,0)</f>
        <v>0</v>
      </c>
      <c r="T597" s="9">
        <f>IF($A597=VLOOKUP(YEAR($A597),'Festive dates'!$A$2:$J$5,3,FALSE),1,0)</f>
        <v>0</v>
      </c>
      <c r="U597" s="9">
        <f>IF($A597=VLOOKUP(YEAR($A597),'Festive dates'!$A$2:$J$5,4,FALSE),1,0)</f>
        <v>0</v>
      </c>
      <c r="V597" s="9">
        <f>IF(AND($A597&gt;=VLOOKUP(YEAR($A597),'Festive dates'!$A$2:$J$5,9,FALSE),$A597&lt;=VLOOKUP(YEAR($A597),'Festive dates'!$A$2:$J$5,10,FALSE)),1,0)</f>
        <v>0</v>
      </c>
      <c r="W597" s="9">
        <f>IF($A597=VLOOKUP(YEAR($A597),'Festive dates'!$A$2:$J$5,7,FALSE),1,0)</f>
        <v>0</v>
      </c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</row>
    <row r="598" spans="1:51">
      <c r="A598" s="8">
        <v>45613</v>
      </c>
      <c r="B598" s="9">
        <v>0</v>
      </c>
      <c r="C598" s="9">
        <v>0</v>
      </c>
      <c r="D598" s="9">
        <v>0</v>
      </c>
      <c r="E598" s="9">
        <v>0</v>
      </c>
      <c r="F598" s="9">
        <v>0</v>
      </c>
      <c r="G598" s="9">
        <v>0</v>
      </c>
      <c r="H598" s="9">
        <v>0</v>
      </c>
      <c r="I598" s="9">
        <v>0</v>
      </c>
      <c r="J598" s="9">
        <v>0</v>
      </c>
      <c r="K598" s="9">
        <v>0</v>
      </c>
      <c r="L598" s="9">
        <v>0</v>
      </c>
      <c r="M598" s="9">
        <v>0</v>
      </c>
      <c r="N598" s="9">
        <v>0</v>
      </c>
      <c r="O598" s="9">
        <v>0</v>
      </c>
      <c r="P598" s="9">
        <v>0</v>
      </c>
      <c r="Q598" s="9">
        <f>MAX(-20,MIN(10,$A598-VLOOKUP(YEAR($A598),'Festive dates'!$A$2:$J$5,8,FALSE)))</f>
        <v>10</v>
      </c>
      <c r="R598" s="9">
        <f>IF(AND($A598&gt;VLOOKUP(YEAR($A598),'Festive dates'!$A$2:$J$5,2,FALSE),$A598&lt;VLOOKUP(YEAR($A598),'Festive dates'!$A$2:$J$5,3,FALSE)),1,0)</f>
        <v>0</v>
      </c>
      <c r="S598" s="9">
        <f>IF($A598=VLOOKUP(YEAR($A598),'Festive dates'!$A$2:$J$5,2,FALSE),1,0)</f>
        <v>0</v>
      </c>
      <c r="T598" s="9">
        <f>IF($A598=VLOOKUP(YEAR($A598),'Festive dates'!$A$2:$J$5,3,FALSE),1,0)</f>
        <v>0</v>
      </c>
      <c r="U598" s="9">
        <f>IF($A598=VLOOKUP(YEAR($A598),'Festive dates'!$A$2:$J$5,4,FALSE),1,0)</f>
        <v>0</v>
      </c>
      <c r="V598" s="9">
        <f>IF(AND($A598&gt;=VLOOKUP(YEAR($A598),'Festive dates'!$A$2:$J$5,9,FALSE),$A598&lt;=VLOOKUP(YEAR($A598),'Festive dates'!$A$2:$J$5,10,FALSE)),1,0)</f>
        <v>0</v>
      </c>
      <c r="W598" s="9">
        <f>IF($A598=VLOOKUP(YEAR($A598),'Festive dates'!$A$2:$J$5,7,FALSE),1,0)</f>
        <v>0</v>
      </c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</row>
    <row r="599" spans="1:51">
      <c r="A599" s="8">
        <v>45614</v>
      </c>
      <c r="B599" s="9">
        <v>0</v>
      </c>
      <c r="C599" s="9">
        <v>0</v>
      </c>
      <c r="D599" s="9">
        <v>0</v>
      </c>
      <c r="E599" s="9">
        <v>0</v>
      </c>
      <c r="F599" s="9">
        <v>0</v>
      </c>
      <c r="G599" s="9">
        <v>0</v>
      </c>
      <c r="H599" s="9">
        <v>0</v>
      </c>
      <c r="I599" s="9">
        <v>0</v>
      </c>
      <c r="J599" s="9">
        <v>0</v>
      </c>
      <c r="K599" s="9">
        <v>0</v>
      </c>
      <c r="L599" s="9">
        <v>0</v>
      </c>
      <c r="M599" s="9">
        <v>0</v>
      </c>
      <c r="N599" s="9">
        <v>0</v>
      </c>
      <c r="O599" s="9">
        <v>0</v>
      </c>
      <c r="P599" s="9">
        <v>1</v>
      </c>
      <c r="Q599" s="9">
        <f>MAX(-20,MIN(10,$A599-VLOOKUP(YEAR($A599),'Festive dates'!$A$2:$J$5,8,FALSE)))</f>
        <v>10</v>
      </c>
      <c r="R599" s="9">
        <f>IF(AND($A599&gt;VLOOKUP(YEAR($A599),'Festive dates'!$A$2:$J$5,2,FALSE),$A599&lt;VLOOKUP(YEAR($A599),'Festive dates'!$A$2:$J$5,3,FALSE)),1,0)</f>
        <v>0</v>
      </c>
      <c r="S599" s="9">
        <f>IF($A599=VLOOKUP(YEAR($A599),'Festive dates'!$A$2:$J$5,2,FALSE),1,0)</f>
        <v>0</v>
      </c>
      <c r="T599" s="9">
        <f>IF($A599=VLOOKUP(YEAR($A599),'Festive dates'!$A$2:$J$5,3,FALSE),1,0)</f>
        <v>0</v>
      </c>
      <c r="U599" s="9">
        <f>IF($A599=VLOOKUP(YEAR($A599),'Festive dates'!$A$2:$J$5,4,FALSE),1,0)</f>
        <v>0</v>
      </c>
      <c r="V599" s="9">
        <f>IF(AND($A599&gt;=VLOOKUP(YEAR($A599),'Festive dates'!$A$2:$J$5,9,FALSE),$A599&lt;=VLOOKUP(YEAR($A599),'Festive dates'!$A$2:$J$5,10,FALSE)),1,0)</f>
        <v>0</v>
      </c>
      <c r="W599" s="9">
        <f>IF($A599=VLOOKUP(YEAR($A599),'Festive dates'!$A$2:$J$5,7,FALSE),1,0)</f>
        <v>0</v>
      </c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</row>
    <row r="600" spans="1:51">
      <c r="A600" s="8">
        <v>45615</v>
      </c>
      <c r="B600" s="9">
        <v>0</v>
      </c>
      <c r="C600" s="9">
        <v>0</v>
      </c>
      <c r="D600" s="9">
        <v>0</v>
      </c>
      <c r="E600" s="9">
        <v>0</v>
      </c>
      <c r="F600" s="9">
        <v>0</v>
      </c>
      <c r="G600" s="9">
        <v>0</v>
      </c>
      <c r="H600" s="9">
        <v>0</v>
      </c>
      <c r="I600" s="9">
        <v>0</v>
      </c>
      <c r="J600" s="9">
        <v>0</v>
      </c>
      <c r="K600" s="9">
        <v>0</v>
      </c>
      <c r="L600" s="9">
        <v>0</v>
      </c>
      <c r="M600" s="9">
        <v>0</v>
      </c>
      <c r="N600" s="9">
        <v>0</v>
      </c>
      <c r="O600" s="9">
        <v>0</v>
      </c>
      <c r="P600" s="9">
        <v>1</v>
      </c>
      <c r="Q600" s="9">
        <f>MAX(-20,MIN(10,$A600-VLOOKUP(YEAR($A600),'Festive dates'!$A$2:$J$5,8,FALSE)))</f>
        <v>10</v>
      </c>
      <c r="R600" s="9">
        <f>IF(AND($A600&gt;VLOOKUP(YEAR($A600),'Festive dates'!$A$2:$J$5,2,FALSE),$A600&lt;VLOOKUP(YEAR($A600),'Festive dates'!$A$2:$J$5,3,FALSE)),1,0)</f>
        <v>0</v>
      </c>
      <c r="S600" s="9">
        <f>IF($A600=VLOOKUP(YEAR($A600),'Festive dates'!$A$2:$J$5,2,FALSE),1,0)</f>
        <v>0</v>
      </c>
      <c r="T600" s="9">
        <f>IF($A600=VLOOKUP(YEAR($A600),'Festive dates'!$A$2:$J$5,3,FALSE),1,0)</f>
        <v>0</v>
      </c>
      <c r="U600" s="9">
        <f>IF($A600=VLOOKUP(YEAR($A600),'Festive dates'!$A$2:$J$5,4,FALSE),1,0)</f>
        <v>0</v>
      </c>
      <c r="V600" s="9">
        <f>IF(AND($A600&gt;=VLOOKUP(YEAR($A600),'Festive dates'!$A$2:$J$5,9,FALSE),$A600&lt;=VLOOKUP(YEAR($A600),'Festive dates'!$A$2:$J$5,10,FALSE)),1,0)</f>
        <v>0</v>
      </c>
      <c r="W600" s="9">
        <f>IF($A600=VLOOKUP(YEAR($A600),'Festive dates'!$A$2:$J$5,7,FALSE),1,0)</f>
        <v>0</v>
      </c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</row>
    <row r="601" spans="1:51">
      <c r="A601" s="8">
        <v>45616</v>
      </c>
      <c r="B601" s="9">
        <v>0</v>
      </c>
      <c r="C601" s="9">
        <v>0</v>
      </c>
      <c r="D601" s="9">
        <v>0</v>
      </c>
      <c r="E601" s="9">
        <v>0</v>
      </c>
      <c r="F601" s="9">
        <v>0</v>
      </c>
      <c r="G601" s="9">
        <v>0</v>
      </c>
      <c r="H601" s="9">
        <v>0</v>
      </c>
      <c r="I601" s="9">
        <v>0</v>
      </c>
      <c r="J601" s="9">
        <v>0</v>
      </c>
      <c r="K601" s="9">
        <v>0</v>
      </c>
      <c r="L601" s="9">
        <v>0</v>
      </c>
      <c r="M601" s="9">
        <v>0</v>
      </c>
      <c r="N601" s="9">
        <v>0</v>
      </c>
      <c r="O601" s="9">
        <v>0</v>
      </c>
      <c r="P601" s="9">
        <v>0</v>
      </c>
      <c r="Q601" s="9">
        <f>MAX(-20,MIN(10,$A601-VLOOKUP(YEAR($A601),'Festive dates'!$A$2:$J$5,8,FALSE)))</f>
        <v>10</v>
      </c>
      <c r="R601" s="9">
        <f>IF(AND($A601&gt;VLOOKUP(YEAR($A601),'Festive dates'!$A$2:$J$5,2,FALSE),$A601&lt;VLOOKUP(YEAR($A601),'Festive dates'!$A$2:$J$5,3,FALSE)),1,0)</f>
        <v>0</v>
      </c>
      <c r="S601" s="9">
        <f>IF($A601=VLOOKUP(YEAR($A601),'Festive dates'!$A$2:$J$5,2,FALSE),1,0)</f>
        <v>0</v>
      </c>
      <c r="T601" s="9">
        <f>IF($A601=VLOOKUP(YEAR($A601),'Festive dates'!$A$2:$J$5,3,FALSE),1,0)</f>
        <v>0</v>
      </c>
      <c r="U601" s="9">
        <f>IF($A601=VLOOKUP(YEAR($A601),'Festive dates'!$A$2:$J$5,4,FALSE),1,0)</f>
        <v>0</v>
      </c>
      <c r="V601" s="9">
        <f>IF(AND($A601&gt;=VLOOKUP(YEAR($A601),'Festive dates'!$A$2:$J$5,9,FALSE),$A601&lt;=VLOOKUP(YEAR($A601),'Festive dates'!$A$2:$J$5,10,FALSE)),1,0)</f>
        <v>0</v>
      </c>
      <c r="W601" s="9">
        <f>IF($A601=VLOOKUP(YEAR($A601),'Festive dates'!$A$2:$J$5,7,FALSE),1,0)</f>
        <v>0</v>
      </c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</row>
    <row r="602" spans="1:51">
      <c r="A602" s="8">
        <v>45617</v>
      </c>
      <c r="B602" s="9">
        <v>0</v>
      </c>
      <c r="C602" s="9">
        <v>0</v>
      </c>
      <c r="D602" s="9">
        <v>0</v>
      </c>
      <c r="E602" s="9">
        <v>0</v>
      </c>
      <c r="F602" s="9">
        <v>0</v>
      </c>
      <c r="G602" s="9">
        <v>0</v>
      </c>
      <c r="H602" s="9">
        <v>0</v>
      </c>
      <c r="I602" s="9">
        <v>0</v>
      </c>
      <c r="J602" s="9">
        <v>0</v>
      </c>
      <c r="K602" s="9">
        <v>0</v>
      </c>
      <c r="L602" s="9">
        <v>0</v>
      </c>
      <c r="M602" s="9">
        <v>0</v>
      </c>
      <c r="N602" s="9">
        <v>0</v>
      </c>
      <c r="O602" s="9">
        <v>0</v>
      </c>
      <c r="P602" s="9">
        <v>1</v>
      </c>
      <c r="Q602" s="9">
        <f>MAX(-20,MIN(10,$A602-VLOOKUP(YEAR($A602),'Festive dates'!$A$2:$J$5,8,FALSE)))</f>
        <v>10</v>
      </c>
      <c r="R602" s="9">
        <f>IF(AND($A602&gt;VLOOKUP(YEAR($A602),'Festive dates'!$A$2:$J$5,2,FALSE),$A602&lt;VLOOKUP(YEAR($A602),'Festive dates'!$A$2:$J$5,3,FALSE)),1,0)</f>
        <v>0</v>
      </c>
      <c r="S602" s="9">
        <f>IF($A602=VLOOKUP(YEAR($A602),'Festive dates'!$A$2:$J$5,2,FALSE),1,0)</f>
        <v>0</v>
      </c>
      <c r="T602" s="9">
        <f>IF($A602=VLOOKUP(YEAR($A602),'Festive dates'!$A$2:$J$5,3,FALSE),1,0)</f>
        <v>0</v>
      </c>
      <c r="U602" s="9">
        <f>IF($A602=VLOOKUP(YEAR($A602),'Festive dates'!$A$2:$J$5,4,FALSE),1,0)</f>
        <v>0</v>
      </c>
      <c r="V602" s="9">
        <f>IF(AND($A602&gt;=VLOOKUP(YEAR($A602),'Festive dates'!$A$2:$J$5,9,FALSE),$A602&lt;=VLOOKUP(YEAR($A602),'Festive dates'!$A$2:$J$5,10,FALSE)),1,0)</f>
        <v>0</v>
      </c>
      <c r="W602" s="9">
        <f>IF($A602=VLOOKUP(YEAR($A602),'Festive dates'!$A$2:$J$5,7,FALSE),1,0)</f>
        <v>0</v>
      </c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</row>
    <row r="603" spans="1:51">
      <c r="A603" s="8">
        <v>45618</v>
      </c>
      <c r="B603" s="9">
        <v>0</v>
      </c>
      <c r="C603" s="9">
        <v>0</v>
      </c>
      <c r="D603" s="9">
        <v>0</v>
      </c>
      <c r="E603" s="9">
        <v>0</v>
      </c>
      <c r="F603" s="9">
        <v>0</v>
      </c>
      <c r="G603" s="9">
        <v>0</v>
      </c>
      <c r="H603" s="9">
        <v>0</v>
      </c>
      <c r="I603" s="9">
        <v>0</v>
      </c>
      <c r="J603" s="9">
        <v>0</v>
      </c>
      <c r="K603" s="9">
        <v>0</v>
      </c>
      <c r="L603" s="9">
        <v>0</v>
      </c>
      <c r="M603" s="9">
        <v>0</v>
      </c>
      <c r="N603" s="9">
        <v>0</v>
      </c>
      <c r="O603" s="9">
        <v>0</v>
      </c>
      <c r="P603" s="9">
        <v>1</v>
      </c>
      <c r="Q603" s="9">
        <f>MAX(-20,MIN(10,$A603-VLOOKUP(YEAR($A603),'Festive dates'!$A$2:$J$5,8,FALSE)))</f>
        <v>10</v>
      </c>
      <c r="R603" s="9">
        <f>IF(AND($A603&gt;VLOOKUP(YEAR($A603),'Festive dates'!$A$2:$J$5,2,FALSE),$A603&lt;VLOOKUP(YEAR($A603),'Festive dates'!$A$2:$J$5,3,FALSE)),1,0)</f>
        <v>0</v>
      </c>
      <c r="S603" s="9">
        <f>IF($A603=VLOOKUP(YEAR($A603),'Festive dates'!$A$2:$J$5,2,FALSE),1,0)</f>
        <v>0</v>
      </c>
      <c r="T603" s="9">
        <f>IF($A603=VLOOKUP(YEAR($A603),'Festive dates'!$A$2:$J$5,3,FALSE),1,0)</f>
        <v>0</v>
      </c>
      <c r="U603" s="9">
        <f>IF($A603=VLOOKUP(YEAR($A603),'Festive dates'!$A$2:$J$5,4,FALSE),1,0)</f>
        <v>0</v>
      </c>
      <c r="V603" s="9">
        <f>IF(AND($A603&gt;=VLOOKUP(YEAR($A603),'Festive dates'!$A$2:$J$5,9,FALSE),$A603&lt;=VLOOKUP(YEAR($A603),'Festive dates'!$A$2:$J$5,10,FALSE)),1,0)</f>
        <v>0</v>
      </c>
      <c r="W603" s="9">
        <f>IF($A603=VLOOKUP(YEAR($A603),'Festive dates'!$A$2:$J$5,7,FALSE),1,0)</f>
        <v>0</v>
      </c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</row>
    <row r="604" spans="1:51">
      <c r="A604" s="8">
        <v>45619</v>
      </c>
      <c r="B604" s="9">
        <v>0</v>
      </c>
      <c r="C604" s="9">
        <v>0</v>
      </c>
      <c r="D604" s="9">
        <v>0</v>
      </c>
      <c r="E604" s="9">
        <v>0</v>
      </c>
      <c r="F604" s="9">
        <v>0</v>
      </c>
      <c r="G604" s="9">
        <v>0</v>
      </c>
      <c r="H604" s="9">
        <v>0</v>
      </c>
      <c r="I604" s="9">
        <v>0</v>
      </c>
      <c r="J604" s="9">
        <v>0</v>
      </c>
      <c r="K604" s="9">
        <v>0</v>
      </c>
      <c r="L604" s="9">
        <v>0</v>
      </c>
      <c r="M604" s="9">
        <v>0</v>
      </c>
      <c r="N604" s="9">
        <v>0</v>
      </c>
      <c r="O604" s="9">
        <v>0</v>
      </c>
      <c r="P604" s="9">
        <v>0</v>
      </c>
      <c r="Q604" s="9">
        <f>MAX(-20,MIN(10,$A604-VLOOKUP(YEAR($A604),'Festive dates'!$A$2:$J$5,8,FALSE)))</f>
        <v>10</v>
      </c>
      <c r="R604" s="9">
        <f>IF(AND($A604&gt;VLOOKUP(YEAR($A604),'Festive dates'!$A$2:$J$5,2,FALSE),$A604&lt;VLOOKUP(YEAR($A604),'Festive dates'!$A$2:$J$5,3,FALSE)),1,0)</f>
        <v>0</v>
      </c>
      <c r="S604" s="9">
        <f>IF($A604=VLOOKUP(YEAR($A604),'Festive dates'!$A$2:$J$5,2,FALSE),1,0)</f>
        <v>0</v>
      </c>
      <c r="T604" s="9">
        <f>IF($A604=VLOOKUP(YEAR($A604),'Festive dates'!$A$2:$J$5,3,FALSE),1,0)</f>
        <v>0</v>
      </c>
      <c r="U604" s="9">
        <f>IF($A604=VLOOKUP(YEAR($A604),'Festive dates'!$A$2:$J$5,4,FALSE),1,0)</f>
        <v>0</v>
      </c>
      <c r="V604" s="9">
        <f>IF(AND($A604&gt;=VLOOKUP(YEAR($A604),'Festive dates'!$A$2:$J$5,9,FALSE),$A604&lt;=VLOOKUP(YEAR($A604),'Festive dates'!$A$2:$J$5,10,FALSE)),1,0)</f>
        <v>0</v>
      </c>
      <c r="W604" s="9">
        <f>IF($A604=VLOOKUP(YEAR($A604),'Festive dates'!$A$2:$J$5,7,FALSE),1,0)</f>
        <v>0</v>
      </c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</row>
    <row r="605" spans="1:51">
      <c r="A605" s="8">
        <v>45620</v>
      </c>
      <c r="B605" s="9">
        <v>0</v>
      </c>
      <c r="C605" s="9">
        <v>0</v>
      </c>
      <c r="D605" s="9">
        <v>0</v>
      </c>
      <c r="E605" s="9">
        <v>0</v>
      </c>
      <c r="F605" s="9">
        <v>0</v>
      </c>
      <c r="G605" s="9">
        <v>0</v>
      </c>
      <c r="H605" s="9">
        <v>0</v>
      </c>
      <c r="I605" s="9">
        <v>0</v>
      </c>
      <c r="J605" s="9">
        <v>0</v>
      </c>
      <c r="K605" s="9">
        <v>0</v>
      </c>
      <c r="L605" s="9">
        <v>0</v>
      </c>
      <c r="M605" s="9">
        <v>0</v>
      </c>
      <c r="N605" s="9">
        <v>0</v>
      </c>
      <c r="O605" s="9">
        <v>0</v>
      </c>
      <c r="P605" s="9">
        <v>0</v>
      </c>
      <c r="Q605" s="9">
        <f>MAX(-20,MIN(10,$A605-VLOOKUP(YEAR($A605),'Festive dates'!$A$2:$J$5,8,FALSE)))</f>
        <v>10</v>
      </c>
      <c r="R605" s="9">
        <f>IF(AND($A605&gt;VLOOKUP(YEAR($A605),'Festive dates'!$A$2:$J$5,2,FALSE),$A605&lt;VLOOKUP(YEAR($A605),'Festive dates'!$A$2:$J$5,3,FALSE)),1,0)</f>
        <v>0</v>
      </c>
      <c r="S605" s="9">
        <f>IF($A605=VLOOKUP(YEAR($A605),'Festive dates'!$A$2:$J$5,2,FALSE),1,0)</f>
        <v>0</v>
      </c>
      <c r="T605" s="9">
        <f>IF($A605=VLOOKUP(YEAR($A605),'Festive dates'!$A$2:$J$5,3,FALSE),1,0)</f>
        <v>0</v>
      </c>
      <c r="U605" s="9">
        <f>IF($A605=VLOOKUP(YEAR($A605),'Festive dates'!$A$2:$J$5,4,FALSE),1,0)</f>
        <v>0</v>
      </c>
      <c r="V605" s="9">
        <f>IF(AND($A605&gt;=VLOOKUP(YEAR($A605),'Festive dates'!$A$2:$J$5,9,FALSE),$A605&lt;=VLOOKUP(YEAR($A605),'Festive dates'!$A$2:$J$5,10,FALSE)),1,0)</f>
        <v>0</v>
      </c>
      <c r="W605" s="9">
        <f>IF($A605=VLOOKUP(YEAR($A605),'Festive dates'!$A$2:$J$5,7,FALSE),1,0)</f>
        <v>0</v>
      </c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</row>
    <row r="606" spans="1:51">
      <c r="A606" s="8">
        <v>45621</v>
      </c>
      <c r="B606" s="9">
        <v>0</v>
      </c>
      <c r="C606" s="9">
        <v>0</v>
      </c>
      <c r="D606" s="9">
        <v>0</v>
      </c>
      <c r="E606" s="9">
        <v>0</v>
      </c>
      <c r="F606" s="9">
        <v>0</v>
      </c>
      <c r="G606" s="9">
        <v>0</v>
      </c>
      <c r="H606" s="9">
        <v>0</v>
      </c>
      <c r="I606" s="9">
        <v>0</v>
      </c>
      <c r="J606" s="9">
        <v>0</v>
      </c>
      <c r="K606" s="9">
        <v>0</v>
      </c>
      <c r="L606" s="9">
        <v>0</v>
      </c>
      <c r="M606" s="9">
        <v>0</v>
      </c>
      <c r="N606" s="9">
        <v>0</v>
      </c>
      <c r="O606" s="9">
        <v>0</v>
      </c>
      <c r="P606" s="9">
        <v>0</v>
      </c>
      <c r="Q606" s="9">
        <f>MAX(-20,MIN(10,$A606-VLOOKUP(YEAR($A606),'Festive dates'!$A$2:$J$5,8,FALSE)))</f>
        <v>10</v>
      </c>
      <c r="R606" s="9">
        <f>IF(AND($A606&gt;VLOOKUP(YEAR($A606),'Festive dates'!$A$2:$J$5,2,FALSE),$A606&lt;VLOOKUP(YEAR($A606),'Festive dates'!$A$2:$J$5,3,FALSE)),1,0)</f>
        <v>0</v>
      </c>
      <c r="S606" s="9">
        <f>IF($A606=VLOOKUP(YEAR($A606),'Festive dates'!$A$2:$J$5,2,FALSE),1,0)</f>
        <v>0</v>
      </c>
      <c r="T606" s="9">
        <f>IF($A606=VLOOKUP(YEAR($A606),'Festive dates'!$A$2:$J$5,3,FALSE),1,0)</f>
        <v>0</v>
      </c>
      <c r="U606" s="9">
        <f>IF($A606=VLOOKUP(YEAR($A606),'Festive dates'!$A$2:$J$5,4,FALSE),1,0)</f>
        <v>0</v>
      </c>
      <c r="V606" s="9">
        <f>IF(AND($A606&gt;=VLOOKUP(YEAR($A606),'Festive dates'!$A$2:$J$5,9,FALSE),$A606&lt;=VLOOKUP(YEAR($A606),'Festive dates'!$A$2:$J$5,10,FALSE)),1,0)</f>
        <v>0</v>
      </c>
      <c r="W606" s="9">
        <f>IF($A606=VLOOKUP(YEAR($A606),'Festive dates'!$A$2:$J$5,7,FALSE),1,0)</f>
        <v>0</v>
      </c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</row>
    <row r="607" spans="1:51">
      <c r="A607" s="8">
        <v>45622</v>
      </c>
      <c r="B607" s="9">
        <v>0</v>
      </c>
      <c r="C607" s="9">
        <v>0</v>
      </c>
      <c r="D607" s="9">
        <v>0</v>
      </c>
      <c r="E607" s="9">
        <v>0</v>
      </c>
      <c r="F607" s="9">
        <v>0</v>
      </c>
      <c r="G607" s="9">
        <v>0</v>
      </c>
      <c r="H607" s="9">
        <v>0</v>
      </c>
      <c r="I607" s="9">
        <v>0</v>
      </c>
      <c r="J607" s="9">
        <v>0</v>
      </c>
      <c r="K607" s="9">
        <v>0</v>
      </c>
      <c r="L607" s="9">
        <v>0</v>
      </c>
      <c r="M607" s="9">
        <v>0</v>
      </c>
      <c r="N607" s="9">
        <v>0</v>
      </c>
      <c r="O607" s="9">
        <v>0</v>
      </c>
      <c r="P607" s="9">
        <v>0</v>
      </c>
      <c r="Q607" s="9">
        <f>MAX(-20,MIN(10,$A607-VLOOKUP(YEAR($A607),'Festive dates'!$A$2:$J$5,8,FALSE)))</f>
        <v>10</v>
      </c>
      <c r="R607" s="9">
        <f>IF(AND($A607&gt;VLOOKUP(YEAR($A607),'Festive dates'!$A$2:$J$5,2,FALSE),$A607&lt;VLOOKUP(YEAR($A607),'Festive dates'!$A$2:$J$5,3,FALSE)),1,0)</f>
        <v>0</v>
      </c>
      <c r="S607" s="9">
        <f>IF($A607=VLOOKUP(YEAR($A607),'Festive dates'!$A$2:$J$5,2,FALSE),1,0)</f>
        <v>0</v>
      </c>
      <c r="T607" s="9">
        <f>IF($A607=VLOOKUP(YEAR($A607),'Festive dates'!$A$2:$J$5,3,FALSE),1,0)</f>
        <v>0</v>
      </c>
      <c r="U607" s="9">
        <f>IF($A607=VLOOKUP(YEAR($A607),'Festive dates'!$A$2:$J$5,4,FALSE),1,0)</f>
        <v>0</v>
      </c>
      <c r="V607" s="9">
        <f>IF(AND($A607&gt;=VLOOKUP(YEAR($A607),'Festive dates'!$A$2:$J$5,9,FALSE),$A607&lt;=VLOOKUP(YEAR($A607),'Festive dates'!$A$2:$J$5,10,FALSE)),1,0)</f>
        <v>0</v>
      </c>
      <c r="W607" s="9">
        <f>IF($A607=VLOOKUP(YEAR($A607),'Festive dates'!$A$2:$J$5,7,FALSE),1,0)</f>
        <v>0</v>
      </c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</row>
    <row r="608" spans="1:51">
      <c r="A608" s="8">
        <v>45623</v>
      </c>
      <c r="B608" s="9">
        <v>0</v>
      </c>
      <c r="C608" s="9">
        <v>0</v>
      </c>
      <c r="D608" s="9">
        <v>0</v>
      </c>
      <c r="E608" s="9">
        <v>0</v>
      </c>
      <c r="F608" s="9">
        <v>0</v>
      </c>
      <c r="G608" s="9">
        <v>0</v>
      </c>
      <c r="H608" s="9">
        <v>0</v>
      </c>
      <c r="I608" s="9">
        <v>0</v>
      </c>
      <c r="J608" s="9">
        <v>0</v>
      </c>
      <c r="K608" s="9">
        <v>0</v>
      </c>
      <c r="L608" s="9">
        <v>0</v>
      </c>
      <c r="M608" s="9">
        <v>0</v>
      </c>
      <c r="N608" s="9">
        <v>0</v>
      </c>
      <c r="O608" s="9">
        <v>0</v>
      </c>
      <c r="P608" s="9">
        <v>1</v>
      </c>
      <c r="Q608" s="9">
        <f>MAX(-20,MIN(10,$A608-VLOOKUP(YEAR($A608),'Festive dates'!$A$2:$J$5,8,FALSE)))</f>
        <v>10</v>
      </c>
      <c r="R608" s="9">
        <f>IF(AND($A608&gt;VLOOKUP(YEAR($A608),'Festive dates'!$A$2:$J$5,2,FALSE),$A608&lt;VLOOKUP(YEAR($A608),'Festive dates'!$A$2:$J$5,3,FALSE)),1,0)</f>
        <v>0</v>
      </c>
      <c r="S608" s="9">
        <f>IF($A608=VLOOKUP(YEAR($A608),'Festive dates'!$A$2:$J$5,2,FALSE),1,0)</f>
        <v>0</v>
      </c>
      <c r="T608" s="9">
        <f>IF($A608=VLOOKUP(YEAR($A608),'Festive dates'!$A$2:$J$5,3,FALSE),1,0)</f>
        <v>0</v>
      </c>
      <c r="U608" s="9">
        <f>IF($A608=VLOOKUP(YEAR($A608),'Festive dates'!$A$2:$J$5,4,FALSE),1,0)</f>
        <v>0</v>
      </c>
      <c r="V608" s="9">
        <f>IF(AND($A608&gt;=VLOOKUP(YEAR($A608),'Festive dates'!$A$2:$J$5,9,FALSE),$A608&lt;=VLOOKUP(YEAR($A608),'Festive dates'!$A$2:$J$5,10,FALSE)),1,0)</f>
        <v>0</v>
      </c>
      <c r="W608" s="9">
        <f>IF($A608=VLOOKUP(YEAR($A608),'Festive dates'!$A$2:$J$5,7,FALSE),1,0)</f>
        <v>0</v>
      </c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</row>
    <row r="609" spans="1:51">
      <c r="A609" s="8">
        <v>45624</v>
      </c>
      <c r="B609" s="9">
        <v>0</v>
      </c>
      <c r="C609" s="9">
        <v>0</v>
      </c>
      <c r="D609" s="9">
        <v>0</v>
      </c>
      <c r="E609" s="9">
        <v>0</v>
      </c>
      <c r="F609" s="9">
        <v>0</v>
      </c>
      <c r="G609" s="9">
        <v>0</v>
      </c>
      <c r="H609" s="9">
        <v>0</v>
      </c>
      <c r="I609" s="9">
        <v>0</v>
      </c>
      <c r="J609" s="9">
        <v>0</v>
      </c>
      <c r="K609" s="9">
        <v>0</v>
      </c>
      <c r="L609" s="9">
        <v>0</v>
      </c>
      <c r="M609" s="9">
        <v>0</v>
      </c>
      <c r="N609" s="9">
        <v>0</v>
      </c>
      <c r="O609" s="9">
        <v>0</v>
      </c>
      <c r="P609" s="9">
        <v>1</v>
      </c>
      <c r="Q609" s="9">
        <f>MAX(-20,MIN(10,$A609-VLOOKUP(YEAR($A609),'Festive dates'!$A$2:$J$5,8,FALSE)))</f>
        <v>10</v>
      </c>
      <c r="R609" s="9">
        <f>IF(AND($A609&gt;VLOOKUP(YEAR($A609),'Festive dates'!$A$2:$J$5,2,FALSE),$A609&lt;VLOOKUP(YEAR($A609),'Festive dates'!$A$2:$J$5,3,FALSE)),1,0)</f>
        <v>0</v>
      </c>
      <c r="S609" s="9">
        <f>IF($A609=VLOOKUP(YEAR($A609),'Festive dates'!$A$2:$J$5,2,FALSE),1,0)</f>
        <v>0</v>
      </c>
      <c r="T609" s="9">
        <f>IF($A609=VLOOKUP(YEAR($A609),'Festive dates'!$A$2:$J$5,3,FALSE),1,0)</f>
        <v>0</v>
      </c>
      <c r="U609" s="9">
        <f>IF($A609=VLOOKUP(YEAR($A609),'Festive dates'!$A$2:$J$5,4,FALSE),1,0)</f>
        <v>0</v>
      </c>
      <c r="V609" s="9">
        <f>IF(AND($A609&gt;=VLOOKUP(YEAR($A609),'Festive dates'!$A$2:$J$5,9,FALSE),$A609&lt;=VLOOKUP(YEAR($A609),'Festive dates'!$A$2:$J$5,10,FALSE)),1,0)</f>
        <v>0</v>
      </c>
      <c r="W609" s="9">
        <f>IF($A609=VLOOKUP(YEAR($A609),'Festive dates'!$A$2:$J$5,7,FALSE),1,0)</f>
        <v>0</v>
      </c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</row>
    <row r="610" spans="1:51">
      <c r="A610" s="8">
        <v>45625</v>
      </c>
      <c r="B610" s="9">
        <v>0</v>
      </c>
      <c r="C610" s="9">
        <v>0</v>
      </c>
      <c r="D610" s="9">
        <v>0</v>
      </c>
      <c r="E610" s="9">
        <v>0</v>
      </c>
      <c r="F610" s="9">
        <v>0</v>
      </c>
      <c r="G610" s="9">
        <v>0</v>
      </c>
      <c r="H610" s="9">
        <v>0</v>
      </c>
      <c r="I610" s="9">
        <v>0</v>
      </c>
      <c r="J610" s="9">
        <v>0</v>
      </c>
      <c r="K610" s="9">
        <v>0</v>
      </c>
      <c r="L610" s="9">
        <v>0</v>
      </c>
      <c r="M610" s="9">
        <v>0</v>
      </c>
      <c r="N610" s="9">
        <v>0</v>
      </c>
      <c r="O610" s="9">
        <v>0</v>
      </c>
      <c r="P610" s="9">
        <v>0</v>
      </c>
      <c r="Q610" s="9">
        <f>MAX(-20,MIN(10,$A610-VLOOKUP(YEAR($A610),'Festive dates'!$A$2:$J$5,8,FALSE)))</f>
        <v>10</v>
      </c>
      <c r="R610" s="9">
        <f>IF(AND($A610&gt;VLOOKUP(YEAR($A610),'Festive dates'!$A$2:$J$5,2,FALSE),$A610&lt;VLOOKUP(YEAR($A610),'Festive dates'!$A$2:$J$5,3,FALSE)),1,0)</f>
        <v>0</v>
      </c>
      <c r="S610" s="9">
        <f>IF($A610=VLOOKUP(YEAR($A610),'Festive dates'!$A$2:$J$5,2,FALSE),1,0)</f>
        <v>0</v>
      </c>
      <c r="T610" s="9">
        <f>IF($A610=VLOOKUP(YEAR($A610),'Festive dates'!$A$2:$J$5,3,FALSE),1,0)</f>
        <v>0</v>
      </c>
      <c r="U610" s="9">
        <f>IF($A610=VLOOKUP(YEAR($A610),'Festive dates'!$A$2:$J$5,4,FALSE),1,0)</f>
        <v>0</v>
      </c>
      <c r="V610" s="9">
        <f>IF(AND($A610&gt;=VLOOKUP(YEAR($A610),'Festive dates'!$A$2:$J$5,9,FALSE),$A610&lt;=VLOOKUP(YEAR($A610),'Festive dates'!$A$2:$J$5,10,FALSE)),1,0)</f>
        <v>0</v>
      </c>
      <c r="W610" s="9">
        <f>IF($A610=VLOOKUP(YEAR($A610),'Festive dates'!$A$2:$J$5,7,FALSE),1,0)</f>
        <v>0</v>
      </c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</row>
    <row r="611" spans="1:51">
      <c r="A611" s="8">
        <v>45626</v>
      </c>
      <c r="B611" s="9">
        <v>0</v>
      </c>
      <c r="C611" s="9">
        <v>0</v>
      </c>
      <c r="D611" s="9">
        <v>0</v>
      </c>
      <c r="E611" s="9">
        <v>0</v>
      </c>
      <c r="F611" s="9">
        <v>0</v>
      </c>
      <c r="G611" s="9">
        <v>0</v>
      </c>
      <c r="H611" s="9">
        <v>0</v>
      </c>
      <c r="I611" s="9">
        <v>0</v>
      </c>
      <c r="J611" s="9">
        <v>0</v>
      </c>
      <c r="K611" s="9">
        <v>0</v>
      </c>
      <c r="L611" s="9">
        <v>0</v>
      </c>
      <c r="M611" s="9">
        <v>0</v>
      </c>
      <c r="N611" s="9">
        <v>0</v>
      </c>
      <c r="O611" s="9">
        <v>0</v>
      </c>
      <c r="P611" s="9">
        <v>0</v>
      </c>
      <c r="Q611" s="9">
        <f>MAX(-20,MIN(10,$A611-VLOOKUP(YEAR($A611),'Festive dates'!$A$2:$J$5,8,FALSE)))</f>
        <v>10</v>
      </c>
      <c r="R611" s="9">
        <f>IF(AND($A611&gt;VLOOKUP(YEAR($A611),'Festive dates'!$A$2:$J$5,2,FALSE),$A611&lt;VLOOKUP(YEAR($A611),'Festive dates'!$A$2:$J$5,3,FALSE)),1,0)</f>
        <v>0</v>
      </c>
      <c r="S611" s="9">
        <f>IF($A611=VLOOKUP(YEAR($A611),'Festive dates'!$A$2:$J$5,2,FALSE),1,0)</f>
        <v>0</v>
      </c>
      <c r="T611" s="9">
        <f>IF($A611=VLOOKUP(YEAR($A611),'Festive dates'!$A$2:$J$5,3,FALSE),1,0)</f>
        <v>0</v>
      </c>
      <c r="U611" s="9">
        <f>IF($A611=VLOOKUP(YEAR($A611),'Festive dates'!$A$2:$J$5,4,FALSE),1,0)</f>
        <v>0</v>
      </c>
      <c r="V611" s="9">
        <f>IF(AND($A611&gt;=VLOOKUP(YEAR($A611),'Festive dates'!$A$2:$J$5,9,FALSE),$A611&lt;=VLOOKUP(YEAR($A611),'Festive dates'!$A$2:$J$5,10,FALSE)),1,0)</f>
        <v>0</v>
      </c>
      <c r="W611" s="9">
        <f>IF($A611=VLOOKUP(YEAR($A611),'Festive dates'!$A$2:$J$5,7,FALSE),1,0)</f>
        <v>0</v>
      </c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</row>
    <row r="612" spans="1:51">
      <c r="A612" s="8">
        <v>45627</v>
      </c>
      <c r="B612" s="9">
        <v>0</v>
      </c>
      <c r="C612" s="9">
        <v>0</v>
      </c>
      <c r="D612" s="9">
        <v>0</v>
      </c>
      <c r="E612" s="9">
        <v>0</v>
      </c>
      <c r="F612" s="9">
        <v>0</v>
      </c>
      <c r="G612" s="9">
        <v>0</v>
      </c>
      <c r="H612" s="9">
        <v>0</v>
      </c>
      <c r="I612" s="9">
        <v>0</v>
      </c>
      <c r="J612" s="9">
        <v>0</v>
      </c>
      <c r="K612" s="9">
        <v>0</v>
      </c>
      <c r="L612" s="9">
        <v>0</v>
      </c>
      <c r="M612" s="9">
        <v>0</v>
      </c>
      <c r="N612" s="9">
        <v>0</v>
      </c>
      <c r="O612" s="9">
        <v>0</v>
      </c>
      <c r="P612" s="9">
        <v>0</v>
      </c>
      <c r="Q612" s="9">
        <f>MAX(-20,MIN(10,$A612-VLOOKUP(YEAR($A612),'Festive dates'!$A$2:$J$5,8,FALSE)))</f>
        <v>10</v>
      </c>
      <c r="R612" s="9">
        <f>IF(AND($A612&gt;VLOOKUP(YEAR($A612),'Festive dates'!$A$2:$J$5,2,FALSE),$A612&lt;VLOOKUP(YEAR($A612),'Festive dates'!$A$2:$J$5,3,FALSE)),1,0)</f>
        <v>0</v>
      </c>
      <c r="S612" s="9">
        <f>IF($A612=VLOOKUP(YEAR($A612),'Festive dates'!$A$2:$J$5,2,FALSE),1,0)</f>
        <v>0</v>
      </c>
      <c r="T612" s="9">
        <f>IF($A612=VLOOKUP(YEAR($A612),'Festive dates'!$A$2:$J$5,3,FALSE),1,0)</f>
        <v>0</v>
      </c>
      <c r="U612" s="9">
        <f>IF($A612=VLOOKUP(YEAR($A612),'Festive dates'!$A$2:$J$5,4,FALSE),1,0)</f>
        <v>0</v>
      </c>
      <c r="V612" s="9">
        <f>IF(AND($A612&gt;=VLOOKUP(YEAR($A612),'Festive dates'!$A$2:$J$5,9,FALSE),$A612&lt;=VLOOKUP(YEAR($A612),'Festive dates'!$A$2:$J$5,10,FALSE)),1,0)</f>
        <v>0</v>
      </c>
      <c r="W612" s="9">
        <f>IF($A612=VLOOKUP(YEAR($A612),'Festive dates'!$A$2:$J$5,7,FALSE),1,0)</f>
        <v>0</v>
      </c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</row>
    <row r="613" spans="1:51">
      <c r="A613" s="8">
        <v>45628</v>
      </c>
      <c r="B613" s="9">
        <v>0</v>
      </c>
      <c r="C613" s="9">
        <v>0</v>
      </c>
      <c r="D613" s="9">
        <v>0</v>
      </c>
      <c r="E613" s="9">
        <v>0</v>
      </c>
      <c r="F613" s="9">
        <v>0</v>
      </c>
      <c r="G613" s="9">
        <v>0</v>
      </c>
      <c r="H613" s="9">
        <v>0</v>
      </c>
      <c r="I613" s="9">
        <v>0</v>
      </c>
      <c r="J613" s="9">
        <v>0</v>
      </c>
      <c r="K613" s="9">
        <v>0</v>
      </c>
      <c r="L613" s="9">
        <v>0</v>
      </c>
      <c r="M613" s="9">
        <v>0</v>
      </c>
      <c r="N613" s="9">
        <v>0</v>
      </c>
      <c r="O613" s="9">
        <v>0</v>
      </c>
      <c r="P613" s="9">
        <v>1</v>
      </c>
      <c r="Q613" s="9">
        <f>MAX(-20,MIN(10,$A613-VLOOKUP(YEAR($A613),'Festive dates'!$A$2:$J$5,8,FALSE)))</f>
        <v>10</v>
      </c>
      <c r="R613" s="9">
        <f>IF(AND($A613&gt;VLOOKUP(YEAR($A613),'Festive dates'!$A$2:$J$5,2,FALSE),$A613&lt;VLOOKUP(YEAR($A613),'Festive dates'!$A$2:$J$5,3,FALSE)),1,0)</f>
        <v>0</v>
      </c>
      <c r="S613" s="9">
        <f>IF($A613=VLOOKUP(YEAR($A613),'Festive dates'!$A$2:$J$5,2,FALSE),1,0)</f>
        <v>0</v>
      </c>
      <c r="T613" s="9">
        <f>IF($A613=VLOOKUP(YEAR($A613),'Festive dates'!$A$2:$J$5,3,FALSE),1,0)</f>
        <v>0</v>
      </c>
      <c r="U613" s="9">
        <f>IF($A613=VLOOKUP(YEAR($A613),'Festive dates'!$A$2:$J$5,4,FALSE),1,0)</f>
        <v>0</v>
      </c>
      <c r="V613" s="9">
        <f>IF(AND($A613&gt;=VLOOKUP(YEAR($A613),'Festive dates'!$A$2:$J$5,9,FALSE),$A613&lt;=VLOOKUP(YEAR($A613),'Festive dates'!$A$2:$J$5,10,FALSE)),1,0)</f>
        <v>0</v>
      </c>
      <c r="W613" s="9">
        <f>IF($A613=VLOOKUP(YEAR($A613),'Festive dates'!$A$2:$J$5,7,FALSE),1,0)</f>
        <v>0</v>
      </c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</row>
    <row r="614" spans="1:51">
      <c r="A614" s="8">
        <v>45629</v>
      </c>
      <c r="B614" s="9">
        <v>0</v>
      </c>
      <c r="C614" s="9">
        <v>0</v>
      </c>
      <c r="D614" s="9">
        <v>0</v>
      </c>
      <c r="E614" s="9">
        <v>0</v>
      </c>
      <c r="F614" s="9">
        <v>0</v>
      </c>
      <c r="G614" s="9">
        <v>0</v>
      </c>
      <c r="H614" s="9">
        <v>0</v>
      </c>
      <c r="I614" s="9">
        <v>0</v>
      </c>
      <c r="J614" s="9">
        <v>0</v>
      </c>
      <c r="K614" s="9">
        <v>0</v>
      </c>
      <c r="L614" s="9">
        <v>0</v>
      </c>
      <c r="M614" s="9">
        <v>0</v>
      </c>
      <c r="N614" s="9">
        <v>0</v>
      </c>
      <c r="O614" s="9">
        <v>0</v>
      </c>
      <c r="P614" s="9">
        <v>1</v>
      </c>
      <c r="Q614" s="9">
        <f>MAX(-20,MIN(10,$A614-VLOOKUP(YEAR($A614),'Festive dates'!$A$2:$J$5,8,FALSE)))</f>
        <v>10</v>
      </c>
      <c r="R614" s="9">
        <f>IF(AND($A614&gt;VLOOKUP(YEAR($A614),'Festive dates'!$A$2:$J$5,2,FALSE),$A614&lt;VLOOKUP(YEAR($A614),'Festive dates'!$A$2:$J$5,3,FALSE)),1,0)</f>
        <v>0</v>
      </c>
      <c r="S614" s="9">
        <f>IF($A614=VLOOKUP(YEAR($A614),'Festive dates'!$A$2:$J$5,2,FALSE),1,0)</f>
        <v>0</v>
      </c>
      <c r="T614" s="9">
        <f>IF($A614=VLOOKUP(YEAR($A614),'Festive dates'!$A$2:$J$5,3,FALSE),1,0)</f>
        <v>0</v>
      </c>
      <c r="U614" s="9">
        <f>IF($A614=VLOOKUP(YEAR($A614),'Festive dates'!$A$2:$J$5,4,FALSE),1,0)</f>
        <v>0</v>
      </c>
      <c r="V614" s="9">
        <f>IF(AND($A614&gt;=VLOOKUP(YEAR($A614),'Festive dates'!$A$2:$J$5,9,FALSE),$A614&lt;=VLOOKUP(YEAR($A614),'Festive dates'!$A$2:$J$5,10,FALSE)),1,0)</f>
        <v>0</v>
      </c>
      <c r="W614" s="9">
        <f>IF($A614=VLOOKUP(YEAR($A614),'Festive dates'!$A$2:$J$5,7,FALSE),1,0)</f>
        <v>0</v>
      </c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</row>
    <row r="615" spans="1:51">
      <c r="A615" s="8">
        <v>45630</v>
      </c>
      <c r="B615" s="9">
        <v>0</v>
      </c>
      <c r="C615" s="9">
        <v>0</v>
      </c>
      <c r="D615" s="9">
        <v>0</v>
      </c>
      <c r="E615" s="9">
        <v>0</v>
      </c>
      <c r="F615" s="9">
        <v>0</v>
      </c>
      <c r="G615" s="9">
        <v>0</v>
      </c>
      <c r="H615" s="9">
        <v>0</v>
      </c>
      <c r="I615" s="9">
        <v>0</v>
      </c>
      <c r="J615" s="9">
        <v>0</v>
      </c>
      <c r="K615" s="9">
        <v>0</v>
      </c>
      <c r="L615" s="9">
        <v>0</v>
      </c>
      <c r="M615" s="9">
        <v>0</v>
      </c>
      <c r="N615" s="9">
        <v>0</v>
      </c>
      <c r="O615" s="9">
        <v>0</v>
      </c>
      <c r="P615" s="9">
        <v>0</v>
      </c>
      <c r="Q615" s="9">
        <f>MAX(-20,MIN(10,$A615-VLOOKUP(YEAR($A615),'Festive dates'!$A$2:$J$5,8,FALSE)))</f>
        <v>10</v>
      </c>
      <c r="R615" s="9">
        <f>IF(AND($A615&gt;VLOOKUP(YEAR($A615),'Festive dates'!$A$2:$J$5,2,FALSE),$A615&lt;VLOOKUP(YEAR($A615),'Festive dates'!$A$2:$J$5,3,FALSE)),1,0)</f>
        <v>0</v>
      </c>
      <c r="S615" s="9">
        <f>IF($A615=VLOOKUP(YEAR($A615),'Festive dates'!$A$2:$J$5,2,FALSE),1,0)</f>
        <v>0</v>
      </c>
      <c r="T615" s="9">
        <f>IF($A615=VLOOKUP(YEAR($A615),'Festive dates'!$A$2:$J$5,3,FALSE),1,0)</f>
        <v>0</v>
      </c>
      <c r="U615" s="9">
        <f>IF($A615=VLOOKUP(YEAR($A615),'Festive dates'!$A$2:$J$5,4,FALSE),1,0)</f>
        <v>0</v>
      </c>
      <c r="V615" s="9">
        <f>IF(AND($A615&gt;=VLOOKUP(YEAR($A615),'Festive dates'!$A$2:$J$5,9,FALSE),$A615&lt;=VLOOKUP(YEAR($A615),'Festive dates'!$A$2:$J$5,10,FALSE)),1,0)</f>
        <v>0</v>
      </c>
      <c r="W615" s="9">
        <f>IF($A615=VLOOKUP(YEAR($A615),'Festive dates'!$A$2:$J$5,7,FALSE),1,0)</f>
        <v>0</v>
      </c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</row>
    <row r="616" spans="1:51">
      <c r="A616" s="8">
        <v>45631</v>
      </c>
      <c r="B616" s="9">
        <v>0</v>
      </c>
      <c r="C616" s="9">
        <v>0</v>
      </c>
      <c r="D616" s="9">
        <v>0</v>
      </c>
      <c r="E616" s="9">
        <v>0</v>
      </c>
      <c r="F616" s="9">
        <v>0</v>
      </c>
      <c r="G616" s="9">
        <v>0</v>
      </c>
      <c r="H616" s="9">
        <v>0</v>
      </c>
      <c r="I616" s="9">
        <v>0</v>
      </c>
      <c r="J616" s="9">
        <v>0</v>
      </c>
      <c r="K616" s="9">
        <v>0</v>
      </c>
      <c r="L616" s="9">
        <v>0</v>
      </c>
      <c r="M616" s="9">
        <v>0</v>
      </c>
      <c r="N616" s="9">
        <v>0</v>
      </c>
      <c r="O616" s="9">
        <v>0</v>
      </c>
      <c r="P616" s="9">
        <v>0</v>
      </c>
      <c r="Q616" s="9">
        <f>MAX(-20,MIN(10,$A616-VLOOKUP(YEAR($A616),'Festive dates'!$A$2:$J$5,8,FALSE)))</f>
        <v>10</v>
      </c>
      <c r="R616" s="9">
        <f>IF(AND($A616&gt;VLOOKUP(YEAR($A616),'Festive dates'!$A$2:$J$5,2,FALSE),$A616&lt;VLOOKUP(YEAR($A616),'Festive dates'!$A$2:$J$5,3,FALSE)),1,0)</f>
        <v>0</v>
      </c>
      <c r="S616" s="9">
        <f>IF($A616=VLOOKUP(YEAR($A616),'Festive dates'!$A$2:$J$5,2,FALSE),1,0)</f>
        <v>0</v>
      </c>
      <c r="T616" s="9">
        <f>IF($A616=VLOOKUP(YEAR($A616),'Festive dates'!$A$2:$J$5,3,FALSE),1,0)</f>
        <v>0</v>
      </c>
      <c r="U616" s="9">
        <f>IF($A616=VLOOKUP(YEAR($A616),'Festive dates'!$A$2:$J$5,4,FALSE),1,0)</f>
        <v>0</v>
      </c>
      <c r="V616" s="9">
        <f>IF(AND($A616&gt;=VLOOKUP(YEAR($A616),'Festive dates'!$A$2:$J$5,9,FALSE),$A616&lt;=VLOOKUP(YEAR($A616),'Festive dates'!$A$2:$J$5,10,FALSE)),1,0)</f>
        <v>0</v>
      </c>
      <c r="W616" s="9">
        <f>IF($A616=VLOOKUP(YEAR($A616),'Festive dates'!$A$2:$J$5,7,FALSE),1,0)</f>
        <v>0</v>
      </c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</row>
    <row r="617" spans="1:51">
      <c r="A617" s="8">
        <v>45632</v>
      </c>
      <c r="B617" s="9">
        <v>0</v>
      </c>
      <c r="C617" s="9">
        <v>0</v>
      </c>
      <c r="D617" s="9">
        <v>0</v>
      </c>
      <c r="E617" s="9">
        <v>0</v>
      </c>
      <c r="F617" s="9">
        <v>0</v>
      </c>
      <c r="G617" s="9">
        <v>0</v>
      </c>
      <c r="H617" s="9">
        <v>0</v>
      </c>
      <c r="I617" s="9">
        <v>0</v>
      </c>
      <c r="J617" s="9">
        <v>0</v>
      </c>
      <c r="K617" s="9">
        <v>0</v>
      </c>
      <c r="L617" s="9">
        <v>0</v>
      </c>
      <c r="M617" s="9">
        <v>0</v>
      </c>
      <c r="N617" s="9">
        <v>0</v>
      </c>
      <c r="O617" s="9">
        <v>0</v>
      </c>
      <c r="P617" s="9">
        <v>0</v>
      </c>
      <c r="Q617" s="9">
        <f>MAX(-20,MIN(10,$A617-VLOOKUP(YEAR($A617),'Festive dates'!$A$2:$J$5,8,FALSE)))</f>
        <v>10</v>
      </c>
      <c r="R617" s="9">
        <f>IF(AND($A617&gt;VLOOKUP(YEAR($A617),'Festive dates'!$A$2:$J$5,2,FALSE),$A617&lt;VLOOKUP(YEAR($A617),'Festive dates'!$A$2:$J$5,3,FALSE)),1,0)</f>
        <v>0</v>
      </c>
      <c r="S617" s="9">
        <f>IF($A617=VLOOKUP(YEAR($A617),'Festive dates'!$A$2:$J$5,2,FALSE),1,0)</f>
        <v>0</v>
      </c>
      <c r="T617" s="9">
        <f>IF($A617=VLOOKUP(YEAR($A617),'Festive dates'!$A$2:$J$5,3,FALSE),1,0)</f>
        <v>0</v>
      </c>
      <c r="U617" s="9">
        <f>IF($A617=VLOOKUP(YEAR($A617),'Festive dates'!$A$2:$J$5,4,FALSE),1,0)</f>
        <v>0</v>
      </c>
      <c r="V617" s="9">
        <f>IF(AND($A617&gt;=VLOOKUP(YEAR($A617),'Festive dates'!$A$2:$J$5,9,FALSE),$A617&lt;=VLOOKUP(YEAR($A617),'Festive dates'!$A$2:$J$5,10,FALSE)),1,0)</f>
        <v>0</v>
      </c>
      <c r="W617" s="9">
        <f>IF($A617=VLOOKUP(YEAR($A617),'Festive dates'!$A$2:$J$5,7,FALSE),1,0)</f>
        <v>0</v>
      </c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</row>
    <row r="618" spans="1:51">
      <c r="A618" s="8">
        <v>45633</v>
      </c>
      <c r="B618" s="9">
        <v>0</v>
      </c>
      <c r="C618" s="9">
        <v>0</v>
      </c>
      <c r="D618" s="9">
        <v>0</v>
      </c>
      <c r="E618" s="9">
        <v>0</v>
      </c>
      <c r="F618" s="9">
        <v>0</v>
      </c>
      <c r="G618" s="9">
        <v>0</v>
      </c>
      <c r="H618" s="9">
        <v>0</v>
      </c>
      <c r="I618" s="9">
        <v>0</v>
      </c>
      <c r="J618" s="9">
        <v>0</v>
      </c>
      <c r="K618" s="9">
        <v>0</v>
      </c>
      <c r="L618" s="9">
        <v>0</v>
      </c>
      <c r="M618" s="9">
        <v>0</v>
      </c>
      <c r="N618" s="9">
        <v>0</v>
      </c>
      <c r="O618" s="9">
        <v>0</v>
      </c>
      <c r="P618" s="9">
        <v>1</v>
      </c>
      <c r="Q618" s="9">
        <f>MAX(-20,MIN(10,$A618-VLOOKUP(YEAR($A618),'Festive dates'!$A$2:$J$5,8,FALSE)))</f>
        <v>10</v>
      </c>
      <c r="R618" s="9">
        <f>IF(AND($A618&gt;VLOOKUP(YEAR($A618),'Festive dates'!$A$2:$J$5,2,FALSE),$A618&lt;VLOOKUP(YEAR($A618),'Festive dates'!$A$2:$J$5,3,FALSE)),1,0)</f>
        <v>0</v>
      </c>
      <c r="S618" s="9">
        <f>IF($A618=VLOOKUP(YEAR($A618),'Festive dates'!$A$2:$J$5,2,FALSE),1,0)</f>
        <v>0</v>
      </c>
      <c r="T618" s="9">
        <f>IF($A618=VLOOKUP(YEAR($A618),'Festive dates'!$A$2:$J$5,3,FALSE),1,0)</f>
        <v>0</v>
      </c>
      <c r="U618" s="9">
        <f>IF($A618=VLOOKUP(YEAR($A618),'Festive dates'!$A$2:$J$5,4,FALSE),1,0)</f>
        <v>0</v>
      </c>
      <c r="V618" s="9">
        <f>IF(AND($A618&gt;=VLOOKUP(YEAR($A618),'Festive dates'!$A$2:$J$5,9,FALSE),$A618&lt;=VLOOKUP(YEAR($A618),'Festive dates'!$A$2:$J$5,10,FALSE)),1,0)</f>
        <v>0</v>
      </c>
      <c r="W618" s="9">
        <f>IF($A618=VLOOKUP(YEAR($A618),'Festive dates'!$A$2:$J$5,7,FALSE),1,0)</f>
        <v>0</v>
      </c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</row>
    <row r="619" spans="1:51">
      <c r="A619" s="8">
        <v>45634</v>
      </c>
      <c r="B619" s="9">
        <v>0</v>
      </c>
      <c r="C619" s="9">
        <v>0</v>
      </c>
      <c r="D619" s="9">
        <v>0</v>
      </c>
      <c r="E619" s="9">
        <v>0</v>
      </c>
      <c r="F619" s="9">
        <v>0</v>
      </c>
      <c r="G619" s="9">
        <v>0</v>
      </c>
      <c r="H619" s="9">
        <v>0</v>
      </c>
      <c r="I619" s="9">
        <v>0</v>
      </c>
      <c r="J619" s="9">
        <v>0</v>
      </c>
      <c r="K619" s="9">
        <v>0</v>
      </c>
      <c r="L619" s="9">
        <v>0</v>
      </c>
      <c r="M619" s="9">
        <v>0</v>
      </c>
      <c r="N619" s="9">
        <v>0</v>
      </c>
      <c r="O619" s="9">
        <v>0</v>
      </c>
      <c r="P619" s="9">
        <v>0</v>
      </c>
      <c r="Q619" s="9">
        <f>MAX(-20,MIN(10,$A619-VLOOKUP(YEAR($A619),'Festive dates'!$A$2:$J$5,8,FALSE)))</f>
        <v>10</v>
      </c>
      <c r="R619" s="9">
        <f>IF(AND($A619&gt;VLOOKUP(YEAR($A619),'Festive dates'!$A$2:$J$5,2,FALSE),$A619&lt;VLOOKUP(YEAR($A619),'Festive dates'!$A$2:$J$5,3,FALSE)),1,0)</f>
        <v>0</v>
      </c>
      <c r="S619" s="9">
        <f>IF($A619=VLOOKUP(YEAR($A619),'Festive dates'!$A$2:$J$5,2,FALSE),1,0)</f>
        <v>0</v>
      </c>
      <c r="T619" s="9">
        <f>IF($A619=VLOOKUP(YEAR($A619),'Festive dates'!$A$2:$J$5,3,FALSE),1,0)</f>
        <v>0</v>
      </c>
      <c r="U619" s="9">
        <f>IF($A619=VLOOKUP(YEAR($A619),'Festive dates'!$A$2:$J$5,4,FALSE),1,0)</f>
        <v>0</v>
      </c>
      <c r="V619" s="9">
        <f>IF(AND($A619&gt;=VLOOKUP(YEAR($A619),'Festive dates'!$A$2:$J$5,9,FALSE),$A619&lt;=VLOOKUP(YEAR($A619),'Festive dates'!$A$2:$J$5,10,FALSE)),1,0)</f>
        <v>0</v>
      </c>
      <c r="W619" s="9">
        <f>IF($A619=VLOOKUP(YEAR($A619),'Festive dates'!$A$2:$J$5,7,FALSE),1,0)</f>
        <v>0</v>
      </c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</row>
    <row r="620" spans="1:51">
      <c r="A620" s="8">
        <v>45635</v>
      </c>
      <c r="B620" s="9">
        <v>0</v>
      </c>
      <c r="C620" s="9">
        <v>0</v>
      </c>
      <c r="D620" s="9">
        <v>0</v>
      </c>
      <c r="E620" s="9">
        <v>0</v>
      </c>
      <c r="F620" s="9">
        <v>0</v>
      </c>
      <c r="G620" s="9">
        <v>0</v>
      </c>
      <c r="H620" s="9">
        <v>0</v>
      </c>
      <c r="I620" s="9">
        <v>0</v>
      </c>
      <c r="J620" s="9">
        <v>0</v>
      </c>
      <c r="K620" s="9">
        <v>0</v>
      </c>
      <c r="L620" s="9">
        <v>0</v>
      </c>
      <c r="M620" s="9">
        <v>0</v>
      </c>
      <c r="N620" s="9">
        <v>0</v>
      </c>
      <c r="O620" s="9">
        <v>0</v>
      </c>
      <c r="P620" s="9">
        <v>0</v>
      </c>
      <c r="Q620" s="9">
        <f>MAX(-20,MIN(10,$A620-VLOOKUP(YEAR($A620),'Festive dates'!$A$2:$J$5,8,FALSE)))</f>
        <v>10</v>
      </c>
      <c r="R620" s="9">
        <f>IF(AND($A620&gt;VLOOKUP(YEAR($A620),'Festive dates'!$A$2:$J$5,2,FALSE),$A620&lt;VLOOKUP(YEAR($A620),'Festive dates'!$A$2:$J$5,3,FALSE)),1,0)</f>
        <v>0</v>
      </c>
      <c r="S620" s="9">
        <f>IF($A620=VLOOKUP(YEAR($A620),'Festive dates'!$A$2:$J$5,2,FALSE),1,0)</f>
        <v>0</v>
      </c>
      <c r="T620" s="9">
        <f>IF($A620=VLOOKUP(YEAR($A620),'Festive dates'!$A$2:$J$5,3,FALSE),1,0)</f>
        <v>0</v>
      </c>
      <c r="U620" s="9">
        <f>IF($A620=VLOOKUP(YEAR($A620),'Festive dates'!$A$2:$J$5,4,FALSE),1,0)</f>
        <v>0</v>
      </c>
      <c r="V620" s="9">
        <f>IF(AND($A620&gt;=VLOOKUP(YEAR($A620),'Festive dates'!$A$2:$J$5,9,FALSE),$A620&lt;=VLOOKUP(YEAR($A620),'Festive dates'!$A$2:$J$5,10,FALSE)),1,0)</f>
        <v>0</v>
      </c>
      <c r="W620" s="9">
        <f>IF($A620=VLOOKUP(YEAR($A620),'Festive dates'!$A$2:$J$5,7,FALSE),1,0)</f>
        <v>0</v>
      </c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</row>
    <row r="621" spans="1:51">
      <c r="A621" s="8">
        <v>45636</v>
      </c>
      <c r="B621" s="9">
        <v>0</v>
      </c>
      <c r="C621" s="9">
        <v>0</v>
      </c>
      <c r="D621" s="9">
        <v>0</v>
      </c>
      <c r="E621" s="9">
        <v>0</v>
      </c>
      <c r="F621" s="9">
        <v>0</v>
      </c>
      <c r="G621" s="9">
        <v>0</v>
      </c>
      <c r="H621" s="9">
        <v>0</v>
      </c>
      <c r="I621" s="9">
        <v>0</v>
      </c>
      <c r="J621" s="9">
        <v>0</v>
      </c>
      <c r="K621" s="9">
        <v>0</v>
      </c>
      <c r="L621" s="9">
        <v>0</v>
      </c>
      <c r="M621" s="9">
        <v>0</v>
      </c>
      <c r="N621" s="9">
        <v>0</v>
      </c>
      <c r="O621" s="9">
        <v>0</v>
      </c>
      <c r="P621" s="9">
        <v>0</v>
      </c>
      <c r="Q621" s="9">
        <f>MAX(-20,MIN(10,$A621-VLOOKUP(YEAR($A621),'Festive dates'!$A$2:$J$5,8,FALSE)))</f>
        <v>10</v>
      </c>
      <c r="R621" s="9">
        <f>IF(AND($A621&gt;VLOOKUP(YEAR($A621),'Festive dates'!$A$2:$J$5,2,FALSE),$A621&lt;VLOOKUP(YEAR($A621),'Festive dates'!$A$2:$J$5,3,FALSE)),1,0)</f>
        <v>0</v>
      </c>
      <c r="S621" s="9">
        <f>IF($A621=VLOOKUP(YEAR($A621),'Festive dates'!$A$2:$J$5,2,FALSE),1,0)</f>
        <v>0</v>
      </c>
      <c r="T621" s="9">
        <f>IF($A621=VLOOKUP(YEAR($A621),'Festive dates'!$A$2:$J$5,3,FALSE),1,0)</f>
        <v>0</v>
      </c>
      <c r="U621" s="9">
        <f>IF($A621=VLOOKUP(YEAR($A621),'Festive dates'!$A$2:$J$5,4,FALSE),1,0)</f>
        <v>0</v>
      </c>
      <c r="V621" s="9">
        <f>IF(AND($A621&gt;=VLOOKUP(YEAR($A621),'Festive dates'!$A$2:$J$5,9,FALSE),$A621&lt;=VLOOKUP(YEAR($A621),'Festive dates'!$A$2:$J$5,10,FALSE)),1,0)</f>
        <v>0</v>
      </c>
      <c r="W621" s="9">
        <f>IF($A621=VLOOKUP(YEAR($A621),'Festive dates'!$A$2:$J$5,7,FALSE),1,0)</f>
        <v>0</v>
      </c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</row>
    <row r="622" spans="1:51">
      <c r="A622" s="8">
        <v>45637</v>
      </c>
      <c r="B622" s="9">
        <v>0</v>
      </c>
      <c r="C622" s="9">
        <v>0</v>
      </c>
      <c r="D622" s="9">
        <v>0</v>
      </c>
      <c r="E622" s="9">
        <v>0</v>
      </c>
      <c r="F622" s="9">
        <v>0</v>
      </c>
      <c r="G622" s="9">
        <v>0</v>
      </c>
      <c r="H622" s="9">
        <v>0</v>
      </c>
      <c r="I622" s="9">
        <v>0</v>
      </c>
      <c r="J622" s="9">
        <v>0</v>
      </c>
      <c r="K622" s="9">
        <v>0</v>
      </c>
      <c r="L622" s="9">
        <v>0</v>
      </c>
      <c r="M622" s="9">
        <v>0</v>
      </c>
      <c r="N622" s="9">
        <v>0</v>
      </c>
      <c r="O622" s="9">
        <v>0</v>
      </c>
      <c r="P622" s="9">
        <v>0</v>
      </c>
      <c r="Q622" s="9">
        <f>MAX(-20,MIN(10,$A622-VLOOKUP(YEAR($A622),'Festive dates'!$A$2:$J$5,8,FALSE)))</f>
        <v>10</v>
      </c>
      <c r="R622" s="9">
        <f>IF(AND($A622&gt;VLOOKUP(YEAR($A622),'Festive dates'!$A$2:$J$5,2,FALSE),$A622&lt;VLOOKUP(YEAR($A622),'Festive dates'!$A$2:$J$5,3,FALSE)),1,0)</f>
        <v>0</v>
      </c>
      <c r="S622" s="9">
        <f>IF($A622=VLOOKUP(YEAR($A622),'Festive dates'!$A$2:$J$5,2,FALSE),1,0)</f>
        <v>0</v>
      </c>
      <c r="T622" s="9">
        <f>IF($A622=VLOOKUP(YEAR($A622),'Festive dates'!$A$2:$J$5,3,FALSE),1,0)</f>
        <v>0</v>
      </c>
      <c r="U622" s="9">
        <f>IF($A622=VLOOKUP(YEAR($A622),'Festive dates'!$A$2:$J$5,4,FALSE),1,0)</f>
        <v>0</v>
      </c>
      <c r="V622" s="9">
        <f>IF(AND($A622&gt;=VLOOKUP(YEAR($A622),'Festive dates'!$A$2:$J$5,9,FALSE),$A622&lt;=VLOOKUP(YEAR($A622),'Festive dates'!$A$2:$J$5,10,FALSE)),1,0)</f>
        <v>0</v>
      </c>
      <c r="W622" s="9">
        <f>IF($A622=VLOOKUP(YEAR($A622),'Festive dates'!$A$2:$J$5,7,FALSE),1,0)</f>
        <v>0</v>
      </c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</row>
    <row r="623" spans="1:51">
      <c r="A623" s="8">
        <v>45638</v>
      </c>
      <c r="B623" s="9">
        <v>0</v>
      </c>
      <c r="C623" s="9">
        <v>0</v>
      </c>
      <c r="D623" s="9">
        <v>0</v>
      </c>
      <c r="E623" s="9">
        <v>0</v>
      </c>
      <c r="F623" s="9">
        <v>0</v>
      </c>
      <c r="G623" s="9">
        <v>0</v>
      </c>
      <c r="H623" s="9">
        <v>0</v>
      </c>
      <c r="I623" s="9">
        <v>0</v>
      </c>
      <c r="J623" s="9">
        <v>0</v>
      </c>
      <c r="K623" s="9">
        <v>0</v>
      </c>
      <c r="L623" s="9">
        <v>0</v>
      </c>
      <c r="M623" s="9">
        <v>0</v>
      </c>
      <c r="N623" s="9">
        <v>0</v>
      </c>
      <c r="O623" s="9">
        <v>0</v>
      </c>
      <c r="P623" s="9">
        <v>0</v>
      </c>
      <c r="Q623" s="9">
        <f>MAX(-20,MIN(10,$A623-VLOOKUP(YEAR($A623),'Festive dates'!$A$2:$J$5,8,FALSE)))</f>
        <v>10</v>
      </c>
      <c r="R623" s="9">
        <f>IF(AND($A623&gt;VLOOKUP(YEAR($A623),'Festive dates'!$A$2:$J$5,2,FALSE),$A623&lt;VLOOKUP(YEAR($A623),'Festive dates'!$A$2:$J$5,3,FALSE)),1,0)</f>
        <v>0</v>
      </c>
      <c r="S623" s="9">
        <f>IF($A623=VLOOKUP(YEAR($A623),'Festive dates'!$A$2:$J$5,2,FALSE),1,0)</f>
        <v>0</v>
      </c>
      <c r="T623" s="9">
        <f>IF($A623=VLOOKUP(YEAR($A623),'Festive dates'!$A$2:$J$5,3,FALSE),1,0)</f>
        <v>0</v>
      </c>
      <c r="U623" s="9">
        <f>IF($A623=VLOOKUP(YEAR($A623),'Festive dates'!$A$2:$J$5,4,FALSE),1,0)</f>
        <v>0</v>
      </c>
      <c r="V623" s="9">
        <f>IF(AND($A623&gt;=VLOOKUP(YEAR($A623),'Festive dates'!$A$2:$J$5,9,FALSE),$A623&lt;=VLOOKUP(YEAR($A623),'Festive dates'!$A$2:$J$5,10,FALSE)),1,0)</f>
        <v>0</v>
      </c>
      <c r="W623" s="9">
        <f>IF($A623=VLOOKUP(YEAR($A623),'Festive dates'!$A$2:$J$5,7,FALSE),1,0)</f>
        <v>0</v>
      </c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</row>
    <row r="624" spans="1:51">
      <c r="A624" s="8">
        <v>45639</v>
      </c>
      <c r="B624" s="9">
        <v>0</v>
      </c>
      <c r="C624" s="9">
        <v>0</v>
      </c>
      <c r="D624" s="9">
        <v>0</v>
      </c>
      <c r="E624" s="9">
        <v>0</v>
      </c>
      <c r="F624" s="9">
        <v>0</v>
      </c>
      <c r="G624" s="9">
        <v>0</v>
      </c>
      <c r="H624" s="9">
        <v>0</v>
      </c>
      <c r="I624" s="9">
        <v>0</v>
      </c>
      <c r="J624" s="9">
        <v>0</v>
      </c>
      <c r="K624" s="9">
        <v>0</v>
      </c>
      <c r="L624" s="9">
        <v>0</v>
      </c>
      <c r="M624" s="9">
        <v>0</v>
      </c>
      <c r="N624" s="9">
        <v>0</v>
      </c>
      <c r="O624" s="9">
        <v>0</v>
      </c>
      <c r="P624" s="9">
        <v>0</v>
      </c>
      <c r="Q624" s="9">
        <f>MAX(-20,MIN(10,$A624-VLOOKUP(YEAR($A624),'Festive dates'!$A$2:$J$5,8,FALSE)))</f>
        <v>10</v>
      </c>
      <c r="R624" s="9">
        <f>IF(AND($A624&gt;VLOOKUP(YEAR($A624),'Festive dates'!$A$2:$J$5,2,FALSE),$A624&lt;VLOOKUP(YEAR($A624),'Festive dates'!$A$2:$J$5,3,FALSE)),1,0)</f>
        <v>0</v>
      </c>
      <c r="S624" s="9">
        <f>IF($A624=VLOOKUP(YEAR($A624),'Festive dates'!$A$2:$J$5,2,FALSE),1,0)</f>
        <v>0</v>
      </c>
      <c r="T624" s="9">
        <f>IF($A624=VLOOKUP(YEAR($A624),'Festive dates'!$A$2:$J$5,3,FALSE),1,0)</f>
        <v>0</v>
      </c>
      <c r="U624" s="9">
        <f>IF($A624=VLOOKUP(YEAR($A624),'Festive dates'!$A$2:$J$5,4,FALSE),1,0)</f>
        <v>0</v>
      </c>
      <c r="V624" s="9">
        <f>IF(AND($A624&gt;=VLOOKUP(YEAR($A624),'Festive dates'!$A$2:$J$5,9,FALSE),$A624&lt;=VLOOKUP(YEAR($A624),'Festive dates'!$A$2:$J$5,10,FALSE)),1,0)</f>
        <v>0</v>
      </c>
      <c r="W624" s="9">
        <f>IF($A624=VLOOKUP(YEAR($A624),'Festive dates'!$A$2:$J$5,7,FALSE),1,0)</f>
        <v>0</v>
      </c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</row>
    <row r="625" spans="1:51">
      <c r="A625" s="8">
        <v>45640</v>
      </c>
      <c r="B625" s="9">
        <v>0</v>
      </c>
      <c r="C625" s="9">
        <v>0</v>
      </c>
      <c r="D625" s="9">
        <v>0</v>
      </c>
      <c r="E625" s="9">
        <v>0</v>
      </c>
      <c r="F625" s="9">
        <v>0</v>
      </c>
      <c r="G625" s="9">
        <v>0</v>
      </c>
      <c r="H625" s="9">
        <v>0</v>
      </c>
      <c r="I625" s="9">
        <v>0</v>
      </c>
      <c r="J625" s="9">
        <v>0</v>
      </c>
      <c r="K625" s="9">
        <v>0</v>
      </c>
      <c r="L625" s="9">
        <v>0</v>
      </c>
      <c r="M625" s="9">
        <v>0</v>
      </c>
      <c r="N625" s="9">
        <v>0</v>
      </c>
      <c r="O625" s="9">
        <v>0</v>
      </c>
      <c r="P625" s="9">
        <v>0</v>
      </c>
      <c r="Q625" s="9">
        <f>MAX(-20,MIN(10,$A625-VLOOKUP(YEAR($A625),'Festive dates'!$A$2:$J$5,8,FALSE)))</f>
        <v>10</v>
      </c>
      <c r="R625" s="9">
        <f>IF(AND($A625&gt;VLOOKUP(YEAR($A625),'Festive dates'!$A$2:$J$5,2,FALSE),$A625&lt;VLOOKUP(YEAR($A625),'Festive dates'!$A$2:$J$5,3,FALSE)),1,0)</f>
        <v>0</v>
      </c>
      <c r="S625" s="9">
        <f>IF($A625=VLOOKUP(YEAR($A625),'Festive dates'!$A$2:$J$5,2,FALSE),1,0)</f>
        <v>0</v>
      </c>
      <c r="T625" s="9">
        <f>IF($A625=VLOOKUP(YEAR($A625),'Festive dates'!$A$2:$J$5,3,FALSE),1,0)</f>
        <v>0</v>
      </c>
      <c r="U625" s="9">
        <f>IF($A625=VLOOKUP(YEAR($A625),'Festive dates'!$A$2:$J$5,4,FALSE),1,0)</f>
        <v>0</v>
      </c>
      <c r="V625" s="9">
        <f>IF(AND($A625&gt;=VLOOKUP(YEAR($A625),'Festive dates'!$A$2:$J$5,9,FALSE),$A625&lt;=VLOOKUP(YEAR($A625),'Festive dates'!$A$2:$J$5,10,FALSE)),1,0)</f>
        <v>0</v>
      </c>
      <c r="W625" s="9">
        <f>IF($A625=VLOOKUP(YEAR($A625),'Festive dates'!$A$2:$J$5,7,FALSE),1,0)</f>
        <v>0</v>
      </c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</row>
    <row r="626" spans="1:51">
      <c r="A626" s="8">
        <v>45641</v>
      </c>
      <c r="B626" s="9">
        <v>0</v>
      </c>
      <c r="C626" s="9">
        <v>0</v>
      </c>
      <c r="D626" s="9">
        <v>0</v>
      </c>
      <c r="E626" s="9">
        <v>0</v>
      </c>
      <c r="F626" s="9">
        <v>0</v>
      </c>
      <c r="G626" s="9">
        <v>0</v>
      </c>
      <c r="H626" s="9">
        <v>0</v>
      </c>
      <c r="I626" s="9">
        <v>0</v>
      </c>
      <c r="J626" s="9">
        <v>0</v>
      </c>
      <c r="K626" s="9">
        <v>0</v>
      </c>
      <c r="L626" s="9">
        <v>0</v>
      </c>
      <c r="M626" s="9">
        <v>0</v>
      </c>
      <c r="N626" s="9">
        <v>0</v>
      </c>
      <c r="O626" s="9">
        <v>0</v>
      </c>
      <c r="P626" s="9">
        <v>0</v>
      </c>
      <c r="Q626" s="9">
        <f>MAX(-20,MIN(10,$A626-VLOOKUP(YEAR($A626),'Festive dates'!$A$2:$J$5,8,FALSE)))</f>
        <v>10</v>
      </c>
      <c r="R626" s="9">
        <f>IF(AND($A626&gt;VLOOKUP(YEAR($A626),'Festive dates'!$A$2:$J$5,2,FALSE),$A626&lt;VLOOKUP(YEAR($A626),'Festive dates'!$A$2:$J$5,3,FALSE)),1,0)</f>
        <v>0</v>
      </c>
      <c r="S626" s="9">
        <f>IF($A626=VLOOKUP(YEAR($A626),'Festive dates'!$A$2:$J$5,2,FALSE),1,0)</f>
        <v>0</v>
      </c>
      <c r="T626" s="9">
        <f>IF($A626=VLOOKUP(YEAR($A626),'Festive dates'!$A$2:$J$5,3,FALSE),1,0)</f>
        <v>0</v>
      </c>
      <c r="U626" s="9">
        <f>IF($A626=VLOOKUP(YEAR($A626),'Festive dates'!$A$2:$J$5,4,FALSE),1,0)</f>
        <v>0</v>
      </c>
      <c r="V626" s="9">
        <f>IF(AND($A626&gt;=VLOOKUP(YEAR($A626),'Festive dates'!$A$2:$J$5,9,FALSE),$A626&lt;=VLOOKUP(YEAR($A626),'Festive dates'!$A$2:$J$5,10,FALSE)),1,0)</f>
        <v>0</v>
      </c>
      <c r="W626" s="9">
        <f>IF($A626=VLOOKUP(YEAR($A626),'Festive dates'!$A$2:$J$5,7,FALSE),1,0)</f>
        <v>0</v>
      </c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</row>
    <row r="627" spans="1:51">
      <c r="A627" s="8">
        <v>45642</v>
      </c>
      <c r="B627" s="9">
        <v>0</v>
      </c>
      <c r="C627" s="9">
        <v>0</v>
      </c>
      <c r="D627" s="9">
        <v>0</v>
      </c>
      <c r="E627" s="9">
        <v>0</v>
      </c>
      <c r="F627" s="9">
        <v>0</v>
      </c>
      <c r="G627" s="9">
        <v>0</v>
      </c>
      <c r="H627" s="9">
        <v>0</v>
      </c>
      <c r="I627" s="9">
        <v>0</v>
      </c>
      <c r="J627" s="9">
        <v>0</v>
      </c>
      <c r="K627" s="9">
        <v>0</v>
      </c>
      <c r="L627" s="9">
        <v>0</v>
      </c>
      <c r="M627" s="9">
        <v>0</v>
      </c>
      <c r="N627" s="9">
        <v>0</v>
      </c>
      <c r="O627" s="9">
        <v>0</v>
      </c>
      <c r="P627" s="9">
        <v>0</v>
      </c>
      <c r="Q627" s="9">
        <f>MAX(-20,MIN(10,$A627-VLOOKUP(YEAR($A627),'Festive dates'!$A$2:$J$5,8,FALSE)))</f>
        <v>10</v>
      </c>
      <c r="R627" s="9">
        <f>IF(AND($A627&gt;VLOOKUP(YEAR($A627),'Festive dates'!$A$2:$J$5,2,FALSE),$A627&lt;VLOOKUP(YEAR($A627),'Festive dates'!$A$2:$J$5,3,FALSE)),1,0)</f>
        <v>0</v>
      </c>
      <c r="S627" s="9">
        <f>IF($A627=VLOOKUP(YEAR($A627),'Festive dates'!$A$2:$J$5,2,FALSE),1,0)</f>
        <v>0</v>
      </c>
      <c r="T627" s="9">
        <f>IF($A627=VLOOKUP(YEAR($A627),'Festive dates'!$A$2:$J$5,3,FALSE),1,0)</f>
        <v>0</v>
      </c>
      <c r="U627" s="9">
        <f>IF($A627=VLOOKUP(YEAR($A627),'Festive dates'!$A$2:$J$5,4,FALSE),1,0)</f>
        <v>0</v>
      </c>
      <c r="V627" s="9">
        <f>IF(AND($A627&gt;=VLOOKUP(YEAR($A627),'Festive dates'!$A$2:$J$5,9,FALSE),$A627&lt;=VLOOKUP(YEAR($A627),'Festive dates'!$A$2:$J$5,10,FALSE)),1,0)</f>
        <v>0</v>
      </c>
      <c r="W627" s="9">
        <f>IF($A627=VLOOKUP(YEAR($A627),'Festive dates'!$A$2:$J$5,7,FALSE),1,0)</f>
        <v>0</v>
      </c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</row>
    <row r="628" spans="1:51">
      <c r="A628" s="8">
        <v>45643</v>
      </c>
      <c r="B628" s="9">
        <v>0</v>
      </c>
      <c r="C628" s="9">
        <v>0</v>
      </c>
      <c r="D628" s="9">
        <v>0</v>
      </c>
      <c r="E628" s="9">
        <v>0</v>
      </c>
      <c r="F628" s="9">
        <v>0</v>
      </c>
      <c r="G628" s="9">
        <v>0</v>
      </c>
      <c r="H628" s="9">
        <v>0</v>
      </c>
      <c r="I628" s="9">
        <v>0</v>
      </c>
      <c r="J628" s="9">
        <v>0</v>
      </c>
      <c r="K628" s="9">
        <v>0</v>
      </c>
      <c r="L628" s="9">
        <v>0</v>
      </c>
      <c r="M628" s="9">
        <v>0</v>
      </c>
      <c r="N628" s="9">
        <v>0</v>
      </c>
      <c r="O628" s="9">
        <v>0</v>
      </c>
      <c r="P628" s="9">
        <v>0</v>
      </c>
      <c r="Q628" s="9">
        <f>MAX(-20,MIN(10,$A628-VLOOKUP(YEAR($A628),'Festive dates'!$A$2:$J$5,8,FALSE)))</f>
        <v>10</v>
      </c>
      <c r="R628" s="9">
        <f>IF(AND($A628&gt;VLOOKUP(YEAR($A628),'Festive dates'!$A$2:$J$5,2,FALSE),$A628&lt;VLOOKUP(YEAR($A628),'Festive dates'!$A$2:$J$5,3,FALSE)),1,0)</f>
        <v>0</v>
      </c>
      <c r="S628" s="9">
        <f>IF($A628=VLOOKUP(YEAR($A628),'Festive dates'!$A$2:$J$5,2,FALSE),1,0)</f>
        <v>0</v>
      </c>
      <c r="T628" s="9">
        <f>IF($A628=VLOOKUP(YEAR($A628),'Festive dates'!$A$2:$J$5,3,FALSE),1,0)</f>
        <v>0</v>
      </c>
      <c r="U628" s="9">
        <f>IF($A628=VLOOKUP(YEAR($A628),'Festive dates'!$A$2:$J$5,4,FALSE),1,0)</f>
        <v>0</v>
      </c>
      <c r="V628" s="9">
        <f>IF(AND($A628&gt;=VLOOKUP(YEAR($A628),'Festive dates'!$A$2:$J$5,9,FALSE),$A628&lt;=VLOOKUP(YEAR($A628),'Festive dates'!$A$2:$J$5,10,FALSE)),1,0)</f>
        <v>0</v>
      </c>
      <c r="W628" s="9">
        <f>IF($A628=VLOOKUP(YEAR($A628),'Festive dates'!$A$2:$J$5,7,FALSE),1,0)</f>
        <v>0</v>
      </c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</row>
    <row r="629" spans="1:51">
      <c r="A629" s="8">
        <v>45644</v>
      </c>
      <c r="B629" s="9">
        <v>0</v>
      </c>
      <c r="C629" s="9">
        <v>0</v>
      </c>
      <c r="D629" s="9">
        <v>0</v>
      </c>
      <c r="E629" s="9">
        <v>0</v>
      </c>
      <c r="F629" s="9">
        <v>0</v>
      </c>
      <c r="G629" s="9">
        <v>0</v>
      </c>
      <c r="H629" s="9">
        <v>0</v>
      </c>
      <c r="I629" s="9">
        <v>0</v>
      </c>
      <c r="J629" s="9">
        <v>0</v>
      </c>
      <c r="K629" s="9">
        <v>0</v>
      </c>
      <c r="L629" s="9">
        <v>0</v>
      </c>
      <c r="M629" s="9">
        <v>0</v>
      </c>
      <c r="N629" s="9">
        <v>0</v>
      </c>
      <c r="O629" s="9">
        <v>0</v>
      </c>
      <c r="P629" s="9">
        <v>0</v>
      </c>
      <c r="Q629" s="9">
        <f>MAX(-20,MIN(10,$A629-VLOOKUP(YEAR($A629),'Festive dates'!$A$2:$J$5,8,FALSE)))</f>
        <v>10</v>
      </c>
      <c r="R629" s="9">
        <f>IF(AND($A629&gt;VLOOKUP(YEAR($A629),'Festive dates'!$A$2:$J$5,2,FALSE),$A629&lt;VLOOKUP(YEAR($A629),'Festive dates'!$A$2:$J$5,3,FALSE)),1,0)</f>
        <v>0</v>
      </c>
      <c r="S629" s="9">
        <f>IF($A629=VLOOKUP(YEAR($A629),'Festive dates'!$A$2:$J$5,2,FALSE),1,0)</f>
        <v>0</v>
      </c>
      <c r="T629" s="9">
        <f>IF($A629=VLOOKUP(YEAR($A629),'Festive dates'!$A$2:$J$5,3,FALSE),1,0)</f>
        <v>0</v>
      </c>
      <c r="U629" s="9">
        <f>IF($A629=VLOOKUP(YEAR($A629),'Festive dates'!$A$2:$J$5,4,FALSE),1,0)</f>
        <v>0</v>
      </c>
      <c r="V629" s="9">
        <f>IF(AND($A629&gt;=VLOOKUP(YEAR($A629),'Festive dates'!$A$2:$J$5,9,FALSE),$A629&lt;=VLOOKUP(YEAR($A629),'Festive dates'!$A$2:$J$5,10,FALSE)),1,0)</f>
        <v>0</v>
      </c>
      <c r="W629" s="9">
        <f>IF($A629=VLOOKUP(YEAR($A629),'Festive dates'!$A$2:$J$5,7,FALSE),1,0)</f>
        <v>0</v>
      </c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</row>
    <row r="630" spans="1:51">
      <c r="A630" s="8">
        <v>45645</v>
      </c>
      <c r="B630" s="9">
        <v>0</v>
      </c>
      <c r="C630" s="9">
        <v>0</v>
      </c>
      <c r="D630" s="9">
        <v>0</v>
      </c>
      <c r="E630" s="9">
        <v>0</v>
      </c>
      <c r="F630" s="9">
        <v>0</v>
      </c>
      <c r="G630" s="9">
        <v>0</v>
      </c>
      <c r="H630" s="9">
        <v>0</v>
      </c>
      <c r="I630" s="9">
        <v>0</v>
      </c>
      <c r="J630" s="9">
        <v>0</v>
      </c>
      <c r="K630" s="9">
        <v>0</v>
      </c>
      <c r="L630" s="9">
        <v>0</v>
      </c>
      <c r="M630" s="9">
        <v>0</v>
      </c>
      <c r="N630" s="9">
        <v>0</v>
      </c>
      <c r="O630" s="9">
        <v>0</v>
      </c>
      <c r="P630" s="9">
        <v>0</v>
      </c>
      <c r="Q630" s="9">
        <f>MAX(-20,MIN(10,$A630-VLOOKUP(YEAR($A630),'Festive dates'!$A$2:$J$5,8,FALSE)))</f>
        <v>10</v>
      </c>
      <c r="R630" s="9">
        <f>IF(AND($A630&gt;VLOOKUP(YEAR($A630),'Festive dates'!$A$2:$J$5,2,FALSE),$A630&lt;VLOOKUP(YEAR($A630),'Festive dates'!$A$2:$J$5,3,FALSE)),1,0)</f>
        <v>0</v>
      </c>
      <c r="S630" s="9">
        <f>IF($A630=VLOOKUP(YEAR($A630),'Festive dates'!$A$2:$J$5,2,FALSE),1,0)</f>
        <v>0</v>
      </c>
      <c r="T630" s="9">
        <f>IF($A630=VLOOKUP(YEAR($A630),'Festive dates'!$A$2:$J$5,3,FALSE),1,0)</f>
        <v>0</v>
      </c>
      <c r="U630" s="9">
        <f>IF($A630=VLOOKUP(YEAR($A630),'Festive dates'!$A$2:$J$5,4,FALSE),1,0)</f>
        <v>0</v>
      </c>
      <c r="V630" s="9">
        <f>IF(AND($A630&gt;=VLOOKUP(YEAR($A630),'Festive dates'!$A$2:$J$5,9,FALSE),$A630&lt;=VLOOKUP(YEAR($A630),'Festive dates'!$A$2:$J$5,10,FALSE)),1,0)</f>
        <v>0</v>
      </c>
      <c r="W630" s="9">
        <f>IF($A630=VLOOKUP(YEAR($A630),'Festive dates'!$A$2:$J$5,7,FALSE),1,0)</f>
        <v>0</v>
      </c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</row>
    <row r="631" spans="1:51">
      <c r="A631" s="8">
        <v>45646</v>
      </c>
      <c r="B631" s="9">
        <v>0</v>
      </c>
      <c r="C631" s="9">
        <v>0</v>
      </c>
      <c r="D631" s="9">
        <v>0</v>
      </c>
      <c r="E631" s="9">
        <v>0</v>
      </c>
      <c r="F631" s="9">
        <v>0</v>
      </c>
      <c r="G631" s="9">
        <v>0</v>
      </c>
      <c r="H631" s="9">
        <v>0</v>
      </c>
      <c r="I631" s="9">
        <v>0</v>
      </c>
      <c r="J631" s="9">
        <v>0</v>
      </c>
      <c r="K631" s="9">
        <v>0</v>
      </c>
      <c r="L631" s="9">
        <v>0</v>
      </c>
      <c r="M631" s="9">
        <v>0</v>
      </c>
      <c r="N631" s="9">
        <v>0</v>
      </c>
      <c r="O631" s="9">
        <v>0</v>
      </c>
      <c r="P631" s="9">
        <v>0</v>
      </c>
      <c r="Q631" s="9">
        <f>MAX(-20,MIN(10,$A631-VLOOKUP(YEAR($A631),'Festive dates'!$A$2:$J$5,8,FALSE)))</f>
        <v>10</v>
      </c>
      <c r="R631" s="9">
        <f>IF(AND($A631&gt;VLOOKUP(YEAR($A631),'Festive dates'!$A$2:$J$5,2,FALSE),$A631&lt;VLOOKUP(YEAR($A631),'Festive dates'!$A$2:$J$5,3,FALSE)),1,0)</f>
        <v>0</v>
      </c>
      <c r="S631" s="9">
        <f>IF($A631=VLOOKUP(YEAR($A631),'Festive dates'!$A$2:$J$5,2,FALSE),1,0)</f>
        <v>0</v>
      </c>
      <c r="T631" s="9">
        <f>IF($A631=VLOOKUP(YEAR($A631),'Festive dates'!$A$2:$J$5,3,FALSE),1,0)</f>
        <v>0</v>
      </c>
      <c r="U631" s="9">
        <f>IF($A631=VLOOKUP(YEAR($A631),'Festive dates'!$A$2:$J$5,4,FALSE),1,0)</f>
        <v>0</v>
      </c>
      <c r="V631" s="9">
        <f>IF(AND($A631&gt;=VLOOKUP(YEAR($A631),'Festive dates'!$A$2:$J$5,9,FALSE),$A631&lt;=VLOOKUP(YEAR($A631),'Festive dates'!$A$2:$J$5,10,FALSE)),1,0)</f>
        <v>0</v>
      </c>
      <c r="W631" s="9">
        <f>IF($A631=VLOOKUP(YEAR($A631),'Festive dates'!$A$2:$J$5,7,FALSE),1,0)</f>
        <v>0</v>
      </c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</row>
    <row r="632" spans="1:51">
      <c r="A632" s="8">
        <v>45647</v>
      </c>
      <c r="B632" s="9">
        <v>0</v>
      </c>
      <c r="C632" s="9">
        <v>0</v>
      </c>
      <c r="D632" s="9">
        <v>0</v>
      </c>
      <c r="E632" s="9">
        <v>0</v>
      </c>
      <c r="F632" s="9">
        <v>0</v>
      </c>
      <c r="G632" s="9">
        <v>0</v>
      </c>
      <c r="H632" s="9">
        <v>0</v>
      </c>
      <c r="I632" s="9">
        <v>0</v>
      </c>
      <c r="J632" s="9">
        <v>0</v>
      </c>
      <c r="K632" s="9">
        <v>0</v>
      </c>
      <c r="L632" s="9">
        <v>0</v>
      </c>
      <c r="M632" s="9">
        <v>0</v>
      </c>
      <c r="N632" s="9">
        <v>0</v>
      </c>
      <c r="O632" s="9">
        <v>0</v>
      </c>
      <c r="P632" s="9">
        <v>0</v>
      </c>
      <c r="Q632" s="9">
        <f>MAX(-20,MIN(10,$A632-VLOOKUP(YEAR($A632),'Festive dates'!$A$2:$J$5,8,FALSE)))</f>
        <v>10</v>
      </c>
      <c r="R632" s="9">
        <f>IF(AND($A632&gt;VLOOKUP(YEAR($A632),'Festive dates'!$A$2:$J$5,2,FALSE),$A632&lt;VLOOKUP(YEAR($A632),'Festive dates'!$A$2:$J$5,3,FALSE)),1,0)</f>
        <v>0</v>
      </c>
      <c r="S632" s="9">
        <f>IF($A632=VLOOKUP(YEAR($A632),'Festive dates'!$A$2:$J$5,2,FALSE),1,0)</f>
        <v>0</v>
      </c>
      <c r="T632" s="9">
        <f>IF($A632=VLOOKUP(YEAR($A632),'Festive dates'!$A$2:$J$5,3,FALSE),1,0)</f>
        <v>0</v>
      </c>
      <c r="U632" s="9">
        <f>IF($A632=VLOOKUP(YEAR($A632),'Festive dates'!$A$2:$J$5,4,FALSE),1,0)</f>
        <v>0</v>
      </c>
      <c r="V632" s="9">
        <f>IF(AND($A632&gt;=VLOOKUP(YEAR($A632),'Festive dates'!$A$2:$J$5,9,FALSE),$A632&lt;=VLOOKUP(YEAR($A632),'Festive dates'!$A$2:$J$5,10,FALSE)),1,0)</f>
        <v>0</v>
      </c>
      <c r="W632" s="9">
        <f>IF($A632=VLOOKUP(YEAR($A632),'Festive dates'!$A$2:$J$5,7,FALSE),1,0)</f>
        <v>0</v>
      </c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</row>
    <row r="633" spans="1:51">
      <c r="A633" s="8">
        <v>45648</v>
      </c>
      <c r="B633" s="9">
        <v>0</v>
      </c>
      <c r="C633" s="9">
        <v>0</v>
      </c>
      <c r="D633" s="9">
        <v>0</v>
      </c>
      <c r="E633" s="9">
        <v>0</v>
      </c>
      <c r="F633" s="9">
        <v>0</v>
      </c>
      <c r="G633" s="9">
        <v>0</v>
      </c>
      <c r="H633" s="9">
        <v>0</v>
      </c>
      <c r="I633" s="9">
        <v>0</v>
      </c>
      <c r="J633" s="9">
        <v>0</v>
      </c>
      <c r="K633" s="9">
        <v>0</v>
      </c>
      <c r="L633" s="9">
        <v>0</v>
      </c>
      <c r="M633" s="9">
        <v>0</v>
      </c>
      <c r="N633" s="9">
        <v>0</v>
      </c>
      <c r="O633" s="9">
        <v>0</v>
      </c>
      <c r="P633" s="9">
        <v>0</v>
      </c>
      <c r="Q633" s="9">
        <f>MAX(-20,MIN(10,$A633-VLOOKUP(YEAR($A633),'Festive dates'!$A$2:$J$5,8,FALSE)))</f>
        <v>10</v>
      </c>
      <c r="R633" s="9">
        <f>IF(AND($A633&gt;VLOOKUP(YEAR($A633),'Festive dates'!$A$2:$J$5,2,FALSE),$A633&lt;VLOOKUP(YEAR($A633),'Festive dates'!$A$2:$J$5,3,FALSE)),1,0)</f>
        <v>0</v>
      </c>
      <c r="S633" s="9">
        <f>IF($A633=VLOOKUP(YEAR($A633),'Festive dates'!$A$2:$J$5,2,FALSE),1,0)</f>
        <v>0</v>
      </c>
      <c r="T633" s="9">
        <f>IF($A633=VLOOKUP(YEAR($A633),'Festive dates'!$A$2:$J$5,3,FALSE),1,0)</f>
        <v>0</v>
      </c>
      <c r="U633" s="9">
        <f>IF($A633=VLOOKUP(YEAR($A633),'Festive dates'!$A$2:$J$5,4,FALSE),1,0)</f>
        <v>0</v>
      </c>
      <c r="V633" s="9">
        <f>IF(AND($A633&gt;=VLOOKUP(YEAR($A633),'Festive dates'!$A$2:$J$5,9,FALSE),$A633&lt;=VLOOKUP(YEAR($A633),'Festive dates'!$A$2:$J$5,10,FALSE)),1,0)</f>
        <v>0</v>
      </c>
      <c r="W633" s="9">
        <f>IF($A633=VLOOKUP(YEAR($A633),'Festive dates'!$A$2:$J$5,7,FALSE),1,0)</f>
        <v>0</v>
      </c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</row>
    <row r="634" spans="1:51">
      <c r="A634" s="8">
        <v>45649</v>
      </c>
      <c r="B634" s="9">
        <v>0</v>
      </c>
      <c r="C634" s="9">
        <v>0</v>
      </c>
      <c r="D634" s="9">
        <v>0</v>
      </c>
      <c r="E634" s="9">
        <v>0</v>
      </c>
      <c r="F634" s="9">
        <v>0</v>
      </c>
      <c r="G634" s="9">
        <v>0</v>
      </c>
      <c r="H634" s="9">
        <v>0</v>
      </c>
      <c r="I634" s="9">
        <v>0</v>
      </c>
      <c r="J634" s="9">
        <v>0</v>
      </c>
      <c r="K634" s="9">
        <v>0</v>
      </c>
      <c r="L634" s="9">
        <v>0</v>
      </c>
      <c r="M634" s="9">
        <v>0</v>
      </c>
      <c r="N634" s="9">
        <v>0</v>
      </c>
      <c r="O634" s="9">
        <v>0</v>
      </c>
      <c r="P634" s="9">
        <v>0</v>
      </c>
      <c r="Q634" s="9">
        <f>MAX(-20,MIN(10,$A634-VLOOKUP(YEAR($A634),'Festive dates'!$A$2:$J$5,8,FALSE)))</f>
        <v>10</v>
      </c>
      <c r="R634" s="9">
        <f>IF(AND($A634&gt;VLOOKUP(YEAR($A634),'Festive dates'!$A$2:$J$5,2,FALSE),$A634&lt;VLOOKUP(YEAR($A634),'Festive dates'!$A$2:$J$5,3,FALSE)),1,0)</f>
        <v>0</v>
      </c>
      <c r="S634" s="9">
        <f>IF($A634=VLOOKUP(YEAR($A634),'Festive dates'!$A$2:$J$5,2,FALSE),1,0)</f>
        <v>0</v>
      </c>
      <c r="T634" s="9">
        <f>IF($A634=VLOOKUP(YEAR($A634),'Festive dates'!$A$2:$J$5,3,FALSE),1,0)</f>
        <v>0</v>
      </c>
      <c r="U634" s="9">
        <f>IF($A634=VLOOKUP(YEAR($A634),'Festive dates'!$A$2:$J$5,4,FALSE),1,0)</f>
        <v>0</v>
      </c>
      <c r="V634" s="9">
        <f>IF(AND($A634&gt;=VLOOKUP(YEAR($A634),'Festive dates'!$A$2:$J$5,9,FALSE),$A634&lt;=VLOOKUP(YEAR($A634),'Festive dates'!$A$2:$J$5,10,FALSE)),1,0)</f>
        <v>0</v>
      </c>
      <c r="W634" s="9">
        <f>IF($A634=VLOOKUP(YEAR($A634),'Festive dates'!$A$2:$J$5,7,FALSE),1,0)</f>
        <v>0</v>
      </c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</row>
    <row r="635" spans="1:51">
      <c r="A635" s="8">
        <v>45650</v>
      </c>
      <c r="B635" s="9">
        <v>0</v>
      </c>
      <c r="C635" s="9">
        <v>0</v>
      </c>
      <c r="D635" s="9">
        <v>0</v>
      </c>
      <c r="E635" s="9">
        <v>0</v>
      </c>
      <c r="F635" s="9">
        <v>0</v>
      </c>
      <c r="G635" s="9">
        <v>0</v>
      </c>
      <c r="H635" s="9">
        <v>0</v>
      </c>
      <c r="I635" s="9">
        <v>0</v>
      </c>
      <c r="J635" s="9">
        <v>0</v>
      </c>
      <c r="K635" s="9">
        <v>0</v>
      </c>
      <c r="L635" s="9">
        <v>0</v>
      </c>
      <c r="M635" s="9">
        <v>0</v>
      </c>
      <c r="N635" s="9">
        <v>0</v>
      </c>
      <c r="O635" s="9">
        <v>0</v>
      </c>
      <c r="P635" s="9">
        <v>0</v>
      </c>
      <c r="Q635" s="9">
        <f>MAX(-20,MIN(10,$A635-VLOOKUP(YEAR($A635),'Festive dates'!$A$2:$J$5,8,FALSE)))</f>
        <v>10</v>
      </c>
      <c r="R635" s="9">
        <f>IF(AND($A635&gt;VLOOKUP(YEAR($A635),'Festive dates'!$A$2:$J$5,2,FALSE),$A635&lt;VLOOKUP(YEAR($A635),'Festive dates'!$A$2:$J$5,3,FALSE)),1,0)</f>
        <v>0</v>
      </c>
      <c r="S635" s="9">
        <f>IF($A635=VLOOKUP(YEAR($A635),'Festive dates'!$A$2:$J$5,2,FALSE),1,0)</f>
        <v>0</v>
      </c>
      <c r="T635" s="9">
        <f>IF($A635=VLOOKUP(YEAR($A635),'Festive dates'!$A$2:$J$5,3,FALSE),1,0)</f>
        <v>0</v>
      </c>
      <c r="U635" s="9">
        <f>IF($A635=VLOOKUP(YEAR($A635),'Festive dates'!$A$2:$J$5,4,FALSE),1,0)</f>
        <v>0</v>
      </c>
      <c r="V635" s="9">
        <f>IF(AND($A635&gt;=VLOOKUP(YEAR($A635),'Festive dates'!$A$2:$J$5,9,FALSE),$A635&lt;=VLOOKUP(YEAR($A635),'Festive dates'!$A$2:$J$5,10,FALSE)),1,0)</f>
        <v>0</v>
      </c>
      <c r="W635" s="9">
        <f>IF($A635=VLOOKUP(YEAR($A635),'Festive dates'!$A$2:$J$5,7,FALSE),1,0)</f>
        <v>0</v>
      </c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</row>
    <row r="636" spans="1:51">
      <c r="A636" s="8">
        <v>45651</v>
      </c>
      <c r="B636" s="9">
        <v>0</v>
      </c>
      <c r="C636" s="9">
        <v>0</v>
      </c>
      <c r="D636" s="9">
        <v>0</v>
      </c>
      <c r="E636" s="9">
        <v>0</v>
      </c>
      <c r="F636" s="9">
        <v>0</v>
      </c>
      <c r="G636" s="9">
        <v>0</v>
      </c>
      <c r="H636" s="9">
        <v>0</v>
      </c>
      <c r="I636" s="9">
        <v>0</v>
      </c>
      <c r="J636" s="9">
        <v>0</v>
      </c>
      <c r="K636" s="9">
        <v>0</v>
      </c>
      <c r="L636" s="9">
        <v>0</v>
      </c>
      <c r="M636" s="9">
        <v>0</v>
      </c>
      <c r="N636" s="9">
        <v>0</v>
      </c>
      <c r="O636" s="9">
        <v>0</v>
      </c>
      <c r="P636" s="9">
        <v>0</v>
      </c>
      <c r="Q636" s="9">
        <f>MAX(-20,MIN(10,$A636-VLOOKUP(YEAR($A636),'Festive dates'!$A$2:$J$5,8,FALSE)))</f>
        <v>10</v>
      </c>
      <c r="R636" s="9">
        <f>IF(AND($A636&gt;VLOOKUP(YEAR($A636),'Festive dates'!$A$2:$J$5,2,FALSE),$A636&lt;VLOOKUP(YEAR($A636),'Festive dates'!$A$2:$J$5,3,FALSE)),1,0)</f>
        <v>0</v>
      </c>
      <c r="S636" s="9">
        <f>IF($A636=VLOOKUP(YEAR($A636),'Festive dates'!$A$2:$J$5,2,FALSE),1,0)</f>
        <v>0</v>
      </c>
      <c r="T636" s="9">
        <f>IF($A636=VLOOKUP(YEAR($A636),'Festive dates'!$A$2:$J$5,3,FALSE),1,0)</f>
        <v>0</v>
      </c>
      <c r="U636" s="9">
        <f>IF($A636=VLOOKUP(YEAR($A636),'Festive dates'!$A$2:$J$5,4,FALSE),1,0)</f>
        <v>0</v>
      </c>
      <c r="V636" s="9">
        <f>IF(AND($A636&gt;=VLOOKUP(YEAR($A636),'Festive dates'!$A$2:$J$5,9,FALSE),$A636&lt;=VLOOKUP(YEAR($A636),'Festive dates'!$A$2:$J$5,10,FALSE)),1,0)</f>
        <v>0</v>
      </c>
      <c r="W636" s="9">
        <f>IF($A636=VLOOKUP(YEAR($A636),'Festive dates'!$A$2:$J$5,7,FALSE),1,0)</f>
        <v>0</v>
      </c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</row>
    <row r="637" spans="1:51">
      <c r="A637" s="8">
        <v>45652</v>
      </c>
      <c r="B637" s="9">
        <v>0</v>
      </c>
      <c r="C637" s="9">
        <v>0</v>
      </c>
      <c r="D637" s="9">
        <v>0</v>
      </c>
      <c r="E637" s="9">
        <v>0</v>
      </c>
      <c r="F637" s="9">
        <v>0</v>
      </c>
      <c r="G637" s="9">
        <v>0</v>
      </c>
      <c r="H637" s="9">
        <v>0</v>
      </c>
      <c r="I637" s="9">
        <v>0</v>
      </c>
      <c r="J637" s="9">
        <v>0</v>
      </c>
      <c r="K637" s="9">
        <v>0</v>
      </c>
      <c r="L637" s="9">
        <v>0</v>
      </c>
      <c r="M637" s="9">
        <v>0</v>
      </c>
      <c r="N637" s="9">
        <v>0</v>
      </c>
      <c r="O637" s="9">
        <v>0</v>
      </c>
      <c r="P637" s="9">
        <v>0</v>
      </c>
      <c r="Q637" s="9">
        <f>MAX(-20,MIN(10,$A637-VLOOKUP(YEAR($A637),'Festive dates'!$A$2:$J$5,8,FALSE)))</f>
        <v>10</v>
      </c>
      <c r="R637" s="9">
        <f>IF(AND($A637&gt;VLOOKUP(YEAR($A637),'Festive dates'!$A$2:$J$5,2,FALSE),$A637&lt;VLOOKUP(YEAR($A637),'Festive dates'!$A$2:$J$5,3,FALSE)),1,0)</f>
        <v>0</v>
      </c>
      <c r="S637" s="9">
        <f>IF($A637=VLOOKUP(YEAR($A637),'Festive dates'!$A$2:$J$5,2,FALSE),1,0)</f>
        <v>0</v>
      </c>
      <c r="T637" s="9">
        <f>IF($A637=VLOOKUP(YEAR($A637),'Festive dates'!$A$2:$J$5,3,FALSE),1,0)</f>
        <v>0</v>
      </c>
      <c r="U637" s="9">
        <f>IF($A637=VLOOKUP(YEAR($A637),'Festive dates'!$A$2:$J$5,4,FALSE),1,0)</f>
        <v>0</v>
      </c>
      <c r="V637" s="9">
        <f>IF(AND($A637&gt;=VLOOKUP(YEAR($A637),'Festive dates'!$A$2:$J$5,9,FALSE),$A637&lt;=VLOOKUP(YEAR($A637),'Festive dates'!$A$2:$J$5,10,FALSE)),1,0)</f>
        <v>0</v>
      </c>
      <c r="W637" s="9">
        <f>IF($A637=VLOOKUP(YEAR($A637),'Festive dates'!$A$2:$J$5,7,FALSE),1,0)</f>
        <v>0</v>
      </c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</row>
    <row r="638" spans="1:51">
      <c r="A638" s="8">
        <v>45653</v>
      </c>
      <c r="B638" s="9">
        <v>0</v>
      </c>
      <c r="C638" s="9">
        <v>0</v>
      </c>
      <c r="D638" s="9">
        <v>0</v>
      </c>
      <c r="E638" s="9">
        <v>0</v>
      </c>
      <c r="F638" s="9">
        <v>0</v>
      </c>
      <c r="G638" s="9">
        <v>0</v>
      </c>
      <c r="H638" s="9">
        <v>0</v>
      </c>
      <c r="I638" s="9">
        <v>0</v>
      </c>
      <c r="J638" s="9">
        <v>0</v>
      </c>
      <c r="K638" s="9">
        <v>0</v>
      </c>
      <c r="L638" s="9">
        <v>0</v>
      </c>
      <c r="M638" s="9">
        <v>0</v>
      </c>
      <c r="N638" s="9">
        <v>0</v>
      </c>
      <c r="O638" s="9">
        <v>0</v>
      </c>
      <c r="P638" s="9">
        <v>0</v>
      </c>
      <c r="Q638" s="9">
        <f>MAX(-20,MIN(10,$A638-VLOOKUP(YEAR($A638),'Festive dates'!$A$2:$J$5,8,FALSE)))</f>
        <v>10</v>
      </c>
      <c r="R638" s="9">
        <f>IF(AND($A638&gt;VLOOKUP(YEAR($A638),'Festive dates'!$A$2:$J$5,2,FALSE),$A638&lt;VLOOKUP(YEAR($A638),'Festive dates'!$A$2:$J$5,3,FALSE)),1,0)</f>
        <v>0</v>
      </c>
      <c r="S638" s="9">
        <f>IF($A638=VLOOKUP(YEAR($A638),'Festive dates'!$A$2:$J$5,2,FALSE),1,0)</f>
        <v>0</v>
      </c>
      <c r="T638" s="9">
        <f>IF($A638=VLOOKUP(YEAR($A638),'Festive dates'!$A$2:$J$5,3,FALSE),1,0)</f>
        <v>0</v>
      </c>
      <c r="U638" s="9">
        <f>IF($A638=VLOOKUP(YEAR($A638),'Festive dates'!$A$2:$J$5,4,FALSE),1,0)</f>
        <v>0</v>
      </c>
      <c r="V638" s="9">
        <f>IF(AND($A638&gt;=VLOOKUP(YEAR($A638),'Festive dates'!$A$2:$J$5,9,FALSE),$A638&lt;=VLOOKUP(YEAR($A638),'Festive dates'!$A$2:$J$5,10,FALSE)),1,0)</f>
        <v>0</v>
      </c>
      <c r="W638" s="9">
        <f>IF($A638=VLOOKUP(YEAR($A638),'Festive dates'!$A$2:$J$5,7,FALSE),1,0)</f>
        <v>0</v>
      </c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</row>
    <row r="639" spans="1:51">
      <c r="A639" s="8">
        <v>45654</v>
      </c>
      <c r="B639" s="9">
        <v>0</v>
      </c>
      <c r="C639" s="9">
        <v>0</v>
      </c>
      <c r="D639" s="9">
        <v>0</v>
      </c>
      <c r="E639" s="9">
        <v>0</v>
      </c>
      <c r="F639" s="9">
        <v>0</v>
      </c>
      <c r="G639" s="9">
        <v>0</v>
      </c>
      <c r="H639" s="9">
        <v>0</v>
      </c>
      <c r="I639" s="9">
        <v>0</v>
      </c>
      <c r="J639" s="9">
        <v>0</v>
      </c>
      <c r="K639" s="9">
        <v>0</v>
      </c>
      <c r="L639" s="9">
        <v>0</v>
      </c>
      <c r="M639" s="9">
        <v>0</v>
      </c>
      <c r="N639" s="9">
        <v>0</v>
      </c>
      <c r="O639" s="9">
        <v>0</v>
      </c>
      <c r="P639" s="9">
        <v>0</v>
      </c>
      <c r="Q639" s="9">
        <f>MAX(-20,MIN(10,$A639-VLOOKUP(YEAR($A639),'Festive dates'!$A$2:$J$5,8,FALSE)))</f>
        <v>10</v>
      </c>
      <c r="R639" s="9">
        <f>IF(AND($A639&gt;VLOOKUP(YEAR($A639),'Festive dates'!$A$2:$J$5,2,FALSE),$A639&lt;VLOOKUP(YEAR($A639),'Festive dates'!$A$2:$J$5,3,FALSE)),1,0)</f>
        <v>0</v>
      </c>
      <c r="S639" s="9">
        <f>IF($A639=VLOOKUP(YEAR($A639),'Festive dates'!$A$2:$J$5,2,FALSE),1,0)</f>
        <v>0</v>
      </c>
      <c r="T639" s="9">
        <f>IF($A639=VLOOKUP(YEAR($A639),'Festive dates'!$A$2:$J$5,3,FALSE),1,0)</f>
        <v>0</v>
      </c>
      <c r="U639" s="9">
        <f>IF($A639=VLOOKUP(YEAR($A639),'Festive dates'!$A$2:$J$5,4,FALSE),1,0)</f>
        <v>0</v>
      </c>
      <c r="V639" s="9">
        <f>IF(AND($A639&gt;=VLOOKUP(YEAR($A639),'Festive dates'!$A$2:$J$5,9,FALSE),$A639&lt;=VLOOKUP(YEAR($A639),'Festive dates'!$A$2:$J$5,10,FALSE)),1,0)</f>
        <v>0</v>
      </c>
      <c r="W639" s="9">
        <f>IF($A639=VLOOKUP(YEAR($A639),'Festive dates'!$A$2:$J$5,7,FALSE),1,0)</f>
        <v>0</v>
      </c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</row>
    <row r="640" spans="1:51">
      <c r="A640" s="8">
        <v>45655</v>
      </c>
      <c r="B640" s="9">
        <v>0</v>
      </c>
      <c r="C640" s="9">
        <v>0</v>
      </c>
      <c r="D640" s="9">
        <v>0</v>
      </c>
      <c r="E640" s="9">
        <v>0</v>
      </c>
      <c r="F640" s="9">
        <v>0</v>
      </c>
      <c r="G640" s="9">
        <v>0</v>
      </c>
      <c r="H640" s="9">
        <v>0</v>
      </c>
      <c r="I640" s="9">
        <v>0</v>
      </c>
      <c r="J640" s="9">
        <v>0</v>
      </c>
      <c r="K640" s="9">
        <v>0</v>
      </c>
      <c r="L640" s="9">
        <v>0</v>
      </c>
      <c r="M640" s="9">
        <v>0</v>
      </c>
      <c r="N640" s="9">
        <v>0</v>
      </c>
      <c r="O640" s="9">
        <v>0</v>
      </c>
      <c r="P640" s="9">
        <v>0</v>
      </c>
      <c r="Q640" s="9">
        <f>MAX(-20,MIN(10,$A640-VLOOKUP(YEAR($A640),'Festive dates'!$A$2:$J$5,8,FALSE)))</f>
        <v>10</v>
      </c>
      <c r="R640" s="9">
        <f>IF(AND($A640&gt;VLOOKUP(YEAR($A640),'Festive dates'!$A$2:$J$5,2,FALSE),$A640&lt;VLOOKUP(YEAR($A640),'Festive dates'!$A$2:$J$5,3,FALSE)),1,0)</f>
        <v>0</v>
      </c>
      <c r="S640" s="9">
        <f>IF($A640=VLOOKUP(YEAR($A640),'Festive dates'!$A$2:$J$5,2,FALSE),1,0)</f>
        <v>0</v>
      </c>
      <c r="T640" s="9">
        <f>IF($A640=VLOOKUP(YEAR($A640),'Festive dates'!$A$2:$J$5,3,FALSE),1,0)</f>
        <v>0</v>
      </c>
      <c r="U640" s="9">
        <f>IF($A640=VLOOKUP(YEAR($A640),'Festive dates'!$A$2:$J$5,4,FALSE),1,0)</f>
        <v>0</v>
      </c>
      <c r="V640" s="9">
        <f>IF(AND($A640&gt;=VLOOKUP(YEAR($A640),'Festive dates'!$A$2:$J$5,9,FALSE),$A640&lt;=VLOOKUP(YEAR($A640),'Festive dates'!$A$2:$J$5,10,FALSE)),1,0)</f>
        <v>0</v>
      </c>
      <c r="W640" s="9">
        <f>IF($A640=VLOOKUP(YEAR($A640),'Festive dates'!$A$2:$J$5,7,FALSE),1,0)</f>
        <v>0</v>
      </c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</row>
    <row r="641" spans="1:51">
      <c r="A641" s="8">
        <v>45656</v>
      </c>
      <c r="B641" s="9">
        <v>0</v>
      </c>
      <c r="C641" s="9">
        <v>0</v>
      </c>
      <c r="D641" s="9">
        <v>0</v>
      </c>
      <c r="E641" s="9">
        <v>0</v>
      </c>
      <c r="F641" s="9">
        <v>0</v>
      </c>
      <c r="G641" s="9">
        <v>0</v>
      </c>
      <c r="H641" s="9">
        <v>0</v>
      </c>
      <c r="I641" s="9">
        <v>0</v>
      </c>
      <c r="J641" s="9">
        <v>0</v>
      </c>
      <c r="K641" s="9">
        <v>0</v>
      </c>
      <c r="L641" s="9">
        <v>0</v>
      </c>
      <c r="M641" s="9">
        <v>0</v>
      </c>
      <c r="N641" s="9">
        <v>0</v>
      </c>
      <c r="O641" s="9">
        <v>0</v>
      </c>
      <c r="P641" s="9">
        <v>0</v>
      </c>
      <c r="Q641" s="9">
        <f>MAX(-20,MIN(10,$A641-VLOOKUP(YEAR($A641),'Festive dates'!$A$2:$J$5,8,FALSE)))</f>
        <v>10</v>
      </c>
      <c r="R641" s="9">
        <f>IF(AND($A641&gt;VLOOKUP(YEAR($A641),'Festive dates'!$A$2:$J$5,2,FALSE),$A641&lt;VLOOKUP(YEAR($A641),'Festive dates'!$A$2:$J$5,3,FALSE)),1,0)</f>
        <v>0</v>
      </c>
      <c r="S641" s="9">
        <f>IF($A641=VLOOKUP(YEAR($A641),'Festive dates'!$A$2:$J$5,2,FALSE),1,0)</f>
        <v>0</v>
      </c>
      <c r="T641" s="9">
        <f>IF($A641=VLOOKUP(YEAR($A641),'Festive dates'!$A$2:$J$5,3,FALSE),1,0)</f>
        <v>0</v>
      </c>
      <c r="U641" s="9">
        <f>IF($A641=VLOOKUP(YEAR($A641),'Festive dates'!$A$2:$J$5,4,FALSE),1,0)</f>
        <v>0</v>
      </c>
      <c r="V641" s="9">
        <f>IF(AND($A641&gt;=VLOOKUP(YEAR($A641),'Festive dates'!$A$2:$J$5,9,FALSE),$A641&lt;=VLOOKUP(YEAR($A641),'Festive dates'!$A$2:$J$5,10,FALSE)),1,0)</f>
        <v>0</v>
      </c>
      <c r="W641" s="9">
        <f>IF($A641=VLOOKUP(YEAR($A641),'Festive dates'!$A$2:$J$5,7,FALSE),1,0)</f>
        <v>0</v>
      </c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</row>
    <row r="642" spans="1:51">
      <c r="A642" s="8">
        <v>45657</v>
      </c>
      <c r="B642" s="9">
        <v>0</v>
      </c>
      <c r="C642" s="9">
        <v>0</v>
      </c>
      <c r="D642" s="9">
        <v>0</v>
      </c>
      <c r="E642" s="9">
        <v>0</v>
      </c>
      <c r="F642" s="9">
        <v>0</v>
      </c>
      <c r="G642" s="9">
        <v>0</v>
      </c>
      <c r="H642" s="9">
        <v>0</v>
      </c>
      <c r="I642" s="9">
        <v>0</v>
      </c>
      <c r="J642" s="9">
        <v>0</v>
      </c>
      <c r="K642" s="9">
        <v>0</v>
      </c>
      <c r="L642" s="9">
        <v>0</v>
      </c>
      <c r="M642" s="9">
        <v>0</v>
      </c>
      <c r="N642" s="9">
        <v>0</v>
      </c>
      <c r="O642" s="9">
        <v>0</v>
      </c>
      <c r="P642" s="9">
        <v>0</v>
      </c>
      <c r="Q642" s="9">
        <f>MAX(-20,MIN(10,$A642-VLOOKUP(YEAR($A642),'Festive dates'!$A$2:$J$5,8,FALSE)))</f>
        <v>10</v>
      </c>
      <c r="R642" s="9">
        <f>IF(AND($A642&gt;VLOOKUP(YEAR($A642),'Festive dates'!$A$2:$J$5,2,FALSE),$A642&lt;VLOOKUP(YEAR($A642),'Festive dates'!$A$2:$J$5,3,FALSE)),1,0)</f>
        <v>0</v>
      </c>
      <c r="S642" s="9">
        <f>IF($A642=VLOOKUP(YEAR($A642),'Festive dates'!$A$2:$J$5,2,FALSE),1,0)</f>
        <v>0</v>
      </c>
      <c r="T642" s="9">
        <f>IF($A642=VLOOKUP(YEAR($A642),'Festive dates'!$A$2:$J$5,3,FALSE),1,0)</f>
        <v>0</v>
      </c>
      <c r="U642" s="9">
        <f>IF($A642=VLOOKUP(YEAR($A642),'Festive dates'!$A$2:$J$5,4,FALSE),1,0)</f>
        <v>0</v>
      </c>
      <c r="V642" s="9">
        <f>IF(AND($A642&gt;=VLOOKUP(YEAR($A642),'Festive dates'!$A$2:$J$5,9,FALSE),$A642&lt;=VLOOKUP(YEAR($A642),'Festive dates'!$A$2:$J$5,10,FALSE)),1,0)</f>
        <v>0</v>
      </c>
      <c r="W642" s="9">
        <f>IF($A642=VLOOKUP(YEAR($A642),'Festive dates'!$A$2:$J$5,7,FALSE),1,0)</f>
        <v>0</v>
      </c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</row>
    <row r="643" spans="1:51">
      <c r="A643" s="8">
        <v>45658</v>
      </c>
      <c r="B643" s="9">
        <v>0</v>
      </c>
      <c r="C643" s="9">
        <v>0</v>
      </c>
      <c r="D643" s="9">
        <v>0</v>
      </c>
      <c r="E643" s="9">
        <v>0</v>
      </c>
      <c r="F643" s="9">
        <v>0</v>
      </c>
      <c r="G643" s="9">
        <v>0</v>
      </c>
      <c r="H643" s="9">
        <v>0</v>
      </c>
      <c r="I643" s="9">
        <v>0</v>
      </c>
      <c r="J643" s="9">
        <v>0</v>
      </c>
      <c r="K643" s="9">
        <v>0</v>
      </c>
      <c r="L643" s="9">
        <v>0</v>
      </c>
      <c r="M643" s="9">
        <v>0</v>
      </c>
      <c r="N643" s="9">
        <v>0</v>
      </c>
      <c r="O643" s="9">
        <v>0</v>
      </c>
      <c r="P643" s="9">
        <v>0</v>
      </c>
      <c r="Q643" s="9">
        <f>MAX(-20,MIN(10,$A643-VLOOKUP(YEAR($A643),'Festive dates'!$A$2:$J$5,8,FALSE)))</f>
        <v>-20</v>
      </c>
      <c r="R643" s="9">
        <f>IF(AND($A643&gt;VLOOKUP(YEAR($A643),'Festive dates'!$A$2:$J$5,2,FALSE),$A643&lt;VLOOKUP(YEAR($A643),'Festive dates'!$A$2:$J$5,3,FALSE)),1,0)</f>
        <v>0</v>
      </c>
      <c r="S643" s="9">
        <f>IF($A643=VLOOKUP(YEAR($A643),'Festive dates'!$A$2:$J$5,2,FALSE),1,0)</f>
        <v>0</v>
      </c>
      <c r="T643" s="9">
        <f>IF($A643=VLOOKUP(YEAR($A643),'Festive dates'!$A$2:$J$5,3,FALSE),1,0)</f>
        <v>0</v>
      </c>
      <c r="U643" s="9">
        <f>IF($A643=VLOOKUP(YEAR($A643),'Festive dates'!$A$2:$J$5,4,FALSE),1,0)</f>
        <v>0</v>
      </c>
      <c r="V643" s="9">
        <f>IF(AND($A643&gt;=VLOOKUP(YEAR($A643),'Festive dates'!$A$2:$J$5,9,FALSE),$A643&lt;=VLOOKUP(YEAR($A643),'Festive dates'!$A$2:$J$5,10,FALSE)),1,0)</f>
        <v>0</v>
      </c>
      <c r="W643" s="9">
        <f>IF($A643=VLOOKUP(YEAR($A643),'Festive dates'!$A$2:$J$5,7,FALSE),1,0)</f>
        <v>0</v>
      </c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</row>
    <row r="644" spans="1:51">
      <c r="A644" s="8">
        <v>45659</v>
      </c>
      <c r="B644" s="9">
        <v>0</v>
      </c>
      <c r="C644" s="9">
        <v>0</v>
      </c>
      <c r="D644" s="9">
        <v>0</v>
      </c>
      <c r="E644" s="9">
        <v>0</v>
      </c>
      <c r="F644" s="9">
        <v>0</v>
      </c>
      <c r="G644" s="9">
        <v>0</v>
      </c>
      <c r="H644" s="9">
        <v>0</v>
      </c>
      <c r="I644" s="9">
        <v>0</v>
      </c>
      <c r="J644" s="9">
        <v>0</v>
      </c>
      <c r="K644" s="9">
        <v>0</v>
      </c>
      <c r="L644" s="9">
        <v>0</v>
      </c>
      <c r="M644" s="9">
        <v>0</v>
      </c>
      <c r="N644" s="9">
        <v>0</v>
      </c>
      <c r="O644" s="9">
        <v>0</v>
      </c>
      <c r="P644" s="9">
        <v>0</v>
      </c>
      <c r="Q644" s="9">
        <f>MAX(-20,MIN(10,$A644-VLOOKUP(YEAR($A644),'Festive dates'!$A$2:$J$5,8,FALSE)))</f>
        <v>-20</v>
      </c>
      <c r="R644" s="9">
        <f>IF(AND($A644&gt;VLOOKUP(YEAR($A644),'Festive dates'!$A$2:$J$5,2,FALSE),$A644&lt;VLOOKUP(YEAR($A644),'Festive dates'!$A$2:$J$5,3,FALSE)),1,0)</f>
        <v>0</v>
      </c>
      <c r="S644" s="9">
        <f>IF($A644=VLOOKUP(YEAR($A644),'Festive dates'!$A$2:$J$5,2,FALSE),1,0)</f>
        <v>0</v>
      </c>
      <c r="T644" s="9">
        <f>IF($A644=VLOOKUP(YEAR($A644),'Festive dates'!$A$2:$J$5,3,FALSE),1,0)</f>
        <v>0</v>
      </c>
      <c r="U644" s="9">
        <f>IF($A644=VLOOKUP(YEAR($A644),'Festive dates'!$A$2:$J$5,4,FALSE),1,0)</f>
        <v>0</v>
      </c>
      <c r="V644" s="9">
        <f>IF(AND($A644&gt;=VLOOKUP(YEAR($A644),'Festive dates'!$A$2:$J$5,9,FALSE),$A644&lt;=VLOOKUP(YEAR($A644),'Festive dates'!$A$2:$J$5,10,FALSE)),1,0)</f>
        <v>0</v>
      </c>
      <c r="W644" s="9">
        <f>IF($A644=VLOOKUP(YEAR($A644),'Festive dates'!$A$2:$J$5,7,FALSE),1,0)</f>
        <v>0</v>
      </c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</row>
    <row r="645" spans="1:51">
      <c r="A645" s="8">
        <v>45660</v>
      </c>
      <c r="B645" s="9">
        <v>0</v>
      </c>
      <c r="C645" s="9">
        <v>0</v>
      </c>
      <c r="D645" s="9">
        <v>0</v>
      </c>
      <c r="E645" s="9">
        <v>0</v>
      </c>
      <c r="F645" s="9">
        <v>0</v>
      </c>
      <c r="G645" s="9">
        <v>0</v>
      </c>
      <c r="H645" s="9">
        <v>0</v>
      </c>
      <c r="I645" s="9">
        <v>0</v>
      </c>
      <c r="J645" s="9">
        <v>0</v>
      </c>
      <c r="K645" s="9">
        <v>0</v>
      </c>
      <c r="L645" s="9">
        <v>0</v>
      </c>
      <c r="M645" s="9">
        <v>0</v>
      </c>
      <c r="N645" s="9">
        <v>0</v>
      </c>
      <c r="O645" s="9">
        <v>0</v>
      </c>
      <c r="P645" s="9">
        <v>0</v>
      </c>
      <c r="Q645" s="9">
        <f>MAX(-20,MIN(10,$A645-VLOOKUP(YEAR($A645),'Festive dates'!$A$2:$J$5,8,FALSE)))</f>
        <v>-20</v>
      </c>
      <c r="R645" s="9">
        <f>IF(AND($A645&gt;VLOOKUP(YEAR($A645),'Festive dates'!$A$2:$J$5,2,FALSE),$A645&lt;VLOOKUP(YEAR($A645),'Festive dates'!$A$2:$J$5,3,FALSE)),1,0)</f>
        <v>0</v>
      </c>
      <c r="S645" s="9">
        <f>IF($A645=VLOOKUP(YEAR($A645),'Festive dates'!$A$2:$J$5,2,FALSE),1,0)</f>
        <v>0</v>
      </c>
      <c r="T645" s="9">
        <f>IF($A645=VLOOKUP(YEAR($A645),'Festive dates'!$A$2:$J$5,3,FALSE),1,0)</f>
        <v>0</v>
      </c>
      <c r="U645" s="9">
        <f>IF($A645=VLOOKUP(YEAR($A645),'Festive dates'!$A$2:$J$5,4,FALSE),1,0)</f>
        <v>0</v>
      </c>
      <c r="V645" s="9">
        <f>IF(AND($A645&gt;=VLOOKUP(YEAR($A645),'Festive dates'!$A$2:$J$5,9,FALSE),$A645&lt;=VLOOKUP(YEAR($A645),'Festive dates'!$A$2:$J$5,10,FALSE)),1,0)</f>
        <v>0</v>
      </c>
      <c r="W645" s="9">
        <f>IF($A645=VLOOKUP(YEAR($A645),'Festive dates'!$A$2:$J$5,7,FALSE),1,0)</f>
        <v>0</v>
      </c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</row>
    <row r="646" spans="1:51">
      <c r="A646" s="8">
        <v>45661</v>
      </c>
      <c r="B646" s="9">
        <v>0</v>
      </c>
      <c r="C646" s="9">
        <v>0</v>
      </c>
      <c r="D646" s="9">
        <v>0</v>
      </c>
      <c r="E646" s="9">
        <v>0</v>
      </c>
      <c r="F646" s="9">
        <v>0</v>
      </c>
      <c r="G646" s="9">
        <v>0</v>
      </c>
      <c r="H646" s="9">
        <v>0</v>
      </c>
      <c r="I646" s="9">
        <v>0</v>
      </c>
      <c r="J646" s="9">
        <v>0</v>
      </c>
      <c r="K646" s="9">
        <v>0</v>
      </c>
      <c r="L646" s="9">
        <v>0</v>
      </c>
      <c r="M646" s="9">
        <v>0</v>
      </c>
      <c r="N646" s="9">
        <v>0</v>
      </c>
      <c r="O646" s="9">
        <v>0</v>
      </c>
      <c r="P646" s="9">
        <v>0</v>
      </c>
      <c r="Q646" s="9">
        <f>MAX(-20,MIN(10,$A646-VLOOKUP(YEAR($A646),'Festive dates'!$A$2:$J$5,8,FALSE)))</f>
        <v>-20</v>
      </c>
      <c r="R646" s="9">
        <f>IF(AND($A646&gt;VLOOKUP(YEAR($A646),'Festive dates'!$A$2:$J$5,2,FALSE),$A646&lt;VLOOKUP(YEAR($A646),'Festive dates'!$A$2:$J$5,3,FALSE)),1,0)</f>
        <v>0</v>
      </c>
      <c r="S646" s="9">
        <f>IF($A646=VLOOKUP(YEAR($A646),'Festive dates'!$A$2:$J$5,2,FALSE),1,0)</f>
        <v>0</v>
      </c>
      <c r="T646" s="9">
        <f>IF($A646=VLOOKUP(YEAR($A646),'Festive dates'!$A$2:$J$5,3,FALSE),1,0)</f>
        <v>0</v>
      </c>
      <c r="U646" s="9">
        <f>IF($A646=VLOOKUP(YEAR($A646),'Festive dates'!$A$2:$J$5,4,FALSE),1,0)</f>
        <v>0</v>
      </c>
      <c r="V646" s="9">
        <f>IF(AND($A646&gt;=VLOOKUP(YEAR($A646),'Festive dates'!$A$2:$J$5,9,FALSE),$A646&lt;=VLOOKUP(YEAR($A646),'Festive dates'!$A$2:$J$5,10,FALSE)),1,0)</f>
        <v>0</v>
      </c>
      <c r="W646" s="9">
        <f>IF($A646=VLOOKUP(YEAR($A646),'Festive dates'!$A$2:$J$5,7,FALSE),1,0)</f>
        <v>0</v>
      </c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</row>
    <row r="647" spans="1:51">
      <c r="A647" s="8">
        <v>45662</v>
      </c>
      <c r="B647" s="9">
        <v>0</v>
      </c>
      <c r="C647" s="9">
        <v>0</v>
      </c>
      <c r="D647" s="9">
        <v>0</v>
      </c>
      <c r="E647" s="9">
        <v>0</v>
      </c>
      <c r="F647" s="9">
        <v>0</v>
      </c>
      <c r="G647" s="9">
        <v>0</v>
      </c>
      <c r="H647" s="9">
        <v>0</v>
      </c>
      <c r="I647" s="9">
        <v>0</v>
      </c>
      <c r="J647" s="9">
        <v>0</v>
      </c>
      <c r="K647" s="9">
        <v>0</v>
      </c>
      <c r="L647" s="9">
        <v>0</v>
      </c>
      <c r="M647" s="9">
        <v>0</v>
      </c>
      <c r="N647" s="9">
        <v>0</v>
      </c>
      <c r="O647" s="9">
        <v>0</v>
      </c>
      <c r="P647" s="9">
        <v>0</v>
      </c>
      <c r="Q647" s="9">
        <f>MAX(-20,MIN(10,$A647-VLOOKUP(YEAR($A647),'Festive dates'!$A$2:$J$5,8,FALSE)))</f>
        <v>-20</v>
      </c>
      <c r="R647" s="9">
        <f>IF(AND($A647&gt;VLOOKUP(YEAR($A647),'Festive dates'!$A$2:$J$5,2,FALSE),$A647&lt;VLOOKUP(YEAR($A647),'Festive dates'!$A$2:$J$5,3,FALSE)),1,0)</f>
        <v>0</v>
      </c>
      <c r="S647" s="9">
        <f>IF($A647=VLOOKUP(YEAR($A647),'Festive dates'!$A$2:$J$5,2,FALSE),1,0)</f>
        <v>0</v>
      </c>
      <c r="T647" s="9">
        <f>IF($A647=VLOOKUP(YEAR($A647),'Festive dates'!$A$2:$J$5,3,FALSE),1,0)</f>
        <v>0</v>
      </c>
      <c r="U647" s="9">
        <f>IF($A647=VLOOKUP(YEAR($A647),'Festive dates'!$A$2:$J$5,4,FALSE),1,0)</f>
        <v>0</v>
      </c>
      <c r="V647" s="9">
        <f>IF(AND($A647&gt;=VLOOKUP(YEAR($A647),'Festive dates'!$A$2:$J$5,9,FALSE),$A647&lt;=VLOOKUP(YEAR($A647),'Festive dates'!$A$2:$J$5,10,FALSE)),1,0)</f>
        <v>0</v>
      </c>
      <c r="W647" s="9">
        <f>IF($A647=VLOOKUP(YEAR($A647),'Festive dates'!$A$2:$J$5,7,FALSE),1,0)</f>
        <v>0</v>
      </c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</row>
    <row r="648" spans="1:51">
      <c r="A648" s="8">
        <v>45663</v>
      </c>
      <c r="B648" s="9">
        <v>0</v>
      </c>
      <c r="C648" s="9">
        <v>0</v>
      </c>
      <c r="D648" s="9">
        <v>0</v>
      </c>
      <c r="E648" s="9">
        <v>0</v>
      </c>
      <c r="F648" s="9">
        <v>0</v>
      </c>
      <c r="G648" s="9">
        <v>0</v>
      </c>
      <c r="H648" s="9">
        <v>0</v>
      </c>
      <c r="I648" s="9">
        <v>0</v>
      </c>
      <c r="J648" s="9">
        <v>0</v>
      </c>
      <c r="K648" s="9">
        <v>0</v>
      </c>
      <c r="L648" s="9">
        <v>0</v>
      </c>
      <c r="M648" s="9">
        <v>0</v>
      </c>
      <c r="N648" s="9">
        <v>0</v>
      </c>
      <c r="O648" s="9">
        <v>0</v>
      </c>
      <c r="P648" s="9">
        <v>0</v>
      </c>
      <c r="Q648" s="9">
        <f>MAX(-20,MIN(10,$A648-VLOOKUP(YEAR($A648),'Festive dates'!$A$2:$J$5,8,FALSE)))</f>
        <v>-20</v>
      </c>
      <c r="R648" s="9">
        <f>IF(AND($A648&gt;VLOOKUP(YEAR($A648),'Festive dates'!$A$2:$J$5,2,FALSE),$A648&lt;VLOOKUP(YEAR($A648),'Festive dates'!$A$2:$J$5,3,FALSE)),1,0)</f>
        <v>0</v>
      </c>
      <c r="S648" s="9">
        <f>IF($A648=VLOOKUP(YEAR($A648),'Festive dates'!$A$2:$J$5,2,FALSE),1,0)</f>
        <v>0</v>
      </c>
      <c r="T648" s="9">
        <f>IF($A648=VLOOKUP(YEAR($A648),'Festive dates'!$A$2:$J$5,3,FALSE),1,0)</f>
        <v>0</v>
      </c>
      <c r="U648" s="9">
        <f>IF($A648=VLOOKUP(YEAR($A648),'Festive dates'!$A$2:$J$5,4,FALSE),1,0)</f>
        <v>0</v>
      </c>
      <c r="V648" s="9">
        <f>IF(AND($A648&gt;=VLOOKUP(YEAR($A648),'Festive dates'!$A$2:$J$5,9,FALSE),$A648&lt;=VLOOKUP(YEAR($A648),'Festive dates'!$A$2:$J$5,10,FALSE)),1,0)</f>
        <v>0</v>
      </c>
      <c r="W648" s="9">
        <f>IF($A648=VLOOKUP(YEAR($A648),'Festive dates'!$A$2:$J$5,7,FALSE),1,0)</f>
        <v>0</v>
      </c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</row>
    <row r="649" spans="1:51">
      <c r="A649" s="8">
        <v>45664</v>
      </c>
      <c r="B649" s="9">
        <v>0</v>
      </c>
      <c r="C649" s="9">
        <v>0</v>
      </c>
      <c r="D649" s="9">
        <v>0</v>
      </c>
      <c r="E649" s="9">
        <v>0</v>
      </c>
      <c r="F649" s="9">
        <v>0</v>
      </c>
      <c r="G649" s="9">
        <v>0</v>
      </c>
      <c r="H649" s="9">
        <v>0</v>
      </c>
      <c r="I649" s="9">
        <v>0</v>
      </c>
      <c r="J649" s="9">
        <v>0</v>
      </c>
      <c r="K649" s="9">
        <v>0</v>
      </c>
      <c r="L649" s="9">
        <v>0</v>
      </c>
      <c r="M649" s="9">
        <v>0</v>
      </c>
      <c r="N649" s="9">
        <v>0</v>
      </c>
      <c r="O649" s="9">
        <v>0</v>
      </c>
      <c r="P649" s="9">
        <v>0</v>
      </c>
      <c r="Q649" s="9">
        <f>MAX(-20,MIN(10,$A649-VLOOKUP(YEAR($A649),'Festive dates'!$A$2:$J$5,8,FALSE)))</f>
        <v>-20</v>
      </c>
      <c r="R649" s="9">
        <f>IF(AND($A649&gt;VLOOKUP(YEAR($A649),'Festive dates'!$A$2:$J$5,2,FALSE),$A649&lt;VLOOKUP(YEAR($A649),'Festive dates'!$A$2:$J$5,3,FALSE)),1,0)</f>
        <v>0</v>
      </c>
      <c r="S649" s="9">
        <f>IF($A649=VLOOKUP(YEAR($A649),'Festive dates'!$A$2:$J$5,2,FALSE),1,0)</f>
        <v>0</v>
      </c>
      <c r="T649" s="9">
        <f>IF($A649=VLOOKUP(YEAR($A649),'Festive dates'!$A$2:$J$5,3,FALSE),1,0)</f>
        <v>0</v>
      </c>
      <c r="U649" s="9">
        <f>IF($A649=VLOOKUP(YEAR($A649),'Festive dates'!$A$2:$J$5,4,FALSE),1,0)</f>
        <v>0</v>
      </c>
      <c r="V649" s="9">
        <f>IF(AND($A649&gt;=VLOOKUP(YEAR($A649),'Festive dates'!$A$2:$J$5,9,FALSE),$A649&lt;=VLOOKUP(YEAR($A649),'Festive dates'!$A$2:$J$5,10,FALSE)),1,0)</f>
        <v>0</v>
      </c>
      <c r="W649" s="9">
        <f>IF($A649=VLOOKUP(YEAR($A649),'Festive dates'!$A$2:$J$5,7,FALSE),1,0)</f>
        <v>0</v>
      </c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</row>
    <row r="650" spans="1:51">
      <c r="A650" s="8">
        <v>45665</v>
      </c>
      <c r="B650" s="9">
        <v>0</v>
      </c>
      <c r="C650" s="9">
        <v>0</v>
      </c>
      <c r="D650" s="9">
        <v>0</v>
      </c>
      <c r="E650" s="9">
        <v>0</v>
      </c>
      <c r="F650" s="9">
        <v>0</v>
      </c>
      <c r="G650" s="9">
        <v>0</v>
      </c>
      <c r="H650" s="9">
        <v>0</v>
      </c>
      <c r="I650" s="9">
        <v>0</v>
      </c>
      <c r="J650" s="9">
        <v>0</v>
      </c>
      <c r="K650" s="9">
        <v>0</v>
      </c>
      <c r="L650" s="9">
        <v>0</v>
      </c>
      <c r="M650" s="9">
        <v>0</v>
      </c>
      <c r="N650" s="9">
        <v>0</v>
      </c>
      <c r="O650" s="9">
        <v>0</v>
      </c>
      <c r="P650" s="9">
        <v>0</v>
      </c>
      <c r="Q650" s="9">
        <f>MAX(-20,MIN(10,$A650-VLOOKUP(YEAR($A650),'Festive dates'!$A$2:$J$5,8,FALSE)))</f>
        <v>-20</v>
      </c>
      <c r="R650" s="9">
        <f>IF(AND($A650&gt;VLOOKUP(YEAR($A650),'Festive dates'!$A$2:$J$5,2,FALSE),$A650&lt;VLOOKUP(YEAR($A650),'Festive dates'!$A$2:$J$5,3,FALSE)),1,0)</f>
        <v>0</v>
      </c>
      <c r="S650" s="9">
        <f>IF($A650=VLOOKUP(YEAR($A650),'Festive dates'!$A$2:$J$5,2,FALSE),1,0)</f>
        <v>0</v>
      </c>
      <c r="T650" s="9">
        <f>IF($A650=VLOOKUP(YEAR($A650),'Festive dates'!$A$2:$J$5,3,FALSE),1,0)</f>
        <v>0</v>
      </c>
      <c r="U650" s="9">
        <f>IF($A650=VLOOKUP(YEAR($A650),'Festive dates'!$A$2:$J$5,4,FALSE),1,0)</f>
        <v>0</v>
      </c>
      <c r="V650" s="9">
        <f>IF(AND($A650&gt;=VLOOKUP(YEAR($A650),'Festive dates'!$A$2:$J$5,9,FALSE),$A650&lt;=VLOOKUP(YEAR($A650),'Festive dates'!$A$2:$J$5,10,FALSE)),1,0)</f>
        <v>0</v>
      </c>
      <c r="W650" s="9">
        <f>IF($A650=VLOOKUP(YEAR($A650),'Festive dates'!$A$2:$J$5,7,FALSE),1,0)</f>
        <v>0</v>
      </c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</row>
    <row r="651" spans="1:51">
      <c r="A651" s="8">
        <v>45666</v>
      </c>
      <c r="B651" s="9">
        <v>0</v>
      </c>
      <c r="C651" s="9">
        <v>0</v>
      </c>
      <c r="D651" s="9">
        <v>0</v>
      </c>
      <c r="E651" s="9">
        <v>0</v>
      </c>
      <c r="F651" s="9">
        <v>0</v>
      </c>
      <c r="G651" s="9">
        <v>0</v>
      </c>
      <c r="H651" s="9">
        <v>0</v>
      </c>
      <c r="I651" s="9">
        <v>0</v>
      </c>
      <c r="J651" s="9">
        <v>0</v>
      </c>
      <c r="K651" s="9">
        <v>0</v>
      </c>
      <c r="L651" s="9">
        <v>0</v>
      </c>
      <c r="M651" s="9">
        <v>0</v>
      </c>
      <c r="N651" s="9">
        <v>0</v>
      </c>
      <c r="O651" s="9">
        <v>0</v>
      </c>
      <c r="P651" s="9">
        <v>1</v>
      </c>
      <c r="Q651" s="9">
        <f>MAX(-20,MIN(10,$A651-VLOOKUP(YEAR($A651),'Festive dates'!$A$2:$J$5,8,FALSE)))</f>
        <v>-20</v>
      </c>
      <c r="R651" s="9">
        <f>IF(AND($A651&gt;VLOOKUP(YEAR($A651),'Festive dates'!$A$2:$J$5,2,FALSE),$A651&lt;VLOOKUP(YEAR($A651),'Festive dates'!$A$2:$J$5,3,FALSE)),1,0)</f>
        <v>0</v>
      </c>
      <c r="S651" s="9">
        <f>IF($A651=VLOOKUP(YEAR($A651),'Festive dates'!$A$2:$J$5,2,FALSE),1,0)</f>
        <v>0</v>
      </c>
      <c r="T651" s="9">
        <f>IF($A651=VLOOKUP(YEAR($A651),'Festive dates'!$A$2:$J$5,3,FALSE),1,0)</f>
        <v>0</v>
      </c>
      <c r="U651" s="9">
        <f>IF($A651=VLOOKUP(YEAR($A651),'Festive dates'!$A$2:$J$5,4,FALSE),1,0)</f>
        <v>0</v>
      </c>
      <c r="V651" s="9">
        <f>IF(AND($A651&gt;=VLOOKUP(YEAR($A651),'Festive dates'!$A$2:$J$5,9,FALSE),$A651&lt;=VLOOKUP(YEAR($A651),'Festive dates'!$A$2:$J$5,10,FALSE)),1,0)</f>
        <v>0</v>
      </c>
      <c r="W651" s="9">
        <f>IF($A651=VLOOKUP(YEAR($A651),'Festive dates'!$A$2:$J$5,7,FALSE),1,0)</f>
        <v>0</v>
      </c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</row>
    <row r="652" spans="1:51">
      <c r="A652" s="8">
        <v>45667</v>
      </c>
      <c r="B652" s="9">
        <v>0</v>
      </c>
      <c r="C652" s="9">
        <v>0</v>
      </c>
      <c r="D652" s="9">
        <v>0</v>
      </c>
      <c r="E652" s="9">
        <v>0</v>
      </c>
      <c r="F652" s="9">
        <v>0</v>
      </c>
      <c r="G652" s="9">
        <v>0</v>
      </c>
      <c r="H652" s="9">
        <v>0</v>
      </c>
      <c r="I652" s="9">
        <v>0</v>
      </c>
      <c r="J652" s="9">
        <v>0</v>
      </c>
      <c r="K652" s="9">
        <v>0</v>
      </c>
      <c r="L652" s="9">
        <v>0</v>
      </c>
      <c r="M652" s="9">
        <v>0</v>
      </c>
      <c r="N652" s="9">
        <v>0</v>
      </c>
      <c r="O652" s="9">
        <v>0</v>
      </c>
      <c r="P652" s="9">
        <v>1</v>
      </c>
      <c r="Q652" s="9">
        <f>MAX(-20,MIN(10,$A652-VLOOKUP(YEAR($A652),'Festive dates'!$A$2:$J$5,8,FALSE)))</f>
        <v>-20</v>
      </c>
      <c r="R652" s="9">
        <f>IF(AND($A652&gt;VLOOKUP(YEAR($A652),'Festive dates'!$A$2:$J$5,2,FALSE),$A652&lt;VLOOKUP(YEAR($A652),'Festive dates'!$A$2:$J$5,3,FALSE)),1,0)</f>
        <v>0</v>
      </c>
      <c r="S652" s="9">
        <f>IF($A652=VLOOKUP(YEAR($A652),'Festive dates'!$A$2:$J$5,2,FALSE),1,0)</f>
        <v>0</v>
      </c>
      <c r="T652" s="9">
        <f>IF($A652=VLOOKUP(YEAR($A652),'Festive dates'!$A$2:$J$5,3,FALSE),1,0)</f>
        <v>0</v>
      </c>
      <c r="U652" s="9">
        <f>IF($A652=VLOOKUP(YEAR($A652),'Festive dates'!$A$2:$J$5,4,FALSE),1,0)</f>
        <v>0</v>
      </c>
      <c r="V652" s="9">
        <f>IF(AND($A652&gt;=VLOOKUP(YEAR($A652),'Festive dates'!$A$2:$J$5,9,FALSE),$A652&lt;=VLOOKUP(YEAR($A652),'Festive dates'!$A$2:$J$5,10,FALSE)),1,0)</f>
        <v>0</v>
      </c>
      <c r="W652" s="9">
        <f>IF($A652=VLOOKUP(YEAR($A652),'Festive dates'!$A$2:$J$5,7,FALSE),1,0)</f>
        <v>0</v>
      </c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</row>
    <row r="653" spans="1:51">
      <c r="A653" s="8">
        <v>45668</v>
      </c>
      <c r="B653" s="9">
        <v>0</v>
      </c>
      <c r="C653" s="9">
        <v>0</v>
      </c>
      <c r="D653" s="9">
        <v>0</v>
      </c>
      <c r="E653" s="9">
        <v>0</v>
      </c>
      <c r="F653" s="9">
        <v>0</v>
      </c>
      <c r="G653" s="9">
        <v>0</v>
      </c>
      <c r="H653" s="9">
        <v>0</v>
      </c>
      <c r="I653" s="9">
        <v>0</v>
      </c>
      <c r="J653" s="9">
        <v>0</v>
      </c>
      <c r="K653" s="9">
        <v>0</v>
      </c>
      <c r="L653" s="9">
        <v>0</v>
      </c>
      <c r="M653" s="9">
        <v>0</v>
      </c>
      <c r="N653" s="9">
        <v>0</v>
      </c>
      <c r="O653" s="9">
        <v>0</v>
      </c>
      <c r="P653" s="9">
        <v>1</v>
      </c>
      <c r="Q653" s="9">
        <f>MAX(-20,MIN(10,$A653-VLOOKUP(YEAR($A653),'Festive dates'!$A$2:$J$5,8,FALSE)))</f>
        <v>-20</v>
      </c>
      <c r="R653" s="9">
        <f>IF(AND($A653&gt;VLOOKUP(YEAR($A653),'Festive dates'!$A$2:$J$5,2,FALSE),$A653&lt;VLOOKUP(YEAR($A653),'Festive dates'!$A$2:$J$5,3,FALSE)),1,0)</f>
        <v>0</v>
      </c>
      <c r="S653" s="9">
        <f>IF($A653=VLOOKUP(YEAR($A653),'Festive dates'!$A$2:$J$5,2,FALSE),1,0)</f>
        <v>0</v>
      </c>
      <c r="T653" s="9">
        <f>IF($A653=VLOOKUP(YEAR($A653),'Festive dates'!$A$2:$J$5,3,FALSE),1,0)</f>
        <v>0</v>
      </c>
      <c r="U653" s="9">
        <f>IF($A653=VLOOKUP(YEAR($A653),'Festive dates'!$A$2:$J$5,4,FALSE),1,0)</f>
        <v>0</v>
      </c>
      <c r="V653" s="9">
        <f>IF(AND($A653&gt;=VLOOKUP(YEAR($A653),'Festive dates'!$A$2:$J$5,9,FALSE),$A653&lt;=VLOOKUP(YEAR($A653),'Festive dates'!$A$2:$J$5,10,FALSE)),1,0)</f>
        <v>0</v>
      </c>
      <c r="W653" s="9">
        <f>IF($A653=VLOOKUP(YEAR($A653),'Festive dates'!$A$2:$J$5,7,FALSE),1,0)</f>
        <v>0</v>
      </c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</row>
    <row r="654" spans="1:51">
      <c r="A654" s="8">
        <v>45669</v>
      </c>
      <c r="B654" s="9">
        <v>0</v>
      </c>
      <c r="C654" s="9">
        <v>0</v>
      </c>
      <c r="D654" s="9">
        <v>0</v>
      </c>
      <c r="E654" s="9">
        <v>0</v>
      </c>
      <c r="F654" s="9">
        <v>0</v>
      </c>
      <c r="G654" s="9">
        <v>0</v>
      </c>
      <c r="H654" s="9">
        <v>0</v>
      </c>
      <c r="I654" s="9">
        <v>0</v>
      </c>
      <c r="J654" s="9">
        <v>0</v>
      </c>
      <c r="K654" s="9">
        <v>0</v>
      </c>
      <c r="L654" s="9">
        <v>0</v>
      </c>
      <c r="M654" s="9">
        <v>0</v>
      </c>
      <c r="N654" s="9">
        <v>0</v>
      </c>
      <c r="O654" s="9">
        <v>0</v>
      </c>
      <c r="P654" s="9">
        <v>1</v>
      </c>
      <c r="Q654" s="9">
        <f>MAX(-20,MIN(10,$A654-VLOOKUP(YEAR($A654),'Festive dates'!$A$2:$J$5,8,FALSE)))</f>
        <v>-20</v>
      </c>
      <c r="R654" s="9">
        <f>IF(AND($A654&gt;VLOOKUP(YEAR($A654),'Festive dates'!$A$2:$J$5,2,FALSE),$A654&lt;VLOOKUP(YEAR($A654),'Festive dates'!$A$2:$J$5,3,FALSE)),1,0)</f>
        <v>0</v>
      </c>
      <c r="S654" s="9">
        <f>IF($A654=VLOOKUP(YEAR($A654),'Festive dates'!$A$2:$J$5,2,FALSE),1,0)</f>
        <v>0</v>
      </c>
      <c r="T654" s="9">
        <f>IF($A654=VLOOKUP(YEAR($A654),'Festive dates'!$A$2:$J$5,3,FALSE),1,0)</f>
        <v>0</v>
      </c>
      <c r="U654" s="9">
        <f>IF($A654=VLOOKUP(YEAR($A654),'Festive dates'!$A$2:$J$5,4,FALSE),1,0)</f>
        <v>0</v>
      </c>
      <c r="V654" s="9">
        <f>IF(AND($A654&gt;=VLOOKUP(YEAR($A654),'Festive dates'!$A$2:$J$5,9,FALSE),$A654&lt;=VLOOKUP(YEAR($A654),'Festive dates'!$A$2:$J$5,10,FALSE)),1,0)</f>
        <v>0</v>
      </c>
      <c r="W654" s="9">
        <f>IF($A654=VLOOKUP(YEAR($A654),'Festive dates'!$A$2:$J$5,7,FALSE),1,0)</f>
        <v>0</v>
      </c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</row>
    <row r="655" spans="1:51">
      <c r="A655" s="8">
        <v>45670</v>
      </c>
      <c r="B655" s="9">
        <v>0</v>
      </c>
      <c r="C655" s="9">
        <v>0</v>
      </c>
      <c r="D655" s="9">
        <v>0</v>
      </c>
      <c r="E655" s="9">
        <v>0</v>
      </c>
      <c r="F655" s="9">
        <v>0</v>
      </c>
      <c r="G655" s="9">
        <v>0</v>
      </c>
      <c r="H655" s="9">
        <v>0</v>
      </c>
      <c r="I655" s="9">
        <v>0</v>
      </c>
      <c r="J655" s="9">
        <v>0</v>
      </c>
      <c r="K655" s="9">
        <v>0</v>
      </c>
      <c r="L655" s="9">
        <v>0</v>
      </c>
      <c r="M655" s="9">
        <v>0</v>
      </c>
      <c r="N655" s="9">
        <v>0</v>
      </c>
      <c r="O655" s="9">
        <v>0</v>
      </c>
      <c r="P655" s="9">
        <v>1</v>
      </c>
      <c r="Q655" s="9">
        <f>MAX(-20,MIN(10,$A655-VLOOKUP(YEAR($A655),'Festive dates'!$A$2:$J$5,8,FALSE)))</f>
        <v>-20</v>
      </c>
      <c r="R655" s="9">
        <f>IF(AND($A655&gt;VLOOKUP(YEAR($A655),'Festive dates'!$A$2:$J$5,2,FALSE),$A655&lt;VLOOKUP(YEAR($A655),'Festive dates'!$A$2:$J$5,3,FALSE)),1,0)</f>
        <v>0</v>
      </c>
      <c r="S655" s="9">
        <f>IF($A655=VLOOKUP(YEAR($A655),'Festive dates'!$A$2:$J$5,2,FALSE),1,0)</f>
        <v>0</v>
      </c>
      <c r="T655" s="9">
        <f>IF($A655=VLOOKUP(YEAR($A655),'Festive dates'!$A$2:$J$5,3,FALSE),1,0)</f>
        <v>0</v>
      </c>
      <c r="U655" s="9">
        <f>IF($A655=VLOOKUP(YEAR($A655),'Festive dates'!$A$2:$J$5,4,FALSE),1,0)</f>
        <v>0</v>
      </c>
      <c r="V655" s="9">
        <f>IF(AND($A655&gt;=VLOOKUP(YEAR($A655),'Festive dates'!$A$2:$J$5,9,FALSE),$A655&lt;=VLOOKUP(YEAR($A655),'Festive dates'!$A$2:$J$5,10,FALSE)),1,0)</f>
        <v>0</v>
      </c>
      <c r="W655" s="9">
        <f>IF($A655=VLOOKUP(YEAR($A655),'Festive dates'!$A$2:$J$5,7,FALSE),1,0)</f>
        <v>0</v>
      </c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</row>
    <row r="656" spans="1:51">
      <c r="A656" s="8">
        <v>45671</v>
      </c>
      <c r="B656" s="9">
        <v>0</v>
      </c>
      <c r="C656" s="9">
        <v>0</v>
      </c>
      <c r="D656" s="9">
        <v>0</v>
      </c>
      <c r="E656" s="9">
        <v>0</v>
      </c>
      <c r="F656" s="9">
        <v>0</v>
      </c>
      <c r="G656" s="9">
        <v>0</v>
      </c>
      <c r="H656" s="9">
        <v>0</v>
      </c>
      <c r="I656" s="9">
        <v>0</v>
      </c>
      <c r="J656" s="9">
        <v>0</v>
      </c>
      <c r="K656" s="9">
        <v>0</v>
      </c>
      <c r="L656" s="9">
        <v>0</v>
      </c>
      <c r="M656" s="9">
        <v>0</v>
      </c>
      <c r="N656" s="9">
        <v>0</v>
      </c>
      <c r="O656" s="9">
        <v>0</v>
      </c>
      <c r="P656" s="9">
        <v>1</v>
      </c>
      <c r="Q656" s="9">
        <f>MAX(-20,MIN(10,$A656-VLOOKUP(YEAR($A656),'Festive dates'!$A$2:$J$5,8,FALSE)))</f>
        <v>-20</v>
      </c>
      <c r="R656" s="9">
        <f>IF(AND($A656&gt;VLOOKUP(YEAR($A656),'Festive dates'!$A$2:$J$5,2,FALSE),$A656&lt;VLOOKUP(YEAR($A656),'Festive dates'!$A$2:$J$5,3,FALSE)),1,0)</f>
        <v>0</v>
      </c>
      <c r="S656" s="9">
        <f>IF($A656=VLOOKUP(YEAR($A656),'Festive dates'!$A$2:$J$5,2,FALSE),1,0)</f>
        <v>0</v>
      </c>
      <c r="T656" s="9">
        <f>IF($A656=VLOOKUP(YEAR($A656),'Festive dates'!$A$2:$J$5,3,FALSE),1,0)</f>
        <v>0</v>
      </c>
      <c r="U656" s="9">
        <f>IF($A656=VLOOKUP(YEAR($A656),'Festive dates'!$A$2:$J$5,4,FALSE),1,0)</f>
        <v>0</v>
      </c>
      <c r="V656" s="9">
        <f>IF(AND($A656&gt;=VLOOKUP(YEAR($A656),'Festive dates'!$A$2:$J$5,9,FALSE),$A656&lt;=VLOOKUP(YEAR($A656),'Festive dates'!$A$2:$J$5,10,FALSE)),1,0)</f>
        <v>0</v>
      </c>
      <c r="W656" s="9">
        <f>IF($A656=VLOOKUP(YEAR($A656),'Festive dates'!$A$2:$J$5,7,FALSE),1,0)</f>
        <v>0</v>
      </c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</row>
    <row r="657" spans="1:51">
      <c r="A657" s="8">
        <v>45672</v>
      </c>
      <c r="B657" s="9">
        <v>0</v>
      </c>
      <c r="C657" s="9">
        <v>0</v>
      </c>
      <c r="D657" s="9">
        <v>0</v>
      </c>
      <c r="E657" s="9">
        <v>0</v>
      </c>
      <c r="F657" s="9">
        <v>0</v>
      </c>
      <c r="G657" s="9">
        <v>0</v>
      </c>
      <c r="H657" s="9">
        <v>0</v>
      </c>
      <c r="I657" s="9">
        <v>0</v>
      </c>
      <c r="J657" s="9">
        <v>0</v>
      </c>
      <c r="K657" s="9">
        <v>0</v>
      </c>
      <c r="L657" s="9">
        <v>0</v>
      </c>
      <c r="M657" s="9">
        <v>0</v>
      </c>
      <c r="N657" s="9">
        <v>0</v>
      </c>
      <c r="O657" s="9">
        <v>0</v>
      </c>
      <c r="P657" s="9">
        <v>0</v>
      </c>
      <c r="Q657" s="9">
        <f>MAX(-20,MIN(10,$A657-VLOOKUP(YEAR($A657),'Festive dates'!$A$2:$J$5,8,FALSE)))</f>
        <v>-20</v>
      </c>
      <c r="R657" s="9">
        <f>IF(AND($A657&gt;VLOOKUP(YEAR($A657),'Festive dates'!$A$2:$J$5,2,FALSE),$A657&lt;VLOOKUP(YEAR($A657),'Festive dates'!$A$2:$J$5,3,FALSE)),1,0)</f>
        <v>0</v>
      </c>
      <c r="S657" s="9">
        <f>IF($A657=VLOOKUP(YEAR($A657),'Festive dates'!$A$2:$J$5,2,FALSE),1,0)</f>
        <v>0</v>
      </c>
      <c r="T657" s="9">
        <f>IF($A657=VLOOKUP(YEAR($A657),'Festive dates'!$A$2:$J$5,3,FALSE),1,0)</f>
        <v>0</v>
      </c>
      <c r="U657" s="9">
        <f>IF($A657=VLOOKUP(YEAR($A657),'Festive dates'!$A$2:$J$5,4,FALSE),1,0)</f>
        <v>0</v>
      </c>
      <c r="V657" s="9">
        <f>IF(AND($A657&gt;=VLOOKUP(YEAR($A657),'Festive dates'!$A$2:$J$5,9,FALSE),$A657&lt;=VLOOKUP(YEAR($A657),'Festive dates'!$A$2:$J$5,10,FALSE)),1,0)</f>
        <v>0</v>
      </c>
      <c r="W657" s="9">
        <f>IF($A657=VLOOKUP(YEAR($A657),'Festive dates'!$A$2:$J$5,7,FALSE),1,0)</f>
        <v>0</v>
      </c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</row>
    <row r="658" spans="1:51">
      <c r="A658" s="8">
        <v>45673</v>
      </c>
      <c r="B658" s="9">
        <v>0</v>
      </c>
      <c r="C658" s="9">
        <v>0</v>
      </c>
      <c r="D658" s="9">
        <v>0</v>
      </c>
      <c r="E658" s="9">
        <v>0</v>
      </c>
      <c r="F658" s="9">
        <v>0</v>
      </c>
      <c r="G658" s="9">
        <v>0</v>
      </c>
      <c r="H658" s="9">
        <v>0</v>
      </c>
      <c r="I658" s="9">
        <v>0</v>
      </c>
      <c r="J658" s="9">
        <v>0</v>
      </c>
      <c r="K658" s="9">
        <v>0</v>
      </c>
      <c r="L658" s="9">
        <v>0</v>
      </c>
      <c r="M658" s="9">
        <v>0</v>
      </c>
      <c r="N658" s="9">
        <v>0</v>
      </c>
      <c r="O658" s="9">
        <v>0</v>
      </c>
      <c r="P658" s="9">
        <v>1</v>
      </c>
      <c r="Q658" s="9">
        <f>MAX(-20,MIN(10,$A658-VLOOKUP(YEAR($A658),'Festive dates'!$A$2:$J$5,8,FALSE)))</f>
        <v>-20</v>
      </c>
      <c r="R658" s="9">
        <f>IF(AND($A658&gt;VLOOKUP(YEAR($A658),'Festive dates'!$A$2:$J$5,2,FALSE),$A658&lt;VLOOKUP(YEAR($A658),'Festive dates'!$A$2:$J$5,3,FALSE)),1,0)</f>
        <v>0</v>
      </c>
      <c r="S658" s="9">
        <f>IF($A658=VLOOKUP(YEAR($A658),'Festive dates'!$A$2:$J$5,2,FALSE),1,0)</f>
        <v>0</v>
      </c>
      <c r="T658" s="9">
        <f>IF($A658=VLOOKUP(YEAR($A658),'Festive dates'!$A$2:$J$5,3,FALSE),1,0)</f>
        <v>0</v>
      </c>
      <c r="U658" s="9">
        <f>IF($A658=VLOOKUP(YEAR($A658),'Festive dates'!$A$2:$J$5,4,FALSE),1,0)</f>
        <v>0</v>
      </c>
      <c r="V658" s="9">
        <f>IF(AND($A658&gt;=VLOOKUP(YEAR($A658),'Festive dates'!$A$2:$J$5,9,FALSE),$A658&lt;=VLOOKUP(YEAR($A658),'Festive dates'!$A$2:$J$5,10,FALSE)),1,0)</f>
        <v>0</v>
      </c>
      <c r="W658" s="9">
        <f>IF($A658=VLOOKUP(YEAR($A658),'Festive dates'!$A$2:$J$5,7,FALSE),1,0)</f>
        <v>0</v>
      </c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</row>
    <row r="659" spans="1:51">
      <c r="A659" s="8">
        <v>45674</v>
      </c>
      <c r="B659" s="9">
        <v>0</v>
      </c>
      <c r="C659" s="9">
        <v>0</v>
      </c>
      <c r="D659" s="9">
        <v>0</v>
      </c>
      <c r="E659" s="9">
        <v>0</v>
      </c>
      <c r="F659" s="9">
        <v>0</v>
      </c>
      <c r="G659" s="9">
        <v>0</v>
      </c>
      <c r="H659" s="9">
        <v>0</v>
      </c>
      <c r="I659" s="9">
        <v>0</v>
      </c>
      <c r="J659" s="9">
        <v>0</v>
      </c>
      <c r="K659" s="9">
        <v>0</v>
      </c>
      <c r="L659" s="9">
        <v>0</v>
      </c>
      <c r="M659" s="9">
        <v>0</v>
      </c>
      <c r="N659" s="9">
        <v>0</v>
      </c>
      <c r="O659" s="9">
        <v>0</v>
      </c>
      <c r="P659" s="9">
        <v>1</v>
      </c>
      <c r="Q659" s="9">
        <f>MAX(-20,MIN(10,$A659-VLOOKUP(YEAR($A659),'Festive dates'!$A$2:$J$5,8,FALSE)))</f>
        <v>-20</v>
      </c>
      <c r="R659" s="9">
        <f>IF(AND($A659&gt;VLOOKUP(YEAR($A659),'Festive dates'!$A$2:$J$5,2,FALSE),$A659&lt;VLOOKUP(YEAR($A659),'Festive dates'!$A$2:$J$5,3,FALSE)),1,0)</f>
        <v>0</v>
      </c>
      <c r="S659" s="9">
        <f>IF($A659=VLOOKUP(YEAR($A659),'Festive dates'!$A$2:$J$5,2,FALSE),1,0)</f>
        <v>0</v>
      </c>
      <c r="T659" s="9">
        <f>IF($A659=VLOOKUP(YEAR($A659),'Festive dates'!$A$2:$J$5,3,FALSE),1,0)</f>
        <v>0</v>
      </c>
      <c r="U659" s="9">
        <f>IF($A659=VLOOKUP(YEAR($A659),'Festive dates'!$A$2:$J$5,4,FALSE),1,0)</f>
        <v>0</v>
      </c>
      <c r="V659" s="9">
        <f>IF(AND($A659&gt;=VLOOKUP(YEAR($A659),'Festive dates'!$A$2:$J$5,9,FALSE),$A659&lt;=VLOOKUP(YEAR($A659),'Festive dates'!$A$2:$J$5,10,FALSE)),1,0)</f>
        <v>0</v>
      </c>
      <c r="W659" s="9">
        <f>IF($A659=VLOOKUP(YEAR($A659),'Festive dates'!$A$2:$J$5,7,FALSE),1,0)</f>
        <v>0</v>
      </c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</row>
    <row r="660" spans="1:51">
      <c r="A660" s="8">
        <v>45675</v>
      </c>
      <c r="B660" s="9">
        <v>0</v>
      </c>
      <c r="C660" s="9">
        <v>0</v>
      </c>
      <c r="D660" s="9">
        <v>0</v>
      </c>
      <c r="E660" s="9">
        <v>0</v>
      </c>
      <c r="F660" s="9">
        <v>0</v>
      </c>
      <c r="G660" s="9">
        <v>0</v>
      </c>
      <c r="H660" s="9">
        <v>0</v>
      </c>
      <c r="I660" s="9">
        <v>0</v>
      </c>
      <c r="J660" s="9">
        <v>0</v>
      </c>
      <c r="K660" s="9">
        <v>0</v>
      </c>
      <c r="L660" s="9">
        <v>0</v>
      </c>
      <c r="M660" s="9">
        <v>0</v>
      </c>
      <c r="N660" s="9">
        <v>0</v>
      </c>
      <c r="O660" s="9">
        <v>0</v>
      </c>
      <c r="P660" s="9">
        <v>1</v>
      </c>
      <c r="Q660" s="9">
        <f>MAX(-20,MIN(10,$A660-VLOOKUP(YEAR($A660),'Festive dates'!$A$2:$J$5,8,FALSE)))</f>
        <v>-20</v>
      </c>
      <c r="R660" s="9">
        <f>IF(AND($A660&gt;VLOOKUP(YEAR($A660),'Festive dates'!$A$2:$J$5,2,FALSE),$A660&lt;VLOOKUP(YEAR($A660),'Festive dates'!$A$2:$J$5,3,FALSE)),1,0)</f>
        <v>0</v>
      </c>
      <c r="S660" s="9">
        <f>IF($A660=VLOOKUP(YEAR($A660),'Festive dates'!$A$2:$J$5,2,FALSE),1,0)</f>
        <v>0</v>
      </c>
      <c r="T660" s="9">
        <f>IF($A660=VLOOKUP(YEAR($A660),'Festive dates'!$A$2:$J$5,3,FALSE),1,0)</f>
        <v>0</v>
      </c>
      <c r="U660" s="9">
        <f>IF($A660=VLOOKUP(YEAR($A660),'Festive dates'!$A$2:$J$5,4,FALSE),1,0)</f>
        <v>0</v>
      </c>
      <c r="V660" s="9">
        <f>IF(AND($A660&gt;=VLOOKUP(YEAR($A660),'Festive dates'!$A$2:$J$5,9,FALSE),$A660&lt;=VLOOKUP(YEAR($A660),'Festive dates'!$A$2:$J$5,10,FALSE)),1,0)</f>
        <v>0</v>
      </c>
      <c r="W660" s="9">
        <f>IF($A660=VLOOKUP(YEAR($A660),'Festive dates'!$A$2:$J$5,7,FALSE),1,0)</f>
        <v>0</v>
      </c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</row>
    <row r="661" spans="1:51">
      <c r="A661" s="8">
        <v>45676</v>
      </c>
      <c r="B661" s="9">
        <v>0</v>
      </c>
      <c r="C661" s="9">
        <v>0</v>
      </c>
      <c r="D661" s="9">
        <v>0</v>
      </c>
      <c r="E661" s="9">
        <v>0</v>
      </c>
      <c r="F661" s="9">
        <v>0</v>
      </c>
      <c r="G661" s="9">
        <v>0</v>
      </c>
      <c r="H661" s="9">
        <v>0</v>
      </c>
      <c r="I661" s="9">
        <v>0</v>
      </c>
      <c r="J661" s="9">
        <v>0</v>
      </c>
      <c r="K661" s="9">
        <v>0</v>
      </c>
      <c r="L661" s="9">
        <v>0</v>
      </c>
      <c r="M661" s="9">
        <v>0</v>
      </c>
      <c r="N661" s="9">
        <v>0</v>
      </c>
      <c r="O661" s="9">
        <v>0</v>
      </c>
      <c r="P661" s="9">
        <v>1</v>
      </c>
      <c r="Q661" s="9">
        <f>MAX(-20,MIN(10,$A661-VLOOKUP(YEAR($A661),'Festive dates'!$A$2:$J$5,8,FALSE)))</f>
        <v>-20</v>
      </c>
      <c r="R661" s="9">
        <f>IF(AND($A661&gt;VLOOKUP(YEAR($A661),'Festive dates'!$A$2:$J$5,2,FALSE),$A661&lt;VLOOKUP(YEAR($A661),'Festive dates'!$A$2:$J$5,3,FALSE)),1,0)</f>
        <v>0</v>
      </c>
      <c r="S661" s="9">
        <f>IF($A661=VLOOKUP(YEAR($A661),'Festive dates'!$A$2:$J$5,2,FALSE),1,0)</f>
        <v>0</v>
      </c>
      <c r="T661" s="9">
        <f>IF($A661=VLOOKUP(YEAR($A661),'Festive dates'!$A$2:$J$5,3,FALSE),1,0)</f>
        <v>0</v>
      </c>
      <c r="U661" s="9">
        <f>IF($A661=VLOOKUP(YEAR($A661),'Festive dates'!$A$2:$J$5,4,FALSE),1,0)</f>
        <v>0</v>
      </c>
      <c r="V661" s="9">
        <f>IF(AND($A661&gt;=VLOOKUP(YEAR($A661),'Festive dates'!$A$2:$J$5,9,FALSE),$A661&lt;=VLOOKUP(YEAR($A661),'Festive dates'!$A$2:$J$5,10,FALSE)),1,0)</f>
        <v>0</v>
      </c>
      <c r="W661" s="9">
        <f>IF($A661=VLOOKUP(YEAR($A661),'Festive dates'!$A$2:$J$5,7,FALSE),1,0)</f>
        <v>0</v>
      </c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</row>
    <row r="662" spans="1:51">
      <c r="A662" s="8">
        <v>45677</v>
      </c>
      <c r="B662" s="9">
        <v>0</v>
      </c>
      <c r="C662" s="9">
        <v>0</v>
      </c>
      <c r="D662" s="9">
        <v>0</v>
      </c>
      <c r="E662" s="9">
        <v>0</v>
      </c>
      <c r="F662" s="9">
        <v>0</v>
      </c>
      <c r="G662" s="9">
        <v>0</v>
      </c>
      <c r="H662" s="9">
        <v>0</v>
      </c>
      <c r="I662" s="9">
        <v>0</v>
      </c>
      <c r="J662" s="9">
        <v>0</v>
      </c>
      <c r="K662" s="9">
        <v>0</v>
      </c>
      <c r="L662" s="9">
        <v>0</v>
      </c>
      <c r="M662" s="9">
        <v>0</v>
      </c>
      <c r="N662" s="9">
        <v>0</v>
      </c>
      <c r="O662" s="9">
        <v>0</v>
      </c>
      <c r="P662" s="9">
        <v>1</v>
      </c>
      <c r="Q662" s="9">
        <f>MAX(-20,MIN(10,$A662-VLOOKUP(YEAR($A662),'Festive dates'!$A$2:$J$5,8,FALSE)))</f>
        <v>-20</v>
      </c>
      <c r="R662" s="9">
        <f>IF(AND($A662&gt;VLOOKUP(YEAR($A662),'Festive dates'!$A$2:$J$5,2,FALSE),$A662&lt;VLOOKUP(YEAR($A662),'Festive dates'!$A$2:$J$5,3,FALSE)),1,0)</f>
        <v>0</v>
      </c>
      <c r="S662" s="9">
        <f>IF($A662=VLOOKUP(YEAR($A662),'Festive dates'!$A$2:$J$5,2,FALSE),1,0)</f>
        <v>0</v>
      </c>
      <c r="T662" s="9">
        <f>IF($A662=VLOOKUP(YEAR($A662),'Festive dates'!$A$2:$J$5,3,FALSE),1,0)</f>
        <v>0</v>
      </c>
      <c r="U662" s="9">
        <f>IF($A662=VLOOKUP(YEAR($A662),'Festive dates'!$A$2:$J$5,4,FALSE),1,0)</f>
        <v>0</v>
      </c>
      <c r="V662" s="9">
        <f>IF(AND($A662&gt;=VLOOKUP(YEAR($A662),'Festive dates'!$A$2:$J$5,9,FALSE),$A662&lt;=VLOOKUP(YEAR($A662),'Festive dates'!$A$2:$J$5,10,FALSE)),1,0)</f>
        <v>0</v>
      </c>
      <c r="W662" s="9">
        <f>IF($A662=VLOOKUP(YEAR($A662),'Festive dates'!$A$2:$J$5,7,FALSE),1,0)</f>
        <v>0</v>
      </c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</row>
    <row r="663" spans="1:51">
      <c r="A663" s="8">
        <v>45678</v>
      </c>
      <c r="B663" s="9">
        <v>0</v>
      </c>
      <c r="C663" s="9">
        <v>0</v>
      </c>
      <c r="D663" s="9">
        <v>0</v>
      </c>
      <c r="E663" s="9">
        <v>0</v>
      </c>
      <c r="F663" s="9">
        <v>0</v>
      </c>
      <c r="G663" s="9">
        <v>0</v>
      </c>
      <c r="H663" s="9">
        <v>0</v>
      </c>
      <c r="I663" s="9">
        <v>0</v>
      </c>
      <c r="J663" s="9">
        <v>0</v>
      </c>
      <c r="K663" s="9">
        <v>0</v>
      </c>
      <c r="L663" s="9">
        <v>0</v>
      </c>
      <c r="M663" s="9">
        <v>0</v>
      </c>
      <c r="N663" s="9">
        <v>0</v>
      </c>
      <c r="O663" s="9">
        <v>0</v>
      </c>
      <c r="P663" s="9">
        <v>0</v>
      </c>
      <c r="Q663" s="9">
        <f>MAX(-20,MIN(10,$A663-VLOOKUP(YEAR($A663),'Festive dates'!$A$2:$J$5,8,FALSE)))</f>
        <v>-20</v>
      </c>
      <c r="R663" s="9">
        <f>IF(AND($A663&gt;VLOOKUP(YEAR($A663),'Festive dates'!$A$2:$J$5,2,FALSE),$A663&lt;VLOOKUP(YEAR($A663),'Festive dates'!$A$2:$J$5,3,FALSE)),1,0)</f>
        <v>0</v>
      </c>
      <c r="S663" s="9">
        <f>IF($A663=VLOOKUP(YEAR($A663),'Festive dates'!$A$2:$J$5,2,FALSE),1,0)</f>
        <v>0</v>
      </c>
      <c r="T663" s="9">
        <f>IF($A663=VLOOKUP(YEAR($A663),'Festive dates'!$A$2:$J$5,3,FALSE),1,0)</f>
        <v>0</v>
      </c>
      <c r="U663" s="9">
        <f>IF($A663=VLOOKUP(YEAR($A663),'Festive dates'!$A$2:$J$5,4,FALSE),1,0)</f>
        <v>0</v>
      </c>
      <c r="V663" s="9">
        <f>IF(AND($A663&gt;=VLOOKUP(YEAR($A663),'Festive dates'!$A$2:$J$5,9,FALSE),$A663&lt;=VLOOKUP(YEAR($A663),'Festive dates'!$A$2:$J$5,10,FALSE)),1,0)</f>
        <v>0</v>
      </c>
      <c r="W663" s="9">
        <f>IF($A663=VLOOKUP(YEAR($A663),'Festive dates'!$A$2:$J$5,7,FALSE),1,0)</f>
        <v>0</v>
      </c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</row>
    <row r="664" spans="1:51">
      <c r="A664" s="8">
        <v>45679</v>
      </c>
      <c r="B664" s="9">
        <v>0</v>
      </c>
      <c r="C664" s="9">
        <v>0</v>
      </c>
      <c r="D664" s="9">
        <v>0</v>
      </c>
      <c r="E664" s="9">
        <v>0</v>
      </c>
      <c r="F664" s="9">
        <v>0</v>
      </c>
      <c r="G664" s="9">
        <v>0</v>
      </c>
      <c r="H664" s="9">
        <v>0</v>
      </c>
      <c r="I664" s="9">
        <v>0</v>
      </c>
      <c r="J664" s="9">
        <v>0</v>
      </c>
      <c r="K664" s="9">
        <v>0</v>
      </c>
      <c r="L664" s="9">
        <v>0</v>
      </c>
      <c r="M664" s="9">
        <v>0</v>
      </c>
      <c r="N664" s="9">
        <v>0</v>
      </c>
      <c r="O664" s="9">
        <v>0</v>
      </c>
      <c r="P664" s="9">
        <v>0</v>
      </c>
      <c r="Q664" s="9">
        <f>MAX(-20,MIN(10,$A664-VLOOKUP(YEAR($A664),'Festive dates'!$A$2:$J$5,8,FALSE)))</f>
        <v>-20</v>
      </c>
      <c r="R664" s="9">
        <f>IF(AND($A664&gt;VLOOKUP(YEAR($A664),'Festive dates'!$A$2:$J$5,2,FALSE),$A664&lt;VLOOKUP(YEAR($A664),'Festive dates'!$A$2:$J$5,3,FALSE)),1,0)</f>
        <v>0</v>
      </c>
      <c r="S664" s="9">
        <f>IF($A664=VLOOKUP(YEAR($A664),'Festive dates'!$A$2:$J$5,2,FALSE),1,0)</f>
        <v>0</v>
      </c>
      <c r="T664" s="9">
        <f>IF($A664=VLOOKUP(YEAR($A664),'Festive dates'!$A$2:$J$5,3,FALSE),1,0)</f>
        <v>0</v>
      </c>
      <c r="U664" s="9">
        <f>IF($A664=VLOOKUP(YEAR($A664),'Festive dates'!$A$2:$J$5,4,FALSE),1,0)</f>
        <v>0</v>
      </c>
      <c r="V664" s="9">
        <f>IF(AND($A664&gt;=VLOOKUP(YEAR($A664),'Festive dates'!$A$2:$J$5,9,FALSE),$A664&lt;=VLOOKUP(YEAR($A664),'Festive dates'!$A$2:$J$5,10,FALSE)),1,0)</f>
        <v>0</v>
      </c>
      <c r="W664" s="9">
        <f>IF($A664=VLOOKUP(YEAR($A664),'Festive dates'!$A$2:$J$5,7,FALSE),1,0)</f>
        <v>0</v>
      </c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</row>
    <row r="665" spans="1:51">
      <c r="A665" s="8">
        <v>45680</v>
      </c>
      <c r="B665" s="9">
        <v>0</v>
      </c>
      <c r="C665" s="9">
        <v>0</v>
      </c>
      <c r="D665" s="9">
        <v>0</v>
      </c>
      <c r="E665" s="9">
        <v>0</v>
      </c>
      <c r="F665" s="9">
        <v>0</v>
      </c>
      <c r="G665" s="9">
        <v>0</v>
      </c>
      <c r="H665" s="9">
        <v>0</v>
      </c>
      <c r="I665" s="9">
        <v>0</v>
      </c>
      <c r="J665" s="9">
        <v>0</v>
      </c>
      <c r="K665" s="9">
        <v>0</v>
      </c>
      <c r="L665" s="9">
        <v>0</v>
      </c>
      <c r="M665" s="9">
        <v>0</v>
      </c>
      <c r="N665" s="9">
        <v>0</v>
      </c>
      <c r="O665" s="9">
        <v>0</v>
      </c>
      <c r="P665" s="9">
        <v>0</v>
      </c>
      <c r="Q665" s="9">
        <f>MAX(-20,MIN(10,$A665-VLOOKUP(YEAR($A665),'Festive dates'!$A$2:$J$5,8,FALSE)))</f>
        <v>-20</v>
      </c>
      <c r="R665" s="9">
        <f>IF(AND($A665&gt;VLOOKUP(YEAR($A665),'Festive dates'!$A$2:$J$5,2,FALSE),$A665&lt;VLOOKUP(YEAR($A665),'Festive dates'!$A$2:$J$5,3,FALSE)),1,0)</f>
        <v>0</v>
      </c>
      <c r="S665" s="9">
        <f>IF($A665=VLOOKUP(YEAR($A665),'Festive dates'!$A$2:$J$5,2,FALSE),1,0)</f>
        <v>0</v>
      </c>
      <c r="T665" s="9">
        <f>IF($A665=VLOOKUP(YEAR($A665),'Festive dates'!$A$2:$J$5,3,FALSE),1,0)</f>
        <v>0</v>
      </c>
      <c r="U665" s="9">
        <f>IF($A665=VLOOKUP(YEAR($A665),'Festive dates'!$A$2:$J$5,4,FALSE),1,0)</f>
        <v>0</v>
      </c>
      <c r="V665" s="9">
        <f>IF(AND($A665&gt;=VLOOKUP(YEAR($A665),'Festive dates'!$A$2:$J$5,9,FALSE),$A665&lt;=VLOOKUP(YEAR($A665),'Festive dates'!$A$2:$J$5,10,FALSE)),1,0)</f>
        <v>0</v>
      </c>
      <c r="W665" s="9">
        <f>IF($A665=VLOOKUP(YEAR($A665),'Festive dates'!$A$2:$J$5,7,FALSE),1,0)</f>
        <v>0</v>
      </c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</row>
    <row r="666" spans="1:51">
      <c r="A666" s="8">
        <v>45681</v>
      </c>
      <c r="B666" s="9">
        <v>0</v>
      </c>
      <c r="C666" s="9">
        <v>0</v>
      </c>
      <c r="D666" s="9">
        <v>0</v>
      </c>
      <c r="E666" s="9">
        <v>0</v>
      </c>
      <c r="F666" s="9">
        <v>0</v>
      </c>
      <c r="G666" s="9">
        <v>0</v>
      </c>
      <c r="H666" s="9">
        <v>0</v>
      </c>
      <c r="I666" s="9">
        <v>0</v>
      </c>
      <c r="J666" s="9">
        <v>0</v>
      </c>
      <c r="K666" s="9">
        <v>0</v>
      </c>
      <c r="L666" s="9">
        <v>0</v>
      </c>
      <c r="M666" s="9">
        <v>0</v>
      </c>
      <c r="N666" s="9">
        <v>0</v>
      </c>
      <c r="O666" s="9">
        <v>0</v>
      </c>
      <c r="P666" s="9">
        <v>0</v>
      </c>
      <c r="Q666" s="9">
        <f>MAX(-20,MIN(10,$A666-VLOOKUP(YEAR($A666),'Festive dates'!$A$2:$J$5,8,FALSE)))</f>
        <v>-20</v>
      </c>
      <c r="R666" s="9">
        <f>IF(AND($A666&gt;VLOOKUP(YEAR($A666),'Festive dates'!$A$2:$J$5,2,FALSE),$A666&lt;VLOOKUP(YEAR($A666),'Festive dates'!$A$2:$J$5,3,FALSE)),1,0)</f>
        <v>0</v>
      </c>
      <c r="S666" s="9">
        <f>IF($A666=VLOOKUP(YEAR($A666),'Festive dates'!$A$2:$J$5,2,FALSE),1,0)</f>
        <v>0</v>
      </c>
      <c r="T666" s="9">
        <f>IF($A666=VLOOKUP(YEAR($A666),'Festive dates'!$A$2:$J$5,3,FALSE),1,0)</f>
        <v>0</v>
      </c>
      <c r="U666" s="9">
        <f>IF($A666=VLOOKUP(YEAR($A666),'Festive dates'!$A$2:$J$5,4,FALSE),1,0)</f>
        <v>0</v>
      </c>
      <c r="V666" s="9">
        <f>IF(AND($A666&gt;=VLOOKUP(YEAR($A666),'Festive dates'!$A$2:$J$5,9,FALSE),$A666&lt;=VLOOKUP(YEAR($A666),'Festive dates'!$A$2:$J$5,10,FALSE)),1,0)</f>
        <v>0</v>
      </c>
      <c r="W666" s="9">
        <f>IF($A666=VLOOKUP(YEAR($A666),'Festive dates'!$A$2:$J$5,7,FALSE),1,0)</f>
        <v>0</v>
      </c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</row>
    <row r="667" spans="1:51">
      <c r="A667" s="8">
        <v>45682</v>
      </c>
      <c r="B667" s="9">
        <v>0</v>
      </c>
      <c r="C667" s="9">
        <v>0</v>
      </c>
      <c r="D667" s="9">
        <v>0</v>
      </c>
      <c r="E667" s="9">
        <v>0</v>
      </c>
      <c r="F667" s="9">
        <v>0</v>
      </c>
      <c r="G667" s="9">
        <v>0</v>
      </c>
      <c r="H667" s="9">
        <v>0</v>
      </c>
      <c r="I667" s="9">
        <v>0</v>
      </c>
      <c r="J667" s="9">
        <v>0</v>
      </c>
      <c r="K667" s="9">
        <v>0</v>
      </c>
      <c r="L667" s="9">
        <v>0</v>
      </c>
      <c r="M667" s="9">
        <v>0</v>
      </c>
      <c r="N667" s="9">
        <v>0</v>
      </c>
      <c r="O667" s="9">
        <v>0</v>
      </c>
      <c r="P667" s="9">
        <v>0</v>
      </c>
      <c r="Q667" s="9">
        <f>MAX(-20,MIN(10,$A667-VLOOKUP(YEAR($A667),'Festive dates'!$A$2:$J$5,8,FALSE)))</f>
        <v>-20</v>
      </c>
      <c r="R667" s="9">
        <f>IF(AND($A667&gt;VLOOKUP(YEAR($A667),'Festive dates'!$A$2:$J$5,2,FALSE),$A667&lt;VLOOKUP(YEAR($A667),'Festive dates'!$A$2:$J$5,3,FALSE)),1,0)</f>
        <v>0</v>
      </c>
      <c r="S667" s="9">
        <f>IF($A667=VLOOKUP(YEAR($A667),'Festive dates'!$A$2:$J$5,2,FALSE),1,0)</f>
        <v>0</v>
      </c>
      <c r="T667" s="9">
        <f>IF($A667=VLOOKUP(YEAR($A667),'Festive dates'!$A$2:$J$5,3,FALSE),1,0)</f>
        <v>0</v>
      </c>
      <c r="U667" s="9">
        <f>IF($A667=VLOOKUP(YEAR($A667),'Festive dates'!$A$2:$J$5,4,FALSE),1,0)</f>
        <v>0</v>
      </c>
      <c r="V667" s="9">
        <f>IF(AND($A667&gt;=VLOOKUP(YEAR($A667),'Festive dates'!$A$2:$J$5,9,FALSE),$A667&lt;=VLOOKUP(YEAR($A667),'Festive dates'!$A$2:$J$5,10,FALSE)),1,0)</f>
        <v>0</v>
      </c>
      <c r="W667" s="9">
        <f>IF($A667=VLOOKUP(YEAR($A667),'Festive dates'!$A$2:$J$5,7,FALSE),1,0)</f>
        <v>0</v>
      </c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</row>
    <row r="668" spans="1:51">
      <c r="A668" s="8">
        <v>45683</v>
      </c>
      <c r="B668" s="9">
        <v>0</v>
      </c>
      <c r="C668" s="9">
        <v>0</v>
      </c>
      <c r="D668" s="9">
        <v>0</v>
      </c>
      <c r="E668" s="9">
        <v>0</v>
      </c>
      <c r="F668" s="9">
        <v>0</v>
      </c>
      <c r="G668" s="9">
        <v>0</v>
      </c>
      <c r="H668" s="9">
        <v>0</v>
      </c>
      <c r="I668" s="9">
        <v>0</v>
      </c>
      <c r="J668" s="9">
        <v>0</v>
      </c>
      <c r="K668" s="9">
        <v>0</v>
      </c>
      <c r="L668" s="9">
        <v>0</v>
      </c>
      <c r="M668" s="9">
        <v>0</v>
      </c>
      <c r="N668" s="9">
        <v>0</v>
      </c>
      <c r="O668" s="9">
        <v>0</v>
      </c>
      <c r="P668" s="9">
        <v>1</v>
      </c>
      <c r="Q668" s="9">
        <f>MAX(-20,MIN(10,$A668-VLOOKUP(YEAR($A668),'Festive dates'!$A$2:$J$5,8,FALSE)))</f>
        <v>-20</v>
      </c>
      <c r="R668" s="9">
        <f>IF(AND($A668&gt;VLOOKUP(YEAR($A668),'Festive dates'!$A$2:$J$5,2,FALSE),$A668&lt;VLOOKUP(YEAR($A668),'Festive dates'!$A$2:$J$5,3,FALSE)),1,0)</f>
        <v>0</v>
      </c>
      <c r="S668" s="9">
        <f>IF($A668=VLOOKUP(YEAR($A668),'Festive dates'!$A$2:$J$5,2,FALSE),1,0)</f>
        <v>0</v>
      </c>
      <c r="T668" s="9">
        <f>IF($A668=VLOOKUP(YEAR($A668),'Festive dates'!$A$2:$J$5,3,FALSE),1,0)</f>
        <v>0</v>
      </c>
      <c r="U668" s="9">
        <f>IF($A668=VLOOKUP(YEAR($A668),'Festive dates'!$A$2:$J$5,4,FALSE),1,0)</f>
        <v>0</v>
      </c>
      <c r="V668" s="9">
        <f>IF(AND($A668&gt;=VLOOKUP(YEAR($A668),'Festive dates'!$A$2:$J$5,9,FALSE),$A668&lt;=VLOOKUP(YEAR($A668),'Festive dates'!$A$2:$J$5,10,FALSE)),1,0)</f>
        <v>0</v>
      </c>
      <c r="W668" s="9">
        <f>IF($A668=VLOOKUP(YEAR($A668),'Festive dates'!$A$2:$J$5,7,FALSE),1,0)</f>
        <v>0</v>
      </c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</row>
    <row r="669" spans="1:51">
      <c r="A669" s="8">
        <v>45684</v>
      </c>
      <c r="B669" s="9">
        <v>0</v>
      </c>
      <c r="C669" s="9">
        <v>0</v>
      </c>
      <c r="D669" s="9">
        <v>0</v>
      </c>
      <c r="E669" s="9">
        <v>0</v>
      </c>
      <c r="F669" s="9">
        <v>0</v>
      </c>
      <c r="G669" s="9">
        <v>0</v>
      </c>
      <c r="H669" s="9">
        <v>0</v>
      </c>
      <c r="I669" s="9">
        <v>0</v>
      </c>
      <c r="J669" s="9">
        <v>0</v>
      </c>
      <c r="K669" s="9">
        <v>0</v>
      </c>
      <c r="L669" s="9">
        <v>0</v>
      </c>
      <c r="M669" s="9">
        <v>0</v>
      </c>
      <c r="N669" s="9">
        <v>0</v>
      </c>
      <c r="O669" s="9">
        <v>0</v>
      </c>
      <c r="P669" s="9">
        <v>1</v>
      </c>
      <c r="Q669" s="9">
        <f>MAX(-20,MIN(10,$A669-VLOOKUP(YEAR($A669),'Festive dates'!$A$2:$J$5,8,FALSE)))</f>
        <v>-20</v>
      </c>
      <c r="R669" s="9">
        <f>IF(AND($A669&gt;VLOOKUP(YEAR($A669),'Festive dates'!$A$2:$J$5,2,FALSE),$A669&lt;VLOOKUP(YEAR($A669),'Festive dates'!$A$2:$J$5,3,FALSE)),1,0)</f>
        <v>0</v>
      </c>
      <c r="S669" s="9">
        <f>IF($A669=VLOOKUP(YEAR($A669),'Festive dates'!$A$2:$J$5,2,FALSE),1,0)</f>
        <v>0</v>
      </c>
      <c r="T669" s="9">
        <f>IF($A669=VLOOKUP(YEAR($A669),'Festive dates'!$A$2:$J$5,3,FALSE),1,0)</f>
        <v>0</v>
      </c>
      <c r="U669" s="9">
        <f>IF($A669=VLOOKUP(YEAR($A669),'Festive dates'!$A$2:$J$5,4,FALSE),1,0)</f>
        <v>0</v>
      </c>
      <c r="V669" s="9">
        <f>IF(AND($A669&gt;=VLOOKUP(YEAR($A669),'Festive dates'!$A$2:$J$5,9,FALSE),$A669&lt;=VLOOKUP(YEAR($A669),'Festive dates'!$A$2:$J$5,10,FALSE)),1,0)</f>
        <v>0</v>
      </c>
      <c r="W669" s="9">
        <f>IF($A669=VLOOKUP(YEAR($A669),'Festive dates'!$A$2:$J$5,7,FALSE),1,0)</f>
        <v>0</v>
      </c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</row>
    <row r="670" spans="1:51">
      <c r="A670" s="8">
        <v>45685</v>
      </c>
      <c r="B670" s="9">
        <v>0</v>
      </c>
      <c r="C670" s="9">
        <v>0</v>
      </c>
      <c r="D670" s="9">
        <v>0</v>
      </c>
      <c r="E670" s="9">
        <v>0</v>
      </c>
      <c r="F670" s="9">
        <v>0</v>
      </c>
      <c r="G670" s="9">
        <v>0</v>
      </c>
      <c r="H670" s="9">
        <v>0</v>
      </c>
      <c r="I670" s="9">
        <v>0</v>
      </c>
      <c r="J670" s="9">
        <v>0</v>
      </c>
      <c r="K670" s="9">
        <v>0</v>
      </c>
      <c r="L670" s="9">
        <v>0</v>
      </c>
      <c r="M670" s="9">
        <v>0</v>
      </c>
      <c r="N670" s="9">
        <v>0</v>
      </c>
      <c r="O670" s="9">
        <v>0</v>
      </c>
      <c r="P670" s="9">
        <v>0</v>
      </c>
      <c r="Q670" s="9">
        <f>MAX(-20,MIN(10,$A670-VLOOKUP(YEAR($A670),'Festive dates'!$A$2:$J$5,8,FALSE)))</f>
        <v>-20</v>
      </c>
      <c r="R670" s="9">
        <f>IF(AND($A670&gt;VLOOKUP(YEAR($A670),'Festive dates'!$A$2:$J$5,2,FALSE),$A670&lt;VLOOKUP(YEAR($A670),'Festive dates'!$A$2:$J$5,3,FALSE)),1,0)</f>
        <v>0</v>
      </c>
      <c r="S670" s="9">
        <f>IF($A670=VLOOKUP(YEAR($A670),'Festive dates'!$A$2:$J$5,2,FALSE),1,0)</f>
        <v>0</v>
      </c>
      <c r="T670" s="9">
        <f>IF($A670=VLOOKUP(YEAR($A670),'Festive dates'!$A$2:$J$5,3,FALSE),1,0)</f>
        <v>0</v>
      </c>
      <c r="U670" s="9">
        <f>IF($A670=VLOOKUP(YEAR($A670),'Festive dates'!$A$2:$J$5,4,FALSE),1,0)</f>
        <v>0</v>
      </c>
      <c r="V670" s="9">
        <f>IF(AND($A670&gt;=VLOOKUP(YEAR($A670),'Festive dates'!$A$2:$J$5,9,FALSE),$A670&lt;=VLOOKUP(YEAR($A670),'Festive dates'!$A$2:$J$5,10,FALSE)),1,0)</f>
        <v>0</v>
      </c>
      <c r="W670" s="9">
        <f>IF($A670=VLOOKUP(YEAR($A670),'Festive dates'!$A$2:$J$5,7,FALSE),1,0)</f>
        <v>0</v>
      </c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</row>
    <row r="671" spans="1:51">
      <c r="A671" s="8">
        <v>45686</v>
      </c>
      <c r="B671" s="9">
        <v>0</v>
      </c>
      <c r="C671" s="9">
        <v>0</v>
      </c>
      <c r="D671" s="9">
        <v>0</v>
      </c>
      <c r="E671" s="9">
        <v>0</v>
      </c>
      <c r="F671" s="9">
        <v>0</v>
      </c>
      <c r="G671" s="9">
        <v>0</v>
      </c>
      <c r="H671" s="9">
        <v>0</v>
      </c>
      <c r="I671" s="9">
        <v>0</v>
      </c>
      <c r="J671" s="9">
        <v>0</v>
      </c>
      <c r="K671" s="9">
        <v>0</v>
      </c>
      <c r="L671" s="9">
        <v>0</v>
      </c>
      <c r="M671" s="9">
        <v>0</v>
      </c>
      <c r="N671" s="9">
        <v>0</v>
      </c>
      <c r="O671" s="9">
        <v>0</v>
      </c>
      <c r="P671" s="9">
        <v>0</v>
      </c>
      <c r="Q671" s="9">
        <f>MAX(-20,MIN(10,$A671-VLOOKUP(YEAR($A671),'Festive dates'!$A$2:$J$5,8,FALSE)))</f>
        <v>-20</v>
      </c>
      <c r="R671" s="9">
        <f>IF(AND($A671&gt;VLOOKUP(YEAR($A671),'Festive dates'!$A$2:$J$5,2,FALSE),$A671&lt;VLOOKUP(YEAR($A671),'Festive dates'!$A$2:$J$5,3,FALSE)),1,0)</f>
        <v>0</v>
      </c>
      <c r="S671" s="9">
        <f>IF($A671=VLOOKUP(YEAR($A671),'Festive dates'!$A$2:$J$5,2,FALSE),1,0)</f>
        <v>0</v>
      </c>
      <c r="T671" s="9">
        <f>IF($A671=VLOOKUP(YEAR($A671),'Festive dates'!$A$2:$J$5,3,FALSE),1,0)</f>
        <v>0</v>
      </c>
      <c r="U671" s="9">
        <f>IF($A671=VLOOKUP(YEAR($A671),'Festive dates'!$A$2:$J$5,4,FALSE),1,0)</f>
        <v>0</v>
      </c>
      <c r="V671" s="9">
        <f>IF(AND($A671&gt;=VLOOKUP(YEAR($A671),'Festive dates'!$A$2:$J$5,9,FALSE),$A671&lt;=VLOOKUP(YEAR($A671),'Festive dates'!$A$2:$J$5,10,FALSE)),1,0)</f>
        <v>0</v>
      </c>
      <c r="W671" s="9">
        <f>IF($A671=VLOOKUP(YEAR($A671),'Festive dates'!$A$2:$J$5,7,FALSE),1,0)</f>
        <v>0</v>
      </c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</row>
    <row r="672" spans="1:51">
      <c r="A672" s="8">
        <v>45687</v>
      </c>
      <c r="B672" s="9">
        <v>0</v>
      </c>
      <c r="C672" s="9">
        <v>0</v>
      </c>
      <c r="D672" s="9">
        <v>0</v>
      </c>
      <c r="E672" s="9">
        <v>0</v>
      </c>
      <c r="F672" s="9">
        <v>0</v>
      </c>
      <c r="G672" s="9">
        <v>0</v>
      </c>
      <c r="H672" s="9">
        <v>0</v>
      </c>
      <c r="I672" s="9">
        <v>0</v>
      </c>
      <c r="J672" s="9">
        <v>0</v>
      </c>
      <c r="K672" s="9">
        <v>0</v>
      </c>
      <c r="L672" s="9">
        <v>0</v>
      </c>
      <c r="M672" s="9">
        <v>0</v>
      </c>
      <c r="N672" s="9">
        <v>0</v>
      </c>
      <c r="O672" s="9">
        <v>0</v>
      </c>
      <c r="P672" s="9">
        <v>1</v>
      </c>
      <c r="Q672" s="9">
        <f>MAX(-20,MIN(10,$A672-VLOOKUP(YEAR($A672),'Festive dates'!$A$2:$J$5,8,FALSE)))</f>
        <v>-20</v>
      </c>
      <c r="R672" s="9">
        <f>IF(AND($A672&gt;VLOOKUP(YEAR($A672),'Festive dates'!$A$2:$J$5,2,FALSE),$A672&lt;VLOOKUP(YEAR($A672),'Festive dates'!$A$2:$J$5,3,FALSE)),1,0)</f>
        <v>0</v>
      </c>
      <c r="S672" s="9">
        <f>IF($A672=VLOOKUP(YEAR($A672),'Festive dates'!$A$2:$J$5,2,FALSE),1,0)</f>
        <v>0</v>
      </c>
      <c r="T672" s="9">
        <f>IF($A672=VLOOKUP(YEAR($A672),'Festive dates'!$A$2:$J$5,3,FALSE),1,0)</f>
        <v>0</v>
      </c>
      <c r="U672" s="9">
        <f>IF($A672=VLOOKUP(YEAR($A672),'Festive dates'!$A$2:$J$5,4,FALSE),1,0)</f>
        <v>0</v>
      </c>
      <c r="V672" s="9">
        <f>IF(AND($A672&gt;=VLOOKUP(YEAR($A672),'Festive dates'!$A$2:$J$5,9,FALSE),$A672&lt;=VLOOKUP(YEAR($A672),'Festive dates'!$A$2:$J$5,10,FALSE)),1,0)</f>
        <v>0</v>
      </c>
      <c r="W672" s="9">
        <f>IF($A672=VLOOKUP(YEAR($A672),'Festive dates'!$A$2:$J$5,7,FALSE),1,0)</f>
        <v>0</v>
      </c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</row>
    <row r="673" spans="1:51">
      <c r="A673" s="8">
        <v>45688</v>
      </c>
      <c r="B673" s="9">
        <v>0</v>
      </c>
      <c r="C673" s="9">
        <v>0</v>
      </c>
      <c r="D673" s="9">
        <v>0</v>
      </c>
      <c r="E673" s="9">
        <v>0</v>
      </c>
      <c r="F673" s="9">
        <v>0</v>
      </c>
      <c r="G673" s="9">
        <v>0</v>
      </c>
      <c r="H673" s="9">
        <v>0</v>
      </c>
      <c r="I673" s="9">
        <v>0</v>
      </c>
      <c r="J673" s="9">
        <v>0</v>
      </c>
      <c r="K673" s="9">
        <v>0</v>
      </c>
      <c r="L673" s="9">
        <v>0</v>
      </c>
      <c r="M673" s="9">
        <v>0</v>
      </c>
      <c r="N673" s="9">
        <v>0</v>
      </c>
      <c r="O673" s="9">
        <v>0</v>
      </c>
      <c r="P673" s="9">
        <v>1</v>
      </c>
      <c r="Q673" s="9">
        <f>MAX(-20,MIN(10,$A673-VLOOKUP(YEAR($A673),'Festive dates'!$A$2:$J$5,8,FALSE)))</f>
        <v>-20</v>
      </c>
      <c r="R673" s="9">
        <f>IF(AND($A673&gt;VLOOKUP(YEAR($A673),'Festive dates'!$A$2:$J$5,2,FALSE),$A673&lt;VLOOKUP(YEAR($A673),'Festive dates'!$A$2:$J$5,3,FALSE)),1,0)</f>
        <v>0</v>
      </c>
      <c r="S673" s="9">
        <f>IF($A673=VLOOKUP(YEAR($A673),'Festive dates'!$A$2:$J$5,2,FALSE),1,0)</f>
        <v>0</v>
      </c>
      <c r="T673" s="9">
        <f>IF($A673=VLOOKUP(YEAR($A673),'Festive dates'!$A$2:$J$5,3,FALSE),1,0)</f>
        <v>0</v>
      </c>
      <c r="U673" s="9">
        <f>IF($A673=VLOOKUP(YEAR($A673),'Festive dates'!$A$2:$J$5,4,FALSE),1,0)</f>
        <v>0</v>
      </c>
      <c r="V673" s="9">
        <f>IF(AND($A673&gt;=VLOOKUP(YEAR($A673),'Festive dates'!$A$2:$J$5,9,FALSE),$A673&lt;=VLOOKUP(YEAR($A673),'Festive dates'!$A$2:$J$5,10,FALSE)),1,0)</f>
        <v>0</v>
      </c>
      <c r="W673" s="9">
        <f>IF($A673=VLOOKUP(YEAR($A673),'Festive dates'!$A$2:$J$5,7,FALSE),1,0)</f>
        <v>0</v>
      </c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</row>
    <row r="674" spans="1:51">
      <c r="A674" s="8">
        <v>45689</v>
      </c>
      <c r="B674" s="9">
        <v>0</v>
      </c>
      <c r="C674" s="9">
        <v>0</v>
      </c>
      <c r="D674" s="9">
        <v>0</v>
      </c>
      <c r="E674" s="9">
        <v>0</v>
      </c>
      <c r="F674" s="9">
        <v>0</v>
      </c>
      <c r="G674" s="9">
        <v>0</v>
      </c>
      <c r="H674" s="9">
        <v>0</v>
      </c>
      <c r="I674" s="9">
        <v>0</v>
      </c>
      <c r="J674" s="9">
        <v>0</v>
      </c>
      <c r="K674" s="9">
        <v>0</v>
      </c>
      <c r="L674" s="9">
        <v>0</v>
      </c>
      <c r="M674" s="9">
        <v>0</v>
      </c>
      <c r="N674" s="9">
        <v>0</v>
      </c>
      <c r="O674" s="9">
        <v>0</v>
      </c>
      <c r="P674" s="9">
        <v>0</v>
      </c>
      <c r="Q674" s="9">
        <f>MAX(-20,MIN(10,$A674-VLOOKUP(YEAR($A674),'Festive dates'!$A$2:$J$5,8,FALSE)))</f>
        <v>-20</v>
      </c>
      <c r="R674" s="9">
        <f>IF(AND($A674&gt;VLOOKUP(YEAR($A674),'Festive dates'!$A$2:$J$5,2,FALSE),$A674&lt;VLOOKUP(YEAR($A674),'Festive dates'!$A$2:$J$5,3,FALSE)),1,0)</f>
        <v>0</v>
      </c>
      <c r="S674" s="9">
        <f>IF($A674=VLOOKUP(YEAR($A674),'Festive dates'!$A$2:$J$5,2,FALSE),1,0)</f>
        <v>0</v>
      </c>
      <c r="T674" s="9">
        <f>IF($A674=VLOOKUP(YEAR($A674),'Festive dates'!$A$2:$J$5,3,FALSE),1,0)</f>
        <v>0</v>
      </c>
      <c r="U674" s="9">
        <f>IF($A674=VLOOKUP(YEAR($A674),'Festive dates'!$A$2:$J$5,4,FALSE),1,0)</f>
        <v>0</v>
      </c>
      <c r="V674" s="9">
        <f>IF(AND($A674&gt;=VLOOKUP(YEAR($A674),'Festive dates'!$A$2:$J$5,9,FALSE),$A674&lt;=VLOOKUP(YEAR($A674),'Festive dates'!$A$2:$J$5,10,FALSE)),1,0)</f>
        <v>0</v>
      </c>
      <c r="W674" s="9">
        <f>IF($A674=VLOOKUP(YEAR($A674),'Festive dates'!$A$2:$J$5,7,FALSE),1,0)</f>
        <v>0</v>
      </c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</row>
    <row r="675" spans="1:51">
      <c r="A675" s="8">
        <v>45690</v>
      </c>
      <c r="B675" s="9">
        <v>0</v>
      </c>
      <c r="C675" s="9">
        <v>0</v>
      </c>
      <c r="D675" s="9">
        <v>0</v>
      </c>
      <c r="E675" s="9">
        <v>0</v>
      </c>
      <c r="F675" s="9">
        <v>0</v>
      </c>
      <c r="G675" s="9">
        <v>0</v>
      </c>
      <c r="H675" s="9">
        <v>0</v>
      </c>
      <c r="I675" s="9">
        <v>0</v>
      </c>
      <c r="J675" s="9">
        <v>0</v>
      </c>
      <c r="K675" s="9">
        <v>0</v>
      </c>
      <c r="L675" s="9">
        <v>0</v>
      </c>
      <c r="M675" s="9">
        <v>0</v>
      </c>
      <c r="N675" s="9">
        <v>0</v>
      </c>
      <c r="O675" s="9">
        <v>0</v>
      </c>
      <c r="P675" s="9">
        <v>0</v>
      </c>
      <c r="Q675" s="9">
        <f>MAX(-20,MIN(10,$A675-VLOOKUP(YEAR($A675),'Festive dates'!$A$2:$J$5,8,FALSE)))</f>
        <v>-20</v>
      </c>
      <c r="R675" s="9">
        <f>IF(AND($A675&gt;VLOOKUP(YEAR($A675),'Festive dates'!$A$2:$J$5,2,FALSE),$A675&lt;VLOOKUP(YEAR($A675),'Festive dates'!$A$2:$J$5,3,FALSE)),1,0)</f>
        <v>0</v>
      </c>
      <c r="S675" s="9">
        <f>IF($A675=VLOOKUP(YEAR($A675),'Festive dates'!$A$2:$J$5,2,FALSE),1,0)</f>
        <v>0</v>
      </c>
      <c r="T675" s="9">
        <f>IF($A675=VLOOKUP(YEAR($A675),'Festive dates'!$A$2:$J$5,3,FALSE),1,0)</f>
        <v>0</v>
      </c>
      <c r="U675" s="9">
        <f>IF($A675=VLOOKUP(YEAR($A675),'Festive dates'!$A$2:$J$5,4,FALSE),1,0)</f>
        <v>0</v>
      </c>
      <c r="V675" s="9">
        <f>IF(AND($A675&gt;=VLOOKUP(YEAR($A675),'Festive dates'!$A$2:$J$5,9,FALSE),$A675&lt;=VLOOKUP(YEAR($A675),'Festive dates'!$A$2:$J$5,10,FALSE)),1,0)</f>
        <v>0</v>
      </c>
      <c r="W675" s="9">
        <f>IF($A675=VLOOKUP(YEAR($A675),'Festive dates'!$A$2:$J$5,7,FALSE),1,0)</f>
        <v>0</v>
      </c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</row>
    <row r="676" spans="1:51">
      <c r="A676" s="8">
        <v>45691</v>
      </c>
      <c r="B676" s="9">
        <v>0</v>
      </c>
      <c r="C676" s="9">
        <v>0</v>
      </c>
      <c r="D676" s="9">
        <v>0</v>
      </c>
      <c r="E676" s="9">
        <v>0</v>
      </c>
      <c r="F676" s="9">
        <v>0</v>
      </c>
      <c r="G676" s="9">
        <v>0</v>
      </c>
      <c r="H676" s="9">
        <v>0</v>
      </c>
      <c r="I676" s="9">
        <v>0</v>
      </c>
      <c r="J676" s="9">
        <v>0</v>
      </c>
      <c r="K676" s="9">
        <v>0</v>
      </c>
      <c r="L676" s="9">
        <v>0</v>
      </c>
      <c r="M676" s="9">
        <v>0</v>
      </c>
      <c r="N676" s="9">
        <v>0</v>
      </c>
      <c r="O676" s="9">
        <v>0</v>
      </c>
      <c r="P676" s="9">
        <v>0</v>
      </c>
      <c r="Q676" s="9">
        <f>MAX(-20,MIN(10,$A676-VLOOKUP(YEAR($A676),'Festive dates'!$A$2:$J$5,8,FALSE)))</f>
        <v>-20</v>
      </c>
      <c r="R676" s="9">
        <f>IF(AND($A676&gt;VLOOKUP(YEAR($A676),'Festive dates'!$A$2:$J$5,2,FALSE),$A676&lt;VLOOKUP(YEAR($A676),'Festive dates'!$A$2:$J$5,3,FALSE)),1,0)</f>
        <v>0</v>
      </c>
      <c r="S676" s="9">
        <f>IF($A676=VLOOKUP(YEAR($A676),'Festive dates'!$A$2:$J$5,2,FALSE),1,0)</f>
        <v>0</v>
      </c>
      <c r="T676" s="9">
        <f>IF($A676=VLOOKUP(YEAR($A676),'Festive dates'!$A$2:$J$5,3,FALSE),1,0)</f>
        <v>0</v>
      </c>
      <c r="U676" s="9">
        <f>IF($A676=VLOOKUP(YEAR($A676),'Festive dates'!$A$2:$J$5,4,FALSE),1,0)</f>
        <v>0</v>
      </c>
      <c r="V676" s="9">
        <f>IF(AND($A676&gt;=VLOOKUP(YEAR($A676),'Festive dates'!$A$2:$J$5,9,FALSE),$A676&lt;=VLOOKUP(YEAR($A676),'Festive dates'!$A$2:$J$5,10,FALSE)),1,0)</f>
        <v>0</v>
      </c>
      <c r="W676" s="9">
        <f>IF($A676=VLOOKUP(YEAR($A676),'Festive dates'!$A$2:$J$5,7,FALSE),1,0)</f>
        <v>0</v>
      </c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</row>
    <row r="677" spans="1:51">
      <c r="A677" s="8">
        <v>45692</v>
      </c>
      <c r="B677" s="9">
        <v>0</v>
      </c>
      <c r="C677" s="9">
        <v>0</v>
      </c>
      <c r="D677" s="9">
        <v>0</v>
      </c>
      <c r="E677" s="9">
        <v>0</v>
      </c>
      <c r="F677" s="9">
        <v>0</v>
      </c>
      <c r="G677" s="9">
        <v>0</v>
      </c>
      <c r="H677" s="9">
        <v>0</v>
      </c>
      <c r="I677" s="9">
        <v>0</v>
      </c>
      <c r="J677" s="9">
        <v>0</v>
      </c>
      <c r="K677" s="9">
        <v>0</v>
      </c>
      <c r="L677" s="9">
        <v>0</v>
      </c>
      <c r="M677" s="9">
        <v>0</v>
      </c>
      <c r="N677" s="9">
        <v>0</v>
      </c>
      <c r="O677" s="9">
        <v>0</v>
      </c>
      <c r="P677" s="9">
        <v>0</v>
      </c>
      <c r="Q677" s="9">
        <f>MAX(-20,MIN(10,$A677-VLOOKUP(YEAR($A677),'Festive dates'!$A$2:$J$5,8,FALSE)))</f>
        <v>-20</v>
      </c>
      <c r="R677" s="9">
        <f>IF(AND($A677&gt;VLOOKUP(YEAR($A677),'Festive dates'!$A$2:$J$5,2,FALSE),$A677&lt;VLOOKUP(YEAR($A677),'Festive dates'!$A$2:$J$5,3,FALSE)),1,0)</f>
        <v>0</v>
      </c>
      <c r="S677" s="9">
        <f>IF($A677=VLOOKUP(YEAR($A677),'Festive dates'!$A$2:$J$5,2,FALSE),1,0)</f>
        <v>0</v>
      </c>
      <c r="T677" s="9">
        <f>IF($A677=VLOOKUP(YEAR($A677),'Festive dates'!$A$2:$J$5,3,FALSE),1,0)</f>
        <v>0</v>
      </c>
      <c r="U677" s="9">
        <f>IF($A677=VLOOKUP(YEAR($A677),'Festive dates'!$A$2:$J$5,4,FALSE),1,0)</f>
        <v>0</v>
      </c>
      <c r="V677" s="9">
        <f>IF(AND($A677&gt;=VLOOKUP(YEAR($A677),'Festive dates'!$A$2:$J$5,9,FALSE),$A677&lt;=VLOOKUP(YEAR($A677),'Festive dates'!$A$2:$J$5,10,FALSE)),1,0)</f>
        <v>0</v>
      </c>
      <c r="W677" s="9">
        <f>IF($A677=VLOOKUP(YEAR($A677),'Festive dates'!$A$2:$J$5,7,FALSE),1,0)</f>
        <v>0</v>
      </c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</row>
    <row r="678" spans="1:51">
      <c r="A678" s="8">
        <v>45693</v>
      </c>
      <c r="B678" s="9">
        <v>0</v>
      </c>
      <c r="C678" s="9">
        <v>0</v>
      </c>
      <c r="D678" s="9">
        <v>0</v>
      </c>
      <c r="E678" s="9">
        <v>0</v>
      </c>
      <c r="F678" s="9">
        <v>0</v>
      </c>
      <c r="G678" s="9">
        <v>0</v>
      </c>
      <c r="H678" s="9">
        <v>0</v>
      </c>
      <c r="I678" s="9">
        <v>0</v>
      </c>
      <c r="J678" s="9">
        <v>0</v>
      </c>
      <c r="K678" s="9">
        <v>0</v>
      </c>
      <c r="L678" s="9">
        <v>0</v>
      </c>
      <c r="M678" s="9">
        <v>0</v>
      </c>
      <c r="N678" s="9">
        <v>0</v>
      </c>
      <c r="O678" s="9">
        <v>0</v>
      </c>
      <c r="P678" s="9">
        <v>1</v>
      </c>
      <c r="Q678" s="9">
        <f>MAX(-20,MIN(10,$A678-VLOOKUP(YEAR($A678),'Festive dates'!$A$2:$J$5,8,FALSE)))</f>
        <v>-20</v>
      </c>
      <c r="R678" s="9">
        <f>IF(AND($A678&gt;VLOOKUP(YEAR($A678),'Festive dates'!$A$2:$J$5,2,FALSE),$A678&lt;VLOOKUP(YEAR($A678),'Festive dates'!$A$2:$J$5,3,FALSE)),1,0)</f>
        <v>0</v>
      </c>
      <c r="S678" s="9">
        <f>IF($A678=VLOOKUP(YEAR($A678),'Festive dates'!$A$2:$J$5,2,FALSE),1,0)</f>
        <v>0</v>
      </c>
      <c r="T678" s="9">
        <f>IF($A678=VLOOKUP(YEAR($A678),'Festive dates'!$A$2:$J$5,3,FALSE),1,0)</f>
        <v>0</v>
      </c>
      <c r="U678" s="9">
        <f>IF($A678=VLOOKUP(YEAR($A678),'Festive dates'!$A$2:$J$5,4,FALSE),1,0)</f>
        <v>0</v>
      </c>
      <c r="V678" s="9">
        <f>IF(AND($A678&gt;=VLOOKUP(YEAR($A678),'Festive dates'!$A$2:$J$5,9,FALSE),$A678&lt;=VLOOKUP(YEAR($A678),'Festive dates'!$A$2:$J$5,10,FALSE)),1,0)</f>
        <v>0</v>
      </c>
      <c r="W678" s="9">
        <f>IF($A678=VLOOKUP(YEAR($A678),'Festive dates'!$A$2:$J$5,7,FALSE),1,0)</f>
        <v>0</v>
      </c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</row>
    <row r="679" spans="1:51">
      <c r="A679" s="8">
        <v>45694</v>
      </c>
      <c r="B679" s="9">
        <v>0</v>
      </c>
      <c r="C679" s="9">
        <v>0</v>
      </c>
      <c r="D679" s="9">
        <v>0</v>
      </c>
      <c r="E679" s="9">
        <v>0</v>
      </c>
      <c r="F679" s="9">
        <v>0</v>
      </c>
      <c r="G679" s="9">
        <v>0</v>
      </c>
      <c r="H679" s="9">
        <v>0</v>
      </c>
      <c r="I679" s="9">
        <v>0</v>
      </c>
      <c r="J679" s="9">
        <v>0</v>
      </c>
      <c r="K679" s="9">
        <v>0</v>
      </c>
      <c r="L679" s="9">
        <v>0</v>
      </c>
      <c r="M679" s="9">
        <v>0</v>
      </c>
      <c r="N679" s="9">
        <v>0</v>
      </c>
      <c r="O679" s="9">
        <v>0</v>
      </c>
      <c r="P679" s="9">
        <v>1</v>
      </c>
      <c r="Q679" s="9">
        <f>MAX(-20,MIN(10,$A679-VLOOKUP(YEAR($A679),'Festive dates'!$A$2:$J$5,8,FALSE)))</f>
        <v>-20</v>
      </c>
      <c r="R679" s="9">
        <f>IF(AND($A679&gt;VLOOKUP(YEAR($A679),'Festive dates'!$A$2:$J$5,2,FALSE),$A679&lt;VLOOKUP(YEAR($A679),'Festive dates'!$A$2:$J$5,3,FALSE)),1,0)</f>
        <v>0</v>
      </c>
      <c r="S679" s="9">
        <f>IF($A679=VLOOKUP(YEAR($A679),'Festive dates'!$A$2:$J$5,2,FALSE),1,0)</f>
        <v>0</v>
      </c>
      <c r="T679" s="9">
        <f>IF($A679=VLOOKUP(YEAR($A679),'Festive dates'!$A$2:$J$5,3,FALSE),1,0)</f>
        <v>0</v>
      </c>
      <c r="U679" s="9">
        <f>IF($A679=VLOOKUP(YEAR($A679),'Festive dates'!$A$2:$J$5,4,FALSE),1,0)</f>
        <v>0</v>
      </c>
      <c r="V679" s="9">
        <f>IF(AND($A679&gt;=VLOOKUP(YEAR($A679),'Festive dates'!$A$2:$J$5,9,FALSE),$A679&lt;=VLOOKUP(YEAR($A679),'Festive dates'!$A$2:$J$5,10,FALSE)),1,0)</f>
        <v>0</v>
      </c>
      <c r="W679" s="9">
        <f>IF($A679=VLOOKUP(YEAR($A679),'Festive dates'!$A$2:$J$5,7,FALSE),1,0)</f>
        <v>0</v>
      </c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</row>
    <row r="680" spans="1:51">
      <c r="A680" s="8">
        <v>45695</v>
      </c>
      <c r="B680" s="9">
        <v>0</v>
      </c>
      <c r="C680" s="9">
        <v>0</v>
      </c>
      <c r="D680" s="9">
        <v>0</v>
      </c>
      <c r="E680" s="9">
        <v>0</v>
      </c>
      <c r="F680" s="9">
        <v>0</v>
      </c>
      <c r="G680" s="9">
        <v>0</v>
      </c>
      <c r="H680" s="9">
        <v>0</v>
      </c>
      <c r="I680" s="9">
        <v>0</v>
      </c>
      <c r="J680" s="9">
        <v>0</v>
      </c>
      <c r="K680" s="9">
        <v>0</v>
      </c>
      <c r="L680" s="9">
        <v>0</v>
      </c>
      <c r="M680" s="9">
        <v>0</v>
      </c>
      <c r="N680" s="9">
        <v>0</v>
      </c>
      <c r="O680" s="9">
        <v>0</v>
      </c>
      <c r="P680" s="9">
        <v>1</v>
      </c>
      <c r="Q680" s="9">
        <f>MAX(-20,MIN(10,$A680-VLOOKUP(YEAR($A680),'Festive dates'!$A$2:$J$5,8,FALSE)))</f>
        <v>-20</v>
      </c>
      <c r="R680" s="9">
        <f>IF(AND($A680&gt;VLOOKUP(YEAR($A680),'Festive dates'!$A$2:$J$5,2,FALSE),$A680&lt;VLOOKUP(YEAR($A680),'Festive dates'!$A$2:$J$5,3,FALSE)),1,0)</f>
        <v>0</v>
      </c>
      <c r="S680" s="9">
        <f>IF($A680=VLOOKUP(YEAR($A680),'Festive dates'!$A$2:$J$5,2,FALSE),1,0)</f>
        <v>0</v>
      </c>
      <c r="T680" s="9">
        <f>IF($A680=VLOOKUP(YEAR($A680),'Festive dates'!$A$2:$J$5,3,FALSE),1,0)</f>
        <v>0</v>
      </c>
      <c r="U680" s="9">
        <f>IF($A680=VLOOKUP(YEAR($A680),'Festive dates'!$A$2:$J$5,4,FALSE),1,0)</f>
        <v>0</v>
      </c>
      <c r="V680" s="9">
        <f>IF(AND($A680&gt;=VLOOKUP(YEAR($A680),'Festive dates'!$A$2:$J$5,9,FALSE),$A680&lt;=VLOOKUP(YEAR($A680),'Festive dates'!$A$2:$J$5,10,FALSE)),1,0)</f>
        <v>0</v>
      </c>
      <c r="W680" s="9">
        <f>IF($A680=VLOOKUP(YEAR($A680),'Festive dates'!$A$2:$J$5,7,FALSE),1,0)</f>
        <v>0</v>
      </c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</row>
    <row r="681" spans="1:51">
      <c r="A681" s="8">
        <v>45696</v>
      </c>
      <c r="B681" s="9">
        <v>0</v>
      </c>
      <c r="C681" s="9">
        <v>0</v>
      </c>
      <c r="D681" s="9">
        <v>0</v>
      </c>
      <c r="E681" s="9">
        <v>0</v>
      </c>
      <c r="F681" s="9">
        <v>0</v>
      </c>
      <c r="G681" s="9">
        <v>0</v>
      </c>
      <c r="H681" s="9">
        <v>0</v>
      </c>
      <c r="I681" s="9">
        <v>0</v>
      </c>
      <c r="J681" s="9">
        <v>0</v>
      </c>
      <c r="K681" s="9">
        <v>0</v>
      </c>
      <c r="L681" s="9">
        <v>0</v>
      </c>
      <c r="M681" s="9">
        <v>0</v>
      </c>
      <c r="N681" s="9">
        <v>0</v>
      </c>
      <c r="O681" s="9">
        <v>0</v>
      </c>
      <c r="P681" s="9">
        <v>1</v>
      </c>
      <c r="Q681" s="9">
        <f>MAX(-20,MIN(10,$A681-VLOOKUP(YEAR($A681),'Festive dates'!$A$2:$J$5,8,FALSE)))</f>
        <v>-20</v>
      </c>
      <c r="R681" s="9">
        <f>IF(AND($A681&gt;VLOOKUP(YEAR($A681),'Festive dates'!$A$2:$J$5,2,FALSE),$A681&lt;VLOOKUP(YEAR($A681),'Festive dates'!$A$2:$J$5,3,FALSE)),1,0)</f>
        <v>0</v>
      </c>
      <c r="S681" s="9">
        <f>IF($A681=VLOOKUP(YEAR($A681),'Festive dates'!$A$2:$J$5,2,FALSE),1,0)</f>
        <v>0</v>
      </c>
      <c r="T681" s="9">
        <f>IF($A681=VLOOKUP(YEAR($A681),'Festive dates'!$A$2:$J$5,3,FALSE),1,0)</f>
        <v>0</v>
      </c>
      <c r="U681" s="9">
        <f>IF($A681=VLOOKUP(YEAR($A681),'Festive dates'!$A$2:$J$5,4,FALSE),1,0)</f>
        <v>0</v>
      </c>
      <c r="V681" s="9">
        <f>IF(AND($A681&gt;=VLOOKUP(YEAR($A681),'Festive dates'!$A$2:$J$5,9,FALSE),$A681&lt;=VLOOKUP(YEAR($A681),'Festive dates'!$A$2:$J$5,10,FALSE)),1,0)</f>
        <v>0</v>
      </c>
      <c r="W681" s="9">
        <f>IF($A681=VLOOKUP(YEAR($A681),'Festive dates'!$A$2:$J$5,7,FALSE),1,0)</f>
        <v>0</v>
      </c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</row>
    <row r="682" spans="1:51">
      <c r="A682" s="8">
        <v>45697</v>
      </c>
      <c r="B682" s="9">
        <v>0</v>
      </c>
      <c r="C682" s="9">
        <v>0</v>
      </c>
      <c r="D682" s="9">
        <v>0</v>
      </c>
      <c r="E682" s="9">
        <v>0</v>
      </c>
      <c r="F682" s="9">
        <v>0</v>
      </c>
      <c r="G682" s="9">
        <v>0</v>
      </c>
      <c r="H682" s="9">
        <v>0</v>
      </c>
      <c r="I682" s="9">
        <v>0</v>
      </c>
      <c r="J682" s="9">
        <v>0</v>
      </c>
      <c r="K682" s="9">
        <v>0</v>
      </c>
      <c r="L682" s="9">
        <v>0</v>
      </c>
      <c r="M682" s="9">
        <v>0</v>
      </c>
      <c r="N682" s="9">
        <v>0</v>
      </c>
      <c r="O682" s="9">
        <v>0</v>
      </c>
      <c r="P682" s="9">
        <v>1</v>
      </c>
      <c r="Q682" s="9">
        <f>MAX(-20,MIN(10,$A682-VLOOKUP(YEAR($A682),'Festive dates'!$A$2:$J$5,8,FALSE)))</f>
        <v>-20</v>
      </c>
      <c r="R682" s="9">
        <f>IF(AND($A682&gt;VLOOKUP(YEAR($A682),'Festive dates'!$A$2:$J$5,2,FALSE),$A682&lt;VLOOKUP(YEAR($A682),'Festive dates'!$A$2:$J$5,3,FALSE)),1,0)</f>
        <v>0</v>
      </c>
      <c r="S682" s="9">
        <f>IF($A682=VLOOKUP(YEAR($A682),'Festive dates'!$A$2:$J$5,2,FALSE),1,0)</f>
        <v>0</v>
      </c>
      <c r="T682" s="9">
        <f>IF($A682=VLOOKUP(YEAR($A682),'Festive dates'!$A$2:$J$5,3,FALSE),1,0)</f>
        <v>0</v>
      </c>
      <c r="U682" s="9">
        <f>IF($A682=VLOOKUP(YEAR($A682),'Festive dates'!$A$2:$J$5,4,FALSE),1,0)</f>
        <v>0</v>
      </c>
      <c r="V682" s="9">
        <f>IF(AND($A682&gt;=VLOOKUP(YEAR($A682),'Festive dates'!$A$2:$J$5,9,FALSE),$A682&lt;=VLOOKUP(YEAR($A682),'Festive dates'!$A$2:$J$5,10,FALSE)),1,0)</f>
        <v>0</v>
      </c>
      <c r="W682" s="9">
        <f>IF($A682=VLOOKUP(YEAR($A682),'Festive dates'!$A$2:$J$5,7,FALSE),1,0)</f>
        <v>0</v>
      </c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</row>
    <row r="683" spans="1:51">
      <c r="A683" s="8">
        <v>45698</v>
      </c>
      <c r="B683" s="9">
        <v>0</v>
      </c>
      <c r="C683" s="9">
        <v>0</v>
      </c>
      <c r="D683" s="9">
        <v>0</v>
      </c>
      <c r="E683" s="9">
        <v>0</v>
      </c>
      <c r="F683" s="9">
        <v>0</v>
      </c>
      <c r="G683" s="9">
        <v>0</v>
      </c>
      <c r="H683" s="9">
        <v>0</v>
      </c>
      <c r="I683" s="9">
        <v>0</v>
      </c>
      <c r="J683" s="9">
        <v>0</v>
      </c>
      <c r="K683" s="9">
        <v>0</v>
      </c>
      <c r="L683" s="9">
        <v>0</v>
      </c>
      <c r="M683" s="9">
        <v>0</v>
      </c>
      <c r="N683" s="9">
        <v>0</v>
      </c>
      <c r="O683" s="9">
        <v>0</v>
      </c>
      <c r="P683" s="9">
        <v>0</v>
      </c>
      <c r="Q683" s="9">
        <f>MAX(-20,MIN(10,$A683-VLOOKUP(YEAR($A683),'Festive dates'!$A$2:$J$5,8,FALSE)))</f>
        <v>-20</v>
      </c>
      <c r="R683" s="9">
        <f>IF(AND($A683&gt;VLOOKUP(YEAR($A683),'Festive dates'!$A$2:$J$5,2,FALSE),$A683&lt;VLOOKUP(YEAR($A683),'Festive dates'!$A$2:$J$5,3,FALSE)),1,0)</f>
        <v>0</v>
      </c>
      <c r="S683" s="9">
        <f>IF($A683=VLOOKUP(YEAR($A683),'Festive dates'!$A$2:$J$5,2,FALSE),1,0)</f>
        <v>0</v>
      </c>
      <c r="T683" s="9">
        <f>IF($A683=VLOOKUP(YEAR($A683),'Festive dates'!$A$2:$J$5,3,FALSE),1,0)</f>
        <v>0</v>
      </c>
      <c r="U683" s="9">
        <f>IF($A683=VLOOKUP(YEAR($A683),'Festive dates'!$A$2:$J$5,4,FALSE),1,0)</f>
        <v>0</v>
      </c>
      <c r="V683" s="9">
        <f>IF(AND($A683&gt;=VLOOKUP(YEAR($A683),'Festive dates'!$A$2:$J$5,9,FALSE),$A683&lt;=VLOOKUP(YEAR($A683),'Festive dates'!$A$2:$J$5,10,FALSE)),1,0)</f>
        <v>0</v>
      </c>
      <c r="W683" s="9">
        <f>IF($A683=VLOOKUP(YEAR($A683),'Festive dates'!$A$2:$J$5,7,FALSE),1,0)</f>
        <v>0</v>
      </c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</row>
    <row r="684" spans="1:51">
      <c r="A684" s="8">
        <v>45699</v>
      </c>
      <c r="B684" s="9">
        <v>0</v>
      </c>
      <c r="C684" s="9">
        <v>0</v>
      </c>
      <c r="D684" s="9">
        <v>0</v>
      </c>
      <c r="E684" s="9">
        <v>0</v>
      </c>
      <c r="F684" s="9">
        <v>0</v>
      </c>
      <c r="G684" s="9">
        <v>0</v>
      </c>
      <c r="H684" s="9">
        <v>0</v>
      </c>
      <c r="I684" s="9">
        <v>0</v>
      </c>
      <c r="J684" s="9">
        <v>0</v>
      </c>
      <c r="K684" s="9">
        <v>0</v>
      </c>
      <c r="L684" s="9">
        <v>0</v>
      </c>
      <c r="M684" s="9">
        <v>0</v>
      </c>
      <c r="N684" s="9">
        <v>0</v>
      </c>
      <c r="O684" s="9">
        <v>0</v>
      </c>
      <c r="P684" s="9">
        <v>1</v>
      </c>
      <c r="Q684" s="9">
        <f>MAX(-20,MIN(10,$A684-VLOOKUP(YEAR($A684),'Festive dates'!$A$2:$J$5,8,FALSE)))</f>
        <v>-20</v>
      </c>
      <c r="R684" s="9">
        <f>IF(AND($A684&gt;VLOOKUP(YEAR($A684),'Festive dates'!$A$2:$J$5,2,FALSE),$A684&lt;VLOOKUP(YEAR($A684),'Festive dates'!$A$2:$J$5,3,FALSE)),1,0)</f>
        <v>0</v>
      </c>
      <c r="S684" s="9">
        <f>IF($A684=VLOOKUP(YEAR($A684),'Festive dates'!$A$2:$J$5,2,FALSE),1,0)</f>
        <v>0</v>
      </c>
      <c r="T684" s="9">
        <f>IF($A684=VLOOKUP(YEAR($A684),'Festive dates'!$A$2:$J$5,3,FALSE),1,0)</f>
        <v>0</v>
      </c>
      <c r="U684" s="9">
        <f>IF($A684=VLOOKUP(YEAR($A684),'Festive dates'!$A$2:$J$5,4,FALSE),1,0)</f>
        <v>0</v>
      </c>
      <c r="V684" s="9">
        <f>IF(AND($A684&gt;=VLOOKUP(YEAR($A684),'Festive dates'!$A$2:$J$5,9,FALSE),$A684&lt;=VLOOKUP(YEAR($A684),'Festive dates'!$A$2:$J$5,10,FALSE)),1,0)</f>
        <v>0</v>
      </c>
      <c r="W684" s="9">
        <f>IF($A684=VLOOKUP(YEAR($A684),'Festive dates'!$A$2:$J$5,7,FALSE),1,0)</f>
        <v>0</v>
      </c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</row>
    <row r="685" spans="1:51">
      <c r="A685" s="8">
        <v>45700</v>
      </c>
      <c r="B685" s="9">
        <v>0</v>
      </c>
      <c r="C685" s="9">
        <v>0</v>
      </c>
      <c r="D685" s="9">
        <v>0</v>
      </c>
      <c r="E685" s="9">
        <v>0</v>
      </c>
      <c r="F685" s="9">
        <v>0</v>
      </c>
      <c r="G685" s="9">
        <v>0</v>
      </c>
      <c r="H685" s="9">
        <v>0</v>
      </c>
      <c r="I685" s="9">
        <v>0</v>
      </c>
      <c r="J685" s="9">
        <v>0</v>
      </c>
      <c r="K685" s="9">
        <v>0</v>
      </c>
      <c r="L685" s="9">
        <v>0</v>
      </c>
      <c r="M685" s="9">
        <v>0</v>
      </c>
      <c r="N685" s="9">
        <v>0</v>
      </c>
      <c r="O685" s="9">
        <v>0</v>
      </c>
      <c r="P685" s="9">
        <v>1</v>
      </c>
      <c r="Q685" s="9">
        <f>MAX(-20,MIN(10,$A685-VLOOKUP(YEAR($A685),'Festive dates'!$A$2:$J$5,8,FALSE)))</f>
        <v>-20</v>
      </c>
      <c r="R685" s="9">
        <f>IF(AND($A685&gt;VLOOKUP(YEAR($A685),'Festive dates'!$A$2:$J$5,2,FALSE),$A685&lt;VLOOKUP(YEAR($A685),'Festive dates'!$A$2:$J$5,3,FALSE)),1,0)</f>
        <v>0</v>
      </c>
      <c r="S685" s="9">
        <f>IF($A685=VLOOKUP(YEAR($A685),'Festive dates'!$A$2:$J$5,2,FALSE),1,0)</f>
        <v>0</v>
      </c>
      <c r="T685" s="9">
        <f>IF($A685=VLOOKUP(YEAR($A685),'Festive dates'!$A$2:$J$5,3,FALSE),1,0)</f>
        <v>0</v>
      </c>
      <c r="U685" s="9">
        <f>IF($A685=VLOOKUP(YEAR($A685),'Festive dates'!$A$2:$J$5,4,FALSE),1,0)</f>
        <v>0</v>
      </c>
      <c r="V685" s="9">
        <f>IF(AND($A685&gt;=VLOOKUP(YEAR($A685),'Festive dates'!$A$2:$J$5,9,FALSE),$A685&lt;=VLOOKUP(YEAR($A685),'Festive dates'!$A$2:$J$5,10,FALSE)),1,0)</f>
        <v>0</v>
      </c>
      <c r="W685" s="9">
        <f>IF($A685=VLOOKUP(YEAR($A685),'Festive dates'!$A$2:$J$5,7,FALSE),1,0)</f>
        <v>0</v>
      </c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</row>
    <row r="686" spans="1:51">
      <c r="A686" s="8">
        <v>45701</v>
      </c>
      <c r="B686" s="9">
        <v>0</v>
      </c>
      <c r="C686" s="9">
        <v>0</v>
      </c>
      <c r="D686" s="9">
        <v>0</v>
      </c>
      <c r="E686" s="9">
        <v>0</v>
      </c>
      <c r="F686" s="9">
        <v>0</v>
      </c>
      <c r="G686" s="9">
        <v>0</v>
      </c>
      <c r="H686" s="9">
        <v>0</v>
      </c>
      <c r="I686" s="9">
        <v>0</v>
      </c>
      <c r="J686" s="9">
        <v>0</v>
      </c>
      <c r="K686" s="9">
        <v>0</v>
      </c>
      <c r="L686" s="9">
        <v>0</v>
      </c>
      <c r="M686" s="9">
        <v>0</v>
      </c>
      <c r="N686" s="9">
        <v>0</v>
      </c>
      <c r="O686" s="9">
        <v>0</v>
      </c>
      <c r="P686" s="9">
        <v>0</v>
      </c>
      <c r="Q686" s="9">
        <f>MAX(-20,MIN(10,$A686-VLOOKUP(YEAR($A686),'Festive dates'!$A$2:$J$5,8,FALSE)))</f>
        <v>-20</v>
      </c>
      <c r="R686" s="9">
        <f>IF(AND($A686&gt;VLOOKUP(YEAR($A686),'Festive dates'!$A$2:$J$5,2,FALSE),$A686&lt;VLOOKUP(YEAR($A686),'Festive dates'!$A$2:$J$5,3,FALSE)),1,0)</f>
        <v>0</v>
      </c>
      <c r="S686" s="9">
        <f>IF($A686=VLOOKUP(YEAR($A686),'Festive dates'!$A$2:$J$5,2,FALSE),1,0)</f>
        <v>0</v>
      </c>
      <c r="T686" s="9">
        <f>IF($A686=VLOOKUP(YEAR($A686),'Festive dates'!$A$2:$J$5,3,FALSE),1,0)</f>
        <v>0</v>
      </c>
      <c r="U686" s="9">
        <f>IF($A686=VLOOKUP(YEAR($A686),'Festive dates'!$A$2:$J$5,4,FALSE),1,0)</f>
        <v>0</v>
      </c>
      <c r="V686" s="9">
        <f>IF(AND($A686&gt;=VLOOKUP(YEAR($A686),'Festive dates'!$A$2:$J$5,9,FALSE),$A686&lt;=VLOOKUP(YEAR($A686),'Festive dates'!$A$2:$J$5,10,FALSE)),1,0)</f>
        <v>0</v>
      </c>
      <c r="W686" s="9">
        <f>IF($A686=VLOOKUP(YEAR($A686),'Festive dates'!$A$2:$J$5,7,FALSE),1,0)</f>
        <v>0</v>
      </c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</row>
    <row r="687" spans="1:51">
      <c r="A687" s="8">
        <v>45702</v>
      </c>
      <c r="B687" s="9">
        <v>0</v>
      </c>
      <c r="C687" s="9">
        <v>0</v>
      </c>
      <c r="D687" s="9">
        <v>0</v>
      </c>
      <c r="E687" s="9">
        <v>0</v>
      </c>
      <c r="F687" s="9">
        <v>0</v>
      </c>
      <c r="G687" s="9">
        <v>0</v>
      </c>
      <c r="H687" s="9">
        <v>0</v>
      </c>
      <c r="I687" s="9">
        <v>0</v>
      </c>
      <c r="J687" s="9">
        <v>0</v>
      </c>
      <c r="K687" s="9">
        <v>0</v>
      </c>
      <c r="L687" s="9">
        <v>0</v>
      </c>
      <c r="M687" s="9">
        <v>0</v>
      </c>
      <c r="N687" s="9">
        <v>0</v>
      </c>
      <c r="O687" s="9">
        <v>0</v>
      </c>
      <c r="P687" s="9">
        <v>1</v>
      </c>
      <c r="Q687" s="9">
        <f>MAX(-20,MIN(10,$A687-VLOOKUP(YEAR($A687),'Festive dates'!$A$2:$J$5,8,FALSE)))</f>
        <v>-20</v>
      </c>
      <c r="R687" s="9">
        <f>IF(AND($A687&gt;VLOOKUP(YEAR($A687),'Festive dates'!$A$2:$J$5,2,FALSE),$A687&lt;VLOOKUP(YEAR($A687),'Festive dates'!$A$2:$J$5,3,FALSE)),1,0)</f>
        <v>0</v>
      </c>
      <c r="S687" s="9">
        <f>IF($A687=VLOOKUP(YEAR($A687),'Festive dates'!$A$2:$J$5,2,FALSE),1,0)</f>
        <v>0</v>
      </c>
      <c r="T687" s="9">
        <f>IF($A687=VLOOKUP(YEAR($A687),'Festive dates'!$A$2:$J$5,3,FALSE),1,0)</f>
        <v>0</v>
      </c>
      <c r="U687" s="9">
        <f>IF($A687=VLOOKUP(YEAR($A687),'Festive dates'!$A$2:$J$5,4,FALSE),1,0)</f>
        <v>0</v>
      </c>
      <c r="V687" s="9">
        <f>IF(AND($A687&gt;=VLOOKUP(YEAR($A687),'Festive dates'!$A$2:$J$5,9,FALSE),$A687&lt;=VLOOKUP(YEAR($A687),'Festive dates'!$A$2:$J$5,10,FALSE)),1,0)</f>
        <v>0</v>
      </c>
      <c r="W687" s="9">
        <f>IF($A687=VLOOKUP(YEAR($A687),'Festive dates'!$A$2:$J$5,7,FALSE),1,0)</f>
        <v>0</v>
      </c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</row>
    <row r="688" spans="1:51">
      <c r="A688" s="8">
        <v>45703</v>
      </c>
      <c r="B688" s="9">
        <v>0</v>
      </c>
      <c r="C688" s="9">
        <v>0</v>
      </c>
      <c r="D688" s="9">
        <v>0</v>
      </c>
      <c r="E688" s="9">
        <v>0</v>
      </c>
      <c r="F688" s="9">
        <v>0</v>
      </c>
      <c r="G688" s="9">
        <v>0</v>
      </c>
      <c r="H688" s="9">
        <v>0</v>
      </c>
      <c r="I688" s="9">
        <v>0</v>
      </c>
      <c r="J688" s="9">
        <v>0</v>
      </c>
      <c r="K688" s="9">
        <v>0</v>
      </c>
      <c r="L688" s="9">
        <v>0</v>
      </c>
      <c r="M688" s="9">
        <v>0</v>
      </c>
      <c r="N688" s="9">
        <v>0</v>
      </c>
      <c r="O688" s="9">
        <v>0</v>
      </c>
      <c r="P688" s="9">
        <v>0</v>
      </c>
      <c r="Q688" s="9">
        <f>MAX(-20,MIN(10,$A688-VLOOKUP(YEAR($A688),'Festive dates'!$A$2:$J$5,8,FALSE)))</f>
        <v>-20</v>
      </c>
      <c r="R688" s="9">
        <f>IF(AND($A688&gt;VLOOKUP(YEAR($A688),'Festive dates'!$A$2:$J$5,2,FALSE),$A688&lt;VLOOKUP(YEAR($A688),'Festive dates'!$A$2:$J$5,3,FALSE)),1,0)</f>
        <v>0</v>
      </c>
      <c r="S688" s="9">
        <f>IF($A688=VLOOKUP(YEAR($A688),'Festive dates'!$A$2:$J$5,2,FALSE),1,0)</f>
        <v>0</v>
      </c>
      <c r="T688" s="9">
        <f>IF($A688=VLOOKUP(YEAR($A688),'Festive dates'!$A$2:$J$5,3,FALSE),1,0)</f>
        <v>0</v>
      </c>
      <c r="U688" s="9">
        <f>IF($A688=VLOOKUP(YEAR($A688),'Festive dates'!$A$2:$J$5,4,FALSE),1,0)</f>
        <v>0</v>
      </c>
      <c r="V688" s="9">
        <f>IF(AND($A688&gt;=VLOOKUP(YEAR($A688),'Festive dates'!$A$2:$J$5,9,FALSE),$A688&lt;=VLOOKUP(YEAR($A688),'Festive dates'!$A$2:$J$5,10,FALSE)),1,0)</f>
        <v>0</v>
      </c>
      <c r="W688" s="9">
        <f>IF($A688=VLOOKUP(YEAR($A688),'Festive dates'!$A$2:$J$5,7,FALSE),1,0)</f>
        <v>0</v>
      </c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</row>
    <row r="689" spans="1:51">
      <c r="A689" s="8">
        <v>45704</v>
      </c>
      <c r="B689" s="9">
        <v>0</v>
      </c>
      <c r="C689" s="9">
        <v>0</v>
      </c>
      <c r="D689" s="9">
        <v>0</v>
      </c>
      <c r="E689" s="9">
        <v>0</v>
      </c>
      <c r="F689" s="9">
        <v>0</v>
      </c>
      <c r="G689" s="9">
        <v>0</v>
      </c>
      <c r="H689" s="9">
        <v>0</v>
      </c>
      <c r="I689" s="9">
        <v>0</v>
      </c>
      <c r="J689" s="9">
        <v>0</v>
      </c>
      <c r="K689" s="9">
        <v>0</v>
      </c>
      <c r="L689" s="9">
        <v>0</v>
      </c>
      <c r="M689" s="9">
        <v>0</v>
      </c>
      <c r="N689" s="9">
        <v>0</v>
      </c>
      <c r="O689" s="9">
        <v>0</v>
      </c>
      <c r="P689" s="9">
        <v>1</v>
      </c>
      <c r="Q689" s="9">
        <f>MAX(-20,MIN(10,$A689-VLOOKUP(YEAR($A689),'Festive dates'!$A$2:$J$5,8,FALSE)))</f>
        <v>-20</v>
      </c>
      <c r="R689" s="9">
        <f>IF(AND($A689&gt;VLOOKUP(YEAR($A689),'Festive dates'!$A$2:$J$5,2,FALSE),$A689&lt;VLOOKUP(YEAR($A689),'Festive dates'!$A$2:$J$5,3,FALSE)),1,0)</f>
        <v>0</v>
      </c>
      <c r="S689" s="9">
        <f>IF($A689=VLOOKUP(YEAR($A689),'Festive dates'!$A$2:$J$5,2,FALSE),1,0)</f>
        <v>0</v>
      </c>
      <c r="T689" s="9">
        <f>IF($A689=VLOOKUP(YEAR($A689),'Festive dates'!$A$2:$J$5,3,FALSE),1,0)</f>
        <v>0</v>
      </c>
      <c r="U689" s="9">
        <f>IF($A689=VLOOKUP(YEAR($A689),'Festive dates'!$A$2:$J$5,4,FALSE),1,0)</f>
        <v>0</v>
      </c>
      <c r="V689" s="9">
        <f>IF(AND($A689&gt;=VLOOKUP(YEAR($A689),'Festive dates'!$A$2:$J$5,9,FALSE),$A689&lt;=VLOOKUP(YEAR($A689),'Festive dates'!$A$2:$J$5,10,FALSE)),1,0)</f>
        <v>0</v>
      </c>
      <c r="W689" s="9">
        <f>IF($A689=VLOOKUP(YEAR($A689),'Festive dates'!$A$2:$J$5,7,FALSE),1,0)</f>
        <v>0</v>
      </c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</row>
    <row r="690" spans="1:51">
      <c r="A690" s="8">
        <v>45705</v>
      </c>
      <c r="B690" s="9">
        <v>0</v>
      </c>
      <c r="C690" s="9">
        <v>0</v>
      </c>
      <c r="D690" s="9">
        <v>0</v>
      </c>
      <c r="E690" s="9">
        <v>0</v>
      </c>
      <c r="F690" s="9">
        <v>0</v>
      </c>
      <c r="G690" s="9">
        <v>0</v>
      </c>
      <c r="H690" s="9">
        <v>0</v>
      </c>
      <c r="I690" s="9">
        <v>0</v>
      </c>
      <c r="J690" s="9">
        <v>0</v>
      </c>
      <c r="K690" s="9">
        <v>0</v>
      </c>
      <c r="L690" s="9">
        <v>0</v>
      </c>
      <c r="M690" s="9">
        <v>0</v>
      </c>
      <c r="N690" s="9">
        <v>0</v>
      </c>
      <c r="O690" s="9">
        <v>0</v>
      </c>
      <c r="P690" s="9">
        <v>0</v>
      </c>
      <c r="Q690" s="9">
        <f>MAX(-20,MIN(10,$A690-VLOOKUP(YEAR($A690),'Festive dates'!$A$2:$J$5,8,FALSE)))</f>
        <v>-20</v>
      </c>
      <c r="R690" s="9">
        <f>IF(AND($A690&gt;VLOOKUP(YEAR($A690),'Festive dates'!$A$2:$J$5,2,FALSE),$A690&lt;VLOOKUP(YEAR($A690),'Festive dates'!$A$2:$J$5,3,FALSE)),1,0)</f>
        <v>0</v>
      </c>
      <c r="S690" s="9">
        <f>IF($A690=VLOOKUP(YEAR($A690),'Festive dates'!$A$2:$J$5,2,FALSE),1,0)</f>
        <v>0</v>
      </c>
      <c r="T690" s="9">
        <f>IF($A690=VLOOKUP(YEAR($A690),'Festive dates'!$A$2:$J$5,3,FALSE),1,0)</f>
        <v>0</v>
      </c>
      <c r="U690" s="9">
        <f>IF($A690=VLOOKUP(YEAR($A690),'Festive dates'!$A$2:$J$5,4,FALSE),1,0)</f>
        <v>0</v>
      </c>
      <c r="V690" s="9">
        <f>IF(AND($A690&gt;=VLOOKUP(YEAR($A690),'Festive dates'!$A$2:$J$5,9,FALSE),$A690&lt;=VLOOKUP(YEAR($A690),'Festive dates'!$A$2:$J$5,10,FALSE)),1,0)</f>
        <v>0</v>
      </c>
      <c r="W690" s="9">
        <f>IF($A690=VLOOKUP(YEAR($A690),'Festive dates'!$A$2:$J$5,7,FALSE),1,0)</f>
        <v>0</v>
      </c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</row>
    <row r="691" spans="1:51">
      <c r="A691" s="8">
        <v>45706</v>
      </c>
      <c r="B691" s="9">
        <v>0</v>
      </c>
      <c r="C691" s="9">
        <v>0</v>
      </c>
      <c r="D691" s="9">
        <v>0</v>
      </c>
      <c r="E691" s="9">
        <v>0</v>
      </c>
      <c r="F691" s="9">
        <v>0</v>
      </c>
      <c r="G691" s="9">
        <v>0</v>
      </c>
      <c r="H691" s="9">
        <v>0</v>
      </c>
      <c r="I691" s="9">
        <v>0</v>
      </c>
      <c r="J691" s="9">
        <v>0</v>
      </c>
      <c r="K691" s="9">
        <v>0</v>
      </c>
      <c r="L691" s="9">
        <v>0</v>
      </c>
      <c r="M691" s="9">
        <v>0</v>
      </c>
      <c r="N691" s="9">
        <v>0</v>
      </c>
      <c r="O691" s="9">
        <v>0</v>
      </c>
      <c r="P691" s="9">
        <v>1</v>
      </c>
      <c r="Q691" s="9">
        <f>MAX(-20,MIN(10,$A691-VLOOKUP(YEAR($A691),'Festive dates'!$A$2:$J$5,8,FALSE)))</f>
        <v>-20</v>
      </c>
      <c r="R691" s="9">
        <f>IF(AND($A691&gt;VLOOKUP(YEAR($A691),'Festive dates'!$A$2:$J$5,2,FALSE),$A691&lt;VLOOKUP(YEAR($A691),'Festive dates'!$A$2:$J$5,3,FALSE)),1,0)</f>
        <v>0</v>
      </c>
      <c r="S691" s="9">
        <f>IF($A691=VLOOKUP(YEAR($A691),'Festive dates'!$A$2:$J$5,2,FALSE),1,0)</f>
        <v>0</v>
      </c>
      <c r="T691" s="9">
        <f>IF($A691=VLOOKUP(YEAR($A691),'Festive dates'!$A$2:$J$5,3,FALSE),1,0)</f>
        <v>0</v>
      </c>
      <c r="U691" s="9">
        <f>IF($A691=VLOOKUP(YEAR($A691),'Festive dates'!$A$2:$J$5,4,FALSE),1,0)</f>
        <v>0</v>
      </c>
      <c r="V691" s="9">
        <f>IF(AND($A691&gt;=VLOOKUP(YEAR($A691),'Festive dates'!$A$2:$J$5,9,FALSE),$A691&lt;=VLOOKUP(YEAR($A691),'Festive dates'!$A$2:$J$5,10,FALSE)),1,0)</f>
        <v>0</v>
      </c>
      <c r="W691" s="9">
        <f>IF($A691=VLOOKUP(YEAR($A691),'Festive dates'!$A$2:$J$5,7,FALSE),1,0)</f>
        <v>0</v>
      </c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</row>
    <row r="692" spans="1:51">
      <c r="A692" s="8">
        <v>45707</v>
      </c>
      <c r="B692" s="9">
        <v>0</v>
      </c>
      <c r="C692" s="9">
        <v>0</v>
      </c>
      <c r="D692" s="9">
        <v>0</v>
      </c>
      <c r="E692" s="9">
        <v>0</v>
      </c>
      <c r="F692" s="9">
        <v>0</v>
      </c>
      <c r="G692" s="9">
        <v>0</v>
      </c>
      <c r="H692" s="9">
        <v>0</v>
      </c>
      <c r="I692" s="9">
        <v>0</v>
      </c>
      <c r="J692" s="9">
        <v>0</v>
      </c>
      <c r="K692" s="9">
        <v>0</v>
      </c>
      <c r="L692" s="9">
        <v>0</v>
      </c>
      <c r="M692" s="9">
        <v>0</v>
      </c>
      <c r="N692" s="9">
        <v>0</v>
      </c>
      <c r="O692" s="9">
        <v>0</v>
      </c>
      <c r="P692" s="9">
        <v>0</v>
      </c>
      <c r="Q692" s="9">
        <f>MAX(-20,MIN(10,$A692-VLOOKUP(YEAR($A692),'Festive dates'!$A$2:$J$5,8,FALSE)))</f>
        <v>-20</v>
      </c>
      <c r="R692" s="9">
        <f>IF(AND($A692&gt;VLOOKUP(YEAR($A692),'Festive dates'!$A$2:$J$5,2,FALSE),$A692&lt;VLOOKUP(YEAR($A692),'Festive dates'!$A$2:$J$5,3,FALSE)),1,0)</f>
        <v>0</v>
      </c>
      <c r="S692" s="9">
        <f>IF($A692=VLOOKUP(YEAR($A692),'Festive dates'!$A$2:$J$5,2,FALSE),1,0)</f>
        <v>0</v>
      </c>
      <c r="T692" s="9">
        <f>IF($A692=VLOOKUP(YEAR($A692),'Festive dates'!$A$2:$J$5,3,FALSE),1,0)</f>
        <v>0</v>
      </c>
      <c r="U692" s="9">
        <f>IF($A692=VLOOKUP(YEAR($A692),'Festive dates'!$A$2:$J$5,4,FALSE),1,0)</f>
        <v>0</v>
      </c>
      <c r="V692" s="9">
        <f>IF(AND($A692&gt;=VLOOKUP(YEAR($A692),'Festive dates'!$A$2:$J$5,9,FALSE),$A692&lt;=VLOOKUP(YEAR($A692),'Festive dates'!$A$2:$J$5,10,FALSE)),1,0)</f>
        <v>0</v>
      </c>
      <c r="W692" s="9">
        <f>IF($A692=VLOOKUP(YEAR($A692),'Festive dates'!$A$2:$J$5,7,FALSE),1,0)</f>
        <v>0</v>
      </c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</row>
    <row r="693" spans="1:51">
      <c r="A693" s="8">
        <v>45708</v>
      </c>
      <c r="B693" s="9">
        <v>0</v>
      </c>
      <c r="C693" s="9">
        <v>0</v>
      </c>
      <c r="D693" s="9">
        <v>0</v>
      </c>
      <c r="E693" s="9">
        <v>0</v>
      </c>
      <c r="F693" s="9">
        <v>0</v>
      </c>
      <c r="G693" s="9">
        <v>0</v>
      </c>
      <c r="H693" s="9">
        <v>0</v>
      </c>
      <c r="I693" s="9">
        <v>0</v>
      </c>
      <c r="J693" s="9">
        <v>0</v>
      </c>
      <c r="K693" s="9">
        <v>0</v>
      </c>
      <c r="L693" s="9">
        <v>0</v>
      </c>
      <c r="M693" s="9">
        <v>0</v>
      </c>
      <c r="N693" s="9">
        <v>0</v>
      </c>
      <c r="O693" s="9">
        <v>0</v>
      </c>
      <c r="P693" s="9">
        <v>0</v>
      </c>
      <c r="Q693" s="9">
        <f>MAX(-20,MIN(10,$A693-VLOOKUP(YEAR($A693),'Festive dates'!$A$2:$J$5,8,FALSE)))</f>
        <v>-20</v>
      </c>
      <c r="R693" s="9">
        <f>IF(AND($A693&gt;VLOOKUP(YEAR($A693),'Festive dates'!$A$2:$J$5,2,FALSE),$A693&lt;VLOOKUP(YEAR($A693),'Festive dates'!$A$2:$J$5,3,FALSE)),1,0)</f>
        <v>0</v>
      </c>
      <c r="S693" s="9">
        <f>IF($A693=VLOOKUP(YEAR($A693),'Festive dates'!$A$2:$J$5,2,FALSE),1,0)</f>
        <v>0</v>
      </c>
      <c r="T693" s="9">
        <f>IF($A693=VLOOKUP(YEAR($A693),'Festive dates'!$A$2:$J$5,3,FALSE),1,0)</f>
        <v>0</v>
      </c>
      <c r="U693" s="9">
        <f>IF($A693=VLOOKUP(YEAR($A693),'Festive dates'!$A$2:$J$5,4,FALSE),1,0)</f>
        <v>0</v>
      </c>
      <c r="V693" s="9">
        <f>IF(AND($A693&gt;=VLOOKUP(YEAR($A693),'Festive dates'!$A$2:$J$5,9,FALSE),$A693&lt;=VLOOKUP(YEAR($A693),'Festive dates'!$A$2:$J$5,10,FALSE)),1,0)</f>
        <v>0</v>
      </c>
      <c r="W693" s="9">
        <f>IF($A693=VLOOKUP(YEAR($A693),'Festive dates'!$A$2:$J$5,7,FALSE),1,0)</f>
        <v>0</v>
      </c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</row>
    <row r="694" spans="1:51">
      <c r="A694" s="8">
        <v>45709</v>
      </c>
      <c r="B694" s="9">
        <v>0</v>
      </c>
      <c r="C694" s="9">
        <v>0</v>
      </c>
      <c r="D694" s="9">
        <v>0</v>
      </c>
      <c r="E694" s="9">
        <v>0</v>
      </c>
      <c r="F694" s="9">
        <v>0</v>
      </c>
      <c r="G694" s="9">
        <v>0</v>
      </c>
      <c r="H694" s="9">
        <v>0</v>
      </c>
      <c r="I694" s="9">
        <v>0</v>
      </c>
      <c r="J694" s="9">
        <v>0</v>
      </c>
      <c r="K694" s="9">
        <v>0</v>
      </c>
      <c r="L694" s="9">
        <v>0</v>
      </c>
      <c r="M694" s="9">
        <v>0</v>
      </c>
      <c r="N694" s="9">
        <v>0</v>
      </c>
      <c r="O694" s="9">
        <v>0</v>
      </c>
      <c r="P694" s="9">
        <v>0</v>
      </c>
      <c r="Q694" s="9">
        <f>MAX(-20,MIN(10,$A694-VLOOKUP(YEAR($A694),'Festive dates'!$A$2:$J$5,8,FALSE)))</f>
        <v>-20</v>
      </c>
      <c r="R694" s="9">
        <f>IF(AND($A694&gt;VLOOKUP(YEAR($A694),'Festive dates'!$A$2:$J$5,2,FALSE),$A694&lt;VLOOKUP(YEAR($A694),'Festive dates'!$A$2:$J$5,3,FALSE)),1,0)</f>
        <v>0</v>
      </c>
      <c r="S694" s="9">
        <f>IF($A694=VLOOKUP(YEAR($A694),'Festive dates'!$A$2:$J$5,2,FALSE),1,0)</f>
        <v>0</v>
      </c>
      <c r="T694" s="9">
        <f>IF($A694=VLOOKUP(YEAR($A694),'Festive dates'!$A$2:$J$5,3,FALSE),1,0)</f>
        <v>0</v>
      </c>
      <c r="U694" s="9">
        <f>IF($A694=VLOOKUP(YEAR($A694),'Festive dates'!$A$2:$J$5,4,FALSE),1,0)</f>
        <v>0</v>
      </c>
      <c r="V694" s="9">
        <f>IF(AND($A694&gt;=VLOOKUP(YEAR($A694),'Festive dates'!$A$2:$J$5,9,FALSE),$A694&lt;=VLOOKUP(YEAR($A694),'Festive dates'!$A$2:$J$5,10,FALSE)),1,0)</f>
        <v>0</v>
      </c>
      <c r="W694" s="9">
        <f>IF($A694=VLOOKUP(YEAR($A694),'Festive dates'!$A$2:$J$5,7,FALSE),1,0)</f>
        <v>0</v>
      </c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</row>
    <row r="695" spans="1:51">
      <c r="A695" s="8">
        <v>45710</v>
      </c>
      <c r="B695" s="9">
        <v>0</v>
      </c>
      <c r="C695" s="9">
        <v>0</v>
      </c>
      <c r="D695" s="9">
        <v>0</v>
      </c>
      <c r="E695" s="9">
        <v>0</v>
      </c>
      <c r="F695" s="9">
        <v>0</v>
      </c>
      <c r="G695" s="9">
        <v>0</v>
      </c>
      <c r="H695" s="9">
        <v>0</v>
      </c>
      <c r="I695" s="9">
        <v>0</v>
      </c>
      <c r="J695" s="9">
        <v>0</v>
      </c>
      <c r="K695" s="9">
        <v>0</v>
      </c>
      <c r="L695" s="9">
        <v>0</v>
      </c>
      <c r="M695" s="9">
        <v>0</v>
      </c>
      <c r="N695" s="9">
        <v>0</v>
      </c>
      <c r="O695" s="9">
        <v>0</v>
      </c>
      <c r="P695" s="9">
        <v>1</v>
      </c>
      <c r="Q695" s="9">
        <f>MAX(-20,MIN(10,$A695-VLOOKUP(YEAR($A695),'Festive dates'!$A$2:$J$5,8,FALSE)))</f>
        <v>-20</v>
      </c>
      <c r="R695" s="9">
        <f>IF(AND($A695&gt;VLOOKUP(YEAR($A695),'Festive dates'!$A$2:$J$5,2,FALSE),$A695&lt;VLOOKUP(YEAR($A695),'Festive dates'!$A$2:$J$5,3,FALSE)),1,0)</f>
        <v>0</v>
      </c>
      <c r="S695" s="9">
        <f>IF($A695=VLOOKUP(YEAR($A695),'Festive dates'!$A$2:$J$5,2,FALSE),1,0)</f>
        <v>0</v>
      </c>
      <c r="T695" s="9">
        <f>IF($A695=VLOOKUP(YEAR($A695),'Festive dates'!$A$2:$J$5,3,FALSE),1,0)</f>
        <v>0</v>
      </c>
      <c r="U695" s="9">
        <f>IF($A695=VLOOKUP(YEAR($A695),'Festive dates'!$A$2:$J$5,4,FALSE),1,0)</f>
        <v>0</v>
      </c>
      <c r="V695" s="9">
        <f>IF(AND($A695&gt;=VLOOKUP(YEAR($A695),'Festive dates'!$A$2:$J$5,9,FALSE),$A695&lt;=VLOOKUP(YEAR($A695),'Festive dates'!$A$2:$J$5,10,FALSE)),1,0)</f>
        <v>0</v>
      </c>
      <c r="W695" s="9">
        <f>IF($A695=VLOOKUP(YEAR($A695),'Festive dates'!$A$2:$J$5,7,FALSE),1,0)</f>
        <v>0</v>
      </c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</row>
    <row r="696" spans="1:51">
      <c r="A696" s="8">
        <v>45711</v>
      </c>
      <c r="B696" s="9">
        <v>0</v>
      </c>
      <c r="C696" s="9">
        <v>0</v>
      </c>
      <c r="D696" s="9">
        <v>0</v>
      </c>
      <c r="E696" s="9">
        <v>0</v>
      </c>
      <c r="F696" s="9">
        <v>0</v>
      </c>
      <c r="G696" s="9">
        <v>0</v>
      </c>
      <c r="H696" s="9">
        <v>0</v>
      </c>
      <c r="I696" s="9">
        <v>0</v>
      </c>
      <c r="J696" s="9">
        <v>0</v>
      </c>
      <c r="K696" s="9">
        <v>0</v>
      </c>
      <c r="L696" s="9">
        <v>0</v>
      </c>
      <c r="M696" s="9">
        <v>0</v>
      </c>
      <c r="N696" s="9">
        <v>0</v>
      </c>
      <c r="O696" s="9">
        <v>0</v>
      </c>
      <c r="P696" s="9">
        <v>1</v>
      </c>
      <c r="Q696" s="9">
        <f>MAX(-20,MIN(10,$A696-VLOOKUP(YEAR($A696),'Festive dates'!$A$2:$J$5,8,FALSE)))</f>
        <v>-20</v>
      </c>
      <c r="R696" s="9">
        <f>IF(AND($A696&gt;VLOOKUP(YEAR($A696),'Festive dates'!$A$2:$J$5,2,FALSE),$A696&lt;VLOOKUP(YEAR($A696),'Festive dates'!$A$2:$J$5,3,FALSE)),1,0)</f>
        <v>0</v>
      </c>
      <c r="S696" s="9">
        <f>IF($A696=VLOOKUP(YEAR($A696),'Festive dates'!$A$2:$J$5,2,FALSE),1,0)</f>
        <v>0</v>
      </c>
      <c r="T696" s="9">
        <f>IF($A696=VLOOKUP(YEAR($A696),'Festive dates'!$A$2:$J$5,3,FALSE),1,0)</f>
        <v>0</v>
      </c>
      <c r="U696" s="9">
        <f>IF($A696=VLOOKUP(YEAR($A696),'Festive dates'!$A$2:$J$5,4,FALSE),1,0)</f>
        <v>0</v>
      </c>
      <c r="V696" s="9">
        <f>IF(AND($A696&gt;=VLOOKUP(YEAR($A696),'Festive dates'!$A$2:$J$5,9,FALSE),$A696&lt;=VLOOKUP(YEAR($A696),'Festive dates'!$A$2:$J$5,10,FALSE)),1,0)</f>
        <v>0</v>
      </c>
      <c r="W696" s="9">
        <f>IF($A696=VLOOKUP(YEAR($A696),'Festive dates'!$A$2:$J$5,7,FALSE),1,0)</f>
        <v>0</v>
      </c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</row>
    <row r="697" spans="1:51">
      <c r="A697" s="8">
        <v>45712</v>
      </c>
      <c r="B697" s="9">
        <v>0</v>
      </c>
      <c r="C697" s="9">
        <v>0</v>
      </c>
      <c r="D697" s="9">
        <v>0</v>
      </c>
      <c r="E697" s="9">
        <v>0</v>
      </c>
      <c r="F697" s="9">
        <v>0</v>
      </c>
      <c r="G697" s="9">
        <v>0</v>
      </c>
      <c r="H697" s="9">
        <v>0</v>
      </c>
      <c r="I697" s="9">
        <v>0</v>
      </c>
      <c r="J697" s="9">
        <v>0</v>
      </c>
      <c r="K697" s="9">
        <v>0</v>
      </c>
      <c r="L697" s="9">
        <v>0</v>
      </c>
      <c r="M697" s="9">
        <v>0</v>
      </c>
      <c r="N697" s="9">
        <v>0</v>
      </c>
      <c r="O697" s="9">
        <v>0</v>
      </c>
      <c r="P697" s="9">
        <v>0</v>
      </c>
      <c r="Q697" s="9">
        <f>MAX(-20,MIN(10,$A697-VLOOKUP(YEAR($A697),'Festive dates'!$A$2:$J$5,8,FALSE)))</f>
        <v>-20</v>
      </c>
      <c r="R697" s="9">
        <f>IF(AND($A697&gt;VLOOKUP(YEAR($A697),'Festive dates'!$A$2:$J$5,2,FALSE),$A697&lt;VLOOKUP(YEAR($A697),'Festive dates'!$A$2:$J$5,3,FALSE)),1,0)</f>
        <v>0</v>
      </c>
      <c r="S697" s="9">
        <f>IF($A697=VLOOKUP(YEAR($A697),'Festive dates'!$A$2:$J$5,2,FALSE),1,0)</f>
        <v>0</v>
      </c>
      <c r="T697" s="9">
        <f>IF($A697=VLOOKUP(YEAR($A697),'Festive dates'!$A$2:$J$5,3,FALSE),1,0)</f>
        <v>0</v>
      </c>
      <c r="U697" s="9">
        <f>IF($A697=VLOOKUP(YEAR($A697),'Festive dates'!$A$2:$J$5,4,FALSE),1,0)</f>
        <v>0</v>
      </c>
      <c r="V697" s="9">
        <f>IF(AND($A697&gt;=VLOOKUP(YEAR($A697),'Festive dates'!$A$2:$J$5,9,FALSE),$A697&lt;=VLOOKUP(YEAR($A697),'Festive dates'!$A$2:$J$5,10,FALSE)),1,0)</f>
        <v>0</v>
      </c>
      <c r="W697" s="9">
        <f>IF($A697=VLOOKUP(YEAR($A697),'Festive dates'!$A$2:$J$5,7,FALSE),1,0)</f>
        <v>0</v>
      </c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</row>
    <row r="698" spans="1:51">
      <c r="A698" s="8">
        <v>45713</v>
      </c>
      <c r="B698" s="9">
        <v>0</v>
      </c>
      <c r="C698" s="9">
        <v>0</v>
      </c>
      <c r="D698" s="9">
        <v>0</v>
      </c>
      <c r="E698" s="9">
        <v>0</v>
      </c>
      <c r="F698" s="9">
        <v>0</v>
      </c>
      <c r="G698" s="9">
        <v>0</v>
      </c>
      <c r="H698" s="9">
        <v>0</v>
      </c>
      <c r="I698" s="9">
        <v>0</v>
      </c>
      <c r="J698" s="9">
        <v>0</v>
      </c>
      <c r="K698" s="9">
        <v>0</v>
      </c>
      <c r="L698" s="9">
        <v>0</v>
      </c>
      <c r="M698" s="9">
        <v>0</v>
      </c>
      <c r="N698" s="9">
        <v>0</v>
      </c>
      <c r="O698" s="9">
        <v>0</v>
      </c>
      <c r="P698" s="9">
        <v>0</v>
      </c>
      <c r="Q698" s="9">
        <f>MAX(-20,MIN(10,$A698-VLOOKUP(YEAR($A698),'Festive dates'!$A$2:$J$5,8,FALSE)))</f>
        <v>-20</v>
      </c>
      <c r="R698" s="9">
        <f>IF(AND($A698&gt;VLOOKUP(YEAR($A698),'Festive dates'!$A$2:$J$5,2,FALSE),$A698&lt;VLOOKUP(YEAR($A698),'Festive dates'!$A$2:$J$5,3,FALSE)),1,0)</f>
        <v>0</v>
      </c>
      <c r="S698" s="9">
        <f>IF($A698=VLOOKUP(YEAR($A698),'Festive dates'!$A$2:$J$5,2,FALSE),1,0)</f>
        <v>0</v>
      </c>
      <c r="T698" s="9">
        <f>IF($A698=VLOOKUP(YEAR($A698),'Festive dates'!$A$2:$J$5,3,FALSE),1,0)</f>
        <v>0</v>
      </c>
      <c r="U698" s="9">
        <f>IF($A698=VLOOKUP(YEAR($A698),'Festive dates'!$A$2:$J$5,4,FALSE),1,0)</f>
        <v>0</v>
      </c>
      <c r="V698" s="9">
        <f>IF(AND($A698&gt;=VLOOKUP(YEAR($A698),'Festive dates'!$A$2:$J$5,9,FALSE),$A698&lt;=VLOOKUP(YEAR($A698),'Festive dates'!$A$2:$J$5,10,FALSE)),1,0)</f>
        <v>0</v>
      </c>
      <c r="W698" s="9">
        <f>IF($A698=VLOOKUP(YEAR($A698),'Festive dates'!$A$2:$J$5,7,FALSE),1,0)</f>
        <v>0</v>
      </c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</row>
    <row r="699" spans="1:51">
      <c r="A699" s="8">
        <v>45714</v>
      </c>
      <c r="B699" s="9">
        <v>0</v>
      </c>
      <c r="C699" s="9">
        <v>0</v>
      </c>
      <c r="D699" s="9">
        <v>0</v>
      </c>
      <c r="E699" s="9">
        <v>0</v>
      </c>
      <c r="F699" s="9">
        <v>0</v>
      </c>
      <c r="G699" s="9">
        <v>0</v>
      </c>
      <c r="H699" s="9">
        <v>0</v>
      </c>
      <c r="I699" s="9">
        <v>0</v>
      </c>
      <c r="J699" s="9">
        <v>0</v>
      </c>
      <c r="K699" s="9">
        <v>0</v>
      </c>
      <c r="L699" s="9">
        <v>0</v>
      </c>
      <c r="M699" s="9">
        <v>0</v>
      </c>
      <c r="N699" s="9">
        <v>0</v>
      </c>
      <c r="O699" s="9">
        <v>0</v>
      </c>
      <c r="P699" s="9">
        <v>0</v>
      </c>
      <c r="Q699" s="9">
        <f>MAX(-20,MIN(10,$A699-VLOOKUP(YEAR($A699),'Festive dates'!$A$2:$J$5,8,FALSE)))</f>
        <v>-20</v>
      </c>
      <c r="R699" s="9">
        <f>IF(AND($A699&gt;VLOOKUP(YEAR($A699),'Festive dates'!$A$2:$J$5,2,FALSE),$A699&lt;VLOOKUP(YEAR($A699),'Festive dates'!$A$2:$J$5,3,FALSE)),1,0)</f>
        <v>0</v>
      </c>
      <c r="S699" s="9">
        <f>IF($A699=VLOOKUP(YEAR($A699),'Festive dates'!$A$2:$J$5,2,FALSE),1,0)</f>
        <v>0</v>
      </c>
      <c r="T699" s="9">
        <f>IF($A699=VLOOKUP(YEAR($A699),'Festive dates'!$A$2:$J$5,3,FALSE),1,0)</f>
        <v>0</v>
      </c>
      <c r="U699" s="9">
        <f>IF($A699=VLOOKUP(YEAR($A699),'Festive dates'!$A$2:$J$5,4,FALSE),1,0)</f>
        <v>0</v>
      </c>
      <c r="V699" s="9">
        <f>IF(AND($A699&gt;=VLOOKUP(YEAR($A699),'Festive dates'!$A$2:$J$5,9,FALSE),$A699&lt;=VLOOKUP(YEAR($A699),'Festive dates'!$A$2:$J$5,10,FALSE)),1,0)</f>
        <v>0</v>
      </c>
      <c r="W699" s="9">
        <f>IF($A699=VLOOKUP(YEAR($A699),'Festive dates'!$A$2:$J$5,7,FALSE),1,0)</f>
        <v>0</v>
      </c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</row>
    <row r="700" spans="1:51">
      <c r="A700" s="8">
        <v>45715</v>
      </c>
      <c r="B700" s="9">
        <v>0</v>
      </c>
      <c r="C700" s="9">
        <v>0</v>
      </c>
      <c r="D700" s="9">
        <v>0</v>
      </c>
      <c r="E700" s="9">
        <v>0</v>
      </c>
      <c r="F700" s="9">
        <v>0</v>
      </c>
      <c r="G700" s="9">
        <v>0</v>
      </c>
      <c r="H700" s="9">
        <v>0</v>
      </c>
      <c r="I700" s="9">
        <v>0</v>
      </c>
      <c r="J700" s="9">
        <v>0</v>
      </c>
      <c r="K700" s="9">
        <v>0</v>
      </c>
      <c r="L700" s="9">
        <v>0</v>
      </c>
      <c r="M700" s="9">
        <v>0</v>
      </c>
      <c r="N700" s="9">
        <v>0</v>
      </c>
      <c r="O700" s="9">
        <v>0</v>
      </c>
      <c r="P700" s="9">
        <v>1</v>
      </c>
      <c r="Q700" s="9">
        <f>MAX(-20,MIN(10,$A700-VLOOKUP(YEAR($A700),'Festive dates'!$A$2:$J$5,8,FALSE)))</f>
        <v>-20</v>
      </c>
      <c r="R700" s="9">
        <f>IF(AND($A700&gt;VLOOKUP(YEAR($A700),'Festive dates'!$A$2:$J$5,2,FALSE),$A700&lt;VLOOKUP(YEAR($A700),'Festive dates'!$A$2:$J$5,3,FALSE)),1,0)</f>
        <v>0</v>
      </c>
      <c r="S700" s="9">
        <f>IF($A700=VLOOKUP(YEAR($A700),'Festive dates'!$A$2:$J$5,2,FALSE),1,0)</f>
        <v>0</v>
      </c>
      <c r="T700" s="9">
        <f>IF($A700=VLOOKUP(YEAR($A700),'Festive dates'!$A$2:$J$5,3,FALSE),1,0)</f>
        <v>0</v>
      </c>
      <c r="U700" s="9">
        <f>IF($A700=VLOOKUP(YEAR($A700),'Festive dates'!$A$2:$J$5,4,FALSE),1,0)</f>
        <v>0</v>
      </c>
      <c r="V700" s="9">
        <f>IF(AND($A700&gt;=VLOOKUP(YEAR($A700),'Festive dates'!$A$2:$J$5,9,FALSE),$A700&lt;=VLOOKUP(YEAR($A700),'Festive dates'!$A$2:$J$5,10,FALSE)),1,0)</f>
        <v>0</v>
      </c>
      <c r="W700" s="9">
        <f>IF($A700=VLOOKUP(YEAR($A700),'Festive dates'!$A$2:$J$5,7,FALSE),1,0)</f>
        <v>0</v>
      </c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</row>
    <row r="701" spans="1:51">
      <c r="A701" s="8">
        <v>45716</v>
      </c>
      <c r="B701" s="9">
        <v>0</v>
      </c>
      <c r="C701" s="9">
        <v>0</v>
      </c>
      <c r="D701" s="9">
        <v>0</v>
      </c>
      <c r="E701" s="9">
        <v>0</v>
      </c>
      <c r="F701" s="9">
        <v>0</v>
      </c>
      <c r="G701" s="9">
        <v>0</v>
      </c>
      <c r="H701" s="9">
        <v>0</v>
      </c>
      <c r="I701" s="9">
        <v>0</v>
      </c>
      <c r="J701" s="9">
        <v>0</v>
      </c>
      <c r="K701" s="9">
        <v>0</v>
      </c>
      <c r="L701" s="9">
        <v>0</v>
      </c>
      <c r="M701" s="9">
        <v>0</v>
      </c>
      <c r="N701" s="9">
        <v>0</v>
      </c>
      <c r="O701" s="9">
        <v>0</v>
      </c>
      <c r="P701" s="9">
        <v>1</v>
      </c>
      <c r="Q701" s="9">
        <f>MAX(-20,MIN(10,$A701-VLOOKUP(YEAR($A701),'Festive dates'!$A$2:$J$5,8,FALSE)))</f>
        <v>-20</v>
      </c>
      <c r="R701" s="9">
        <f>IF(AND($A701&gt;VLOOKUP(YEAR($A701),'Festive dates'!$A$2:$J$5,2,FALSE),$A701&lt;VLOOKUP(YEAR($A701),'Festive dates'!$A$2:$J$5,3,FALSE)),1,0)</f>
        <v>0</v>
      </c>
      <c r="S701" s="9">
        <f>IF($A701=VLOOKUP(YEAR($A701),'Festive dates'!$A$2:$J$5,2,FALSE),1,0)</f>
        <v>0</v>
      </c>
      <c r="T701" s="9">
        <f>IF($A701=VLOOKUP(YEAR($A701),'Festive dates'!$A$2:$J$5,3,FALSE),1,0)</f>
        <v>0</v>
      </c>
      <c r="U701" s="9">
        <f>IF($A701=VLOOKUP(YEAR($A701),'Festive dates'!$A$2:$J$5,4,FALSE),1,0)</f>
        <v>0</v>
      </c>
      <c r="V701" s="9">
        <f>IF(AND($A701&gt;=VLOOKUP(YEAR($A701),'Festive dates'!$A$2:$J$5,9,FALSE),$A701&lt;=VLOOKUP(YEAR($A701),'Festive dates'!$A$2:$J$5,10,FALSE)),1,0)</f>
        <v>0</v>
      </c>
      <c r="W701" s="9">
        <f>IF($A701=VLOOKUP(YEAR($A701),'Festive dates'!$A$2:$J$5,7,FALSE),1,0)</f>
        <v>0</v>
      </c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</row>
    <row r="702" spans="1:51">
      <c r="A702" s="8">
        <v>45717</v>
      </c>
      <c r="B702" s="9">
        <v>0</v>
      </c>
      <c r="C702" s="9">
        <v>0</v>
      </c>
      <c r="D702" s="9">
        <v>0</v>
      </c>
      <c r="E702" s="9">
        <v>0</v>
      </c>
      <c r="F702" s="9">
        <v>0</v>
      </c>
      <c r="G702" s="9">
        <v>0</v>
      </c>
      <c r="H702" s="9">
        <v>0</v>
      </c>
      <c r="I702" s="9">
        <v>0</v>
      </c>
      <c r="J702" s="9">
        <v>0</v>
      </c>
      <c r="K702" s="9">
        <v>0</v>
      </c>
      <c r="L702" s="9">
        <v>0</v>
      </c>
      <c r="M702" s="9">
        <v>0</v>
      </c>
      <c r="N702" s="9">
        <v>0</v>
      </c>
      <c r="O702" s="9">
        <v>0</v>
      </c>
      <c r="P702" s="9">
        <v>0</v>
      </c>
      <c r="Q702" s="9">
        <f>MAX(-20,MIN(10,$A702-VLOOKUP(YEAR($A702),'Festive dates'!$A$2:$J$5,8,FALSE)))</f>
        <v>-20</v>
      </c>
      <c r="R702" s="9">
        <f>IF(AND($A702&gt;VLOOKUP(YEAR($A702),'Festive dates'!$A$2:$J$5,2,FALSE),$A702&lt;VLOOKUP(YEAR($A702),'Festive dates'!$A$2:$J$5,3,FALSE)),1,0)</f>
        <v>0</v>
      </c>
      <c r="S702" s="9">
        <f>IF($A702=VLOOKUP(YEAR($A702),'Festive dates'!$A$2:$J$5,2,FALSE),1,0)</f>
        <v>0</v>
      </c>
      <c r="T702" s="9">
        <f>IF($A702=VLOOKUP(YEAR($A702),'Festive dates'!$A$2:$J$5,3,FALSE),1,0)</f>
        <v>0</v>
      </c>
      <c r="U702" s="9">
        <f>IF($A702=VLOOKUP(YEAR($A702),'Festive dates'!$A$2:$J$5,4,FALSE),1,0)</f>
        <v>0</v>
      </c>
      <c r="V702" s="9">
        <f>IF(AND($A702&gt;=VLOOKUP(YEAR($A702),'Festive dates'!$A$2:$J$5,9,FALSE),$A702&lt;=VLOOKUP(YEAR($A702),'Festive dates'!$A$2:$J$5,10,FALSE)),1,0)</f>
        <v>0</v>
      </c>
      <c r="W702" s="9">
        <f>IF($A702=VLOOKUP(YEAR($A702),'Festive dates'!$A$2:$J$5,7,FALSE),1,0)</f>
        <v>0</v>
      </c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</row>
    <row r="703" spans="1:51">
      <c r="A703" s="8">
        <v>45718</v>
      </c>
      <c r="B703" s="9">
        <v>0</v>
      </c>
      <c r="C703" s="9">
        <v>0</v>
      </c>
      <c r="D703" s="9">
        <v>0</v>
      </c>
      <c r="E703" s="9">
        <v>0</v>
      </c>
      <c r="F703" s="9">
        <v>0</v>
      </c>
      <c r="G703" s="9">
        <v>0</v>
      </c>
      <c r="H703" s="9">
        <v>0</v>
      </c>
      <c r="I703" s="9">
        <v>0</v>
      </c>
      <c r="J703" s="9">
        <v>0</v>
      </c>
      <c r="K703" s="9">
        <v>0</v>
      </c>
      <c r="L703" s="9">
        <v>0</v>
      </c>
      <c r="M703" s="9">
        <v>0</v>
      </c>
      <c r="N703" s="9">
        <v>0</v>
      </c>
      <c r="O703" s="9">
        <v>0</v>
      </c>
      <c r="P703" s="9">
        <v>0</v>
      </c>
      <c r="Q703" s="9">
        <f>MAX(-20,MIN(10,$A703-VLOOKUP(YEAR($A703),'Festive dates'!$A$2:$J$5,8,FALSE)))</f>
        <v>-20</v>
      </c>
      <c r="R703" s="9">
        <f>IF(AND($A703&gt;VLOOKUP(YEAR($A703),'Festive dates'!$A$2:$J$5,2,FALSE),$A703&lt;VLOOKUP(YEAR($A703),'Festive dates'!$A$2:$J$5,3,FALSE)),1,0)</f>
        <v>0</v>
      </c>
      <c r="S703" s="9">
        <f>IF($A703=VLOOKUP(YEAR($A703),'Festive dates'!$A$2:$J$5,2,FALSE),1,0)</f>
        <v>0</v>
      </c>
      <c r="T703" s="9">
        <f>IF($A703=VLOOKUP(YEAR($A703),'Festive dates'!$A$2:$J$5,3,FALSE),1,0)</f>
        <v>0</v>
      </c>
      <c r="U703" s="9">
        <f>IF($A703=VLOOKUP(YEAR($A703),'Festive dates'!$A$2:$J$5,4,FALSE),1,0)</f>
        <v>0</v>
      </c>
      <c r="V703" s="9">
        <f>IF(AND($A703&gt;=VLOOKUP(YEAR($A703),'Festive dates'!$A$2:$J$5,9,FALSE),$A703&lt;=VLOOKUP(YEAR($A703),'Festive dates'!$A$2:$J$5,10,FALSE)),1,0)</f>
        <v>0</v>
      </c>
      <c r="W703" s="9">
        <f>IF($A703=VLOOKUP(YEAR($A703),'Festive dates'!$A$2:$J$5,7,FALSE),1,0)</f>
        <v>0</v>
      </c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</row>
    <row r="704" spans="1:51">
      <c r="A704" s="8">
        <v>45719</v>
      </c>
      <c r="B704" s="9">
        <v>0</v>
      </c>
      <c r="C704" s="9">
        <v>0</v>
      </c>
      <c r="D704" s="9">
        <v>0</v>
      </c>
      <c r="E704" s="9">
        <v>0</v>
      </c>
      <c r="F704" s="9">
        <v>0</v>
      </c>
      <c r="G704" s="9">
        <v>0</v>
      </c>
      <c r="H704" s="9">
        <v>0</v>
      </c>
      <c r="I704" s="9">
        <v>0</v>
      </c>
      <c r="J704" s="9">
        <v>0</v>
      </c>
      <c r="K704" s="9">
        <v>0</v>
      </c>
      <c r="L704" s="9">
        <v>0</v>
      </c>
      <c r="M704" s="9">
        <v>0</v>
      </c>
      <c r="N704" s="9">
        <v>0</v>
      </c>
      <c r="O704" s="9">
        <v>0</v>
      </c>
      <c r="P704" s="9">
        <v>0</v>
      </c>
      <c r="Q704" s="9">
        <f>MAX(-20,MIN(10,$A704-VLOOKUP(YEAR($A704),'Festive dates'!$A$2:$J$5,8,FALSE)))</f>
        <v>-20</v>
      </c>
      <c r="R704" s="9">
        <f>IF(AND($A704&gt;VLOOKUP(YEAR($A704),'Festive dates'!$A$2:$J$5,2,FALSE),$A704&lt;VLOOKUP(YEAR($A704),'Festive dates'!$A$2:$J$5,3,FALSE)),1,0)</f>
        <v>0</v>
      </c>
      <c r="S704" s="9">
        <f>IF($A704=VLOOKUP(YEAR($A704),'Festive dates'!$A$2:$J$5,2,FALSE),1,0)</f>
        <v>0</v>
      </c>
      <c r="T704" s="9">
        <f>IF($A704=VLOOKUP(YEAR($A704),'Festive dates'!$A$2:$J$5,3,FALSE),1,0)</f>
        <v>0</v>
      </c>
      <c r="U704" s="9">
        <f>IF($A704=VLOOKUP(YEAR($A704),'Festive dates'!$A$2:$J$5,4,FALSE),1,0)</f>
        <v>0</v>
      </c>
      <c r="V704" s="9">
        <f>IF(AND($A704&gt;=VLOOKUP(YEAR($A704),'Festive dates'!$A$2:$J$5,9,FALSE),$A704&lt;=VLOOKUP(YEAR($A704),'Festive dates'!$A$2:$J$5,10,FALSE)),1,0)</f>
        <v>0</v>
      </c>
      <c r="W704" s="9">
        <f>IF($A704=VLOOKUP(YEAR($A704),'Festive dates'!$A$2:$J$5,7,FALSE),1,0)</f>
        <v>0</v>
      </c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</row>
    <row r="705" spans="1:51">
      <c r="A705" s="8">
        <v>45720</v>
      </c>
      <c r="B705" s="9">
        <v>0</v>
      </c>
      <c r="C705" s="9">
        <v>0</v>
      </c>
      <c r="D705" s="9">
        <v>0</v>
      </c>
      <c r="E705" s="9">
        <v>0</v>
      </c>
      <c r="F705" s="9">
        <v>0</v>
      </c>
      <c r="G705" s="9">
        <v>0</v>
      </c>
      <c r="H705" s="9">
        <v>0</v>
      </c>
      <c r="I705" s="9">
        <v>0</v>
      </c>
      <c r="J705" s="9">
        <v>0</v>
      </c>
      <c r="K705" s="9">
        <v>0</v>
      </c>
      <c r="L705" s="9">
        <v>0</v>
      </c>
      <c r="M705" s="9">
        <v>0</v>
      </c>
      <c r="N705" s="9">
        <v>0</v>
      </c>
      <c r="O705" s="9">
        <v>0</v>
      </c>
      <c r="P705" s="9">
        <v>0</v>
      </c>
      <c r="Q705" s="9">
        <f>MAX(-20,MIN(10,$A705-VLOOKUP(YEAR($A705),'Festive dates'!$A$2:$J$5,8,FALSE)))</f>
        <v>-20</v>
      </c>
      <c r="R705" s="9">
        <f>IF(AND($A705&gt;VLOOKUP(YEAR($A705),'Festive dates'!$A$2:$J$5,2,FALSE),$A705&lt;VLOOKUP(YEAR($A705),'Festive dates'!$A$2:$J$5,3,FALSE)),1,0)</f>
        <v>0</v>
      </c>
      <c r="S705" s="9">
        <f>IF($A705=VLOOKUP(YEAR($A705),'Festive dates'!$A$2:$J$5,2,FALSE),1,0)</f>
        <v>0</v>
      </c>
      <c r="T705" s="9">
        <f>IF($A705=VLOOKUP(YEAR($A705),'Festive dates'!$A$2:$J$5,3,FALSE),1,0)</f>
        <v>0</v>
      </c>
      <c r="U705" s="9">
        <f>IF($A705=VLOOKUP(YEAR($A705),'Festive dates'!$A$2:$J$5,4,FALSE),1,0)</f>
        <v>0</v>
      </c>
      <c r="V705" s="9">
        <f>IF(AND($A705&gt;=VLOOKUP(YEAR($A705),'Festive dates'!$A$2:$J$5,9,FALSE),$A705&lt;=VLOOKUP(YEAR($A705),'Festive dates'!$A$2:$J$5,10,FALSE)),1,0)</f>
        <v>0</v>
      </c>
      <c r="W705" s="9">
        <f>IF($A705=VLOOKUP(YEAR($A705),'Festive dates'!$A$2:$J$5,7,FALSE),1,0)</f>
        <v>0</v>
      </c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</row>
    <row r="706" spans="1:51">
      <c r="A706" s="8">
        <v>45721</v>
      </c>
      <c r="B706" s="9">
        <v>0</v>
      </c>
      <c r="C706" s="9">
        <v>0</v>
      </c>
      <c r="D706" s="9">
        <v>0</v>
      </c>
      <c r="E706" s="9">
        <v>0</v>
      </c>
      <c r="F706" s="9">
        <v>0</v>
      </c>
      <c r="G706" s="9">
        <v>0</v>
      </c>
      <c r="H706" s="9">
        <v>0</v>
      </c>
      <c r="I706" s="9">
        <v>0</v>
      </c>
      <c r="J706" s="9">
        <v>0</v>
      </c>
      <c r="K706" s="9">
        <v>0</v>
      </c>
      <c r="L706" s="9">
        <v>0</v>
      </c>
      <c r="M706" s="9">
        <v>0</v>
      </c>
      <c r="N706" s="9">
        <v>0</v>
      </c>
      <c r="O706" s="9">
        <v>0</v>
      </c>
      <c r="P706" s="9">
        <v>1</v>
      </c>
      <c r="Q706" s="9">
        <f>MAX(-20,MIN(10,$A706-VLOOKUP(YEAR($A706),'Festive dates'!$A$2:$J$5,8,FALSE)))</f>
        <v>-20</v>
      </c>
      <c r="R706" s="9">
        <f>IF(AND($A706&gt;VLOOKUP(YEAR($A706),'Festive dates'!$A$2:$J$5,2,FALSE),$A706&lt;VLOOKUP(YEAR($A706),'Festive dates'!$A$2:$J$5,3,FALSE)),1,0)</f>
        <v>0</v>
      </c>
      <c r="S706" s="9">
        <f>IF($A706=VLOOKUP(YEAR($A706),'Festive dates'!$A$2:$J$5,2,FALSE),1,0)</f>
        <v>0</v>
      </c>
      <c r="T706" s="9">
        <f>IF($A706=VLOOKUP(YEAR($A706),'Festive dates'!$A$2:$J$5,3,FALSE),1,0)</f>
        <v>0</v>
      </c>
      <c r="U706" s="9">
        <f>IF($A706=VLOOKUP(YEAR($A706),'Festive dates'!$A$2:$J$5,4,FALSE),1,0)</f>
        <v>0</v>
      </c>
      <c r="V706" s="9">
        <f>IF(AND($A706&gt;=VLOOKUP(YEAR($A706),'Festive dates'!$A$2:$J$5,9,FALSE),$A706&lt;=VLOOKUP(YEAR($A706),'Festive dates'!$A$2:$J$5,10,FALSE)),1,0)</f>
        <v>0</v>
      </c>
      <c r="W706" s="9">
        <f>IF($A706=VLOOKUP(YEAR($A706),'Festive dates'!$A$2:$J$5,7,FALSE),1,0)</f>
        <v>0</v>
      </c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</row>
    <row r="707" spans="1:51">
      <c r="A707" s="8">
        <v>45722</v>
      </c>
      <c r="B707" s="9">
        <v>0</v>
      </c>
      <c r="C707" s="9">
        <v>0</v>
      </c>
      <c r="D707" s="9">
        <v>0</v>
      </c>
      <c r="E707" s="9">
        <v>0</v>
      </c>
      <c r="F707" s="9">
        <v>0</v>
      </c>
      <c r="G707" s="9">
        <v>0</v>
      </c>
      <c r="H707" s="9">
        <v>0</v>
      </c>
      <c r="I707" s="9">
        <v>0</v>
      </c>
      <c r="J707" s="9">
        <v>0</v>
      </c>
      <c r="K707" s="9">
        <v>0</v>
      </c>
      <c r="L707" s="9">
        <v>0</v>
      </c>
      <c r="M707" s="9">
        <v>0</v>
      </c>
      <c r="N707" s="9">
        <v>0</v>
      </c>
      <c r="O707" s="9">
        <v>0</v>
      </c>
      <c r="P707" s="9">
        <v>0</v>
      </c>
      <c r="Q707" s="9">
        <f>MAX(-20,MIN(10,$A707-VLOOKUP(YEAR($A707),'Festive dates'!$A$2:$J$5,8,FALSE)))</f>
        <v>-20</v>
      </c>
      <c r="R707" s="9">
        <f>IF(AND($A707&gt;VLOOKUP(YEAR($A707),'Festive dates'!$A$2:$J$5,2,FALSE),$A707&lt;VLOOKUP(YEAR($A707),'Festive dates'!$A$2:$J$5,3,FALSE)),1,0)</f>
        <v>0</v>
      </c>
      <c r="S707" s="9">
        <f>IF($A707=VLOOKUP(YEAR($A707),'Festive dates'!$A$2:$J$5,2,FALSE),1,0)</f>
        <v>0</v>
      </c>
      <c r="T707" s="9">
        <f>IF($A707=VLOOKUP(YEAR($A707),'Festive dates'!$A$2:$J$5,3,FALSE),1,0)</f>
        <v>0</v>
      </c>
      <c r="U707" s="9">
        <f>IF($A707=VLOOKUP(YEAR($A707),'Festive dates'!$A$2:$J$5,4,FALSE),1,0)</f>
        <v>0</v>
      </c>
      <c r="V707" s="9">
        <f>IF(AND($A707&gt;=VLOOKUP(YEAR($A707),'Festive dates'!$A$2:$J$5,9,FALSE),$A707&lt;=VLOOKUP(YEAR($A707),'Festive dates'!$A$2:$J$5,10,FALSE)),1,0)</f>
        <v>0</v>
      </c>
      <c r="W707" s="9">
        <f>IF($A707=VLOOKUP(YEAR($A707),'Festive dates'!$A$2:$J$5,7,FALSE),1,0)</f>
        <v>0</v>
      </c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</row>
    <row r="708" spans="1:51">
      <c r="A708" s="8">
        <v>45723</v>
      </c>
      <c r="B708" s="9">
        <v>0</v>
      </c>
      <c r="C708" s="9">
        <v>0</v>
      </c>
      <c r="D708" s="9">
        <v>0</v>
      </c>
      <c r="E708" s="9">
        <v>0</v>
      </c>
      <c r="F708" s="9">
        <v>0</v>
      </c>
      <c r="G708" s="9">
        <v>0</v>
      </c>
      <c r="H708" s="9">
        <v>0</v>
      </c>
      <c r="I708" s="9">
        <v>0</v>
      </c>
      <c r="J708" s="9">
        <v>0</v>
      </c>
      <c r="K708" s="9">
        <v>0</v>
      </c>
      <c r="L708" s="9">
        <v>0</v>
      </c>
      <c r="M708" s="9">
        <v>0</v>
      </c>
      <c r="N708" s="9">
        <v>0</v>
      </c>
      <c r="O708" s="9">
        <v>0</v>
      </c>
      <c r="P708" s="9">
        <v>0</v>
      </c>
      <c r="Q708" s="9">
        <f>MAX(-20,MIN(10,$A708-VLOOKUP(YEAR($A708),'Festive dates'!$A$2:$J$5,8,FALSE)))</f>
        <v>-20</v>
      </c>
      <c r="R708" s="9">
        <f>IF(AND($A708&gt;VLOOKUP(YEAR($A708),'Festive dates'!$A$2:$J$5,2,FALSE),$A708&lt;VLOOKUP(YEAR($A708),'Festive dates'!$A$2:$J$5,3,FALSE)),1,0)</f>
        <v>0</v>
      </c>
      <c r="S708" s="9">
        <f>IF($A708=VLOOKUP(YEAR($A708),'Festive dates'!$A$2:$J$5,2,FALSE),1,0)</f>
        <v>0</v>
      </c>
      <c r="T708" s="9">
        <f>IF($A708=VLOOKUP(YEAR($A708),'Festive dates'!$A$2:$J$5,3,FALSE),1,0)</f>
        <v>0</v>
      </c>
      <c r="U708" s="9">
        <f>IF($A708=VLOOKUP(YEAR($A708),'Festive dates'!$A$2:$J$5,4,FALSE),1,0)</f>
        <v>0</v>
      </c>
      <c r="V708" s="9">
        <f>IF(AND($A708&gt;=VLOOKUP(YEAR($A708),'Festive dates'!$A$2:$J$5,9,FALSE),$A708&lt;=VLOOKUP(YEAR($A708),'Festive dates'!$A$2:$J$5,10,FALSE)),1,0)</f>
        <v>0</v>
      </c>
      <c r="W708" s="9">
        <f>IF($A708=VLOOKUP(YEAR($A708),'Festive dates'!$A$2:$J$5,7,FALSE),1,0)</f>
        <v>0</v>
      </c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</row>
    <row r="709" spans="1:51">
      <c r="A709" s="8">
        <v>45724</v>
      </c>
      <c r="B709" s="9">
        <v>0</v>
      </c>
      <c r="C709" s="9">
        <v>0</v>
      </c>
      <c r="D709" s="9">
        <v>0</v>
      </c>
      <c r="E709" s="9">
        <v>0</v>
      </c>
      <c r="F709" s="9">
        <v>0</v>
      </c>
      <c r="G709" s="9">
        <v>0</v>
      </c>
      <c r="H709" s="9">
        <v>0</v>
      </c>
      <c r="I709" s="9">
        <v>0</v>
      </c>
      <c r="J709" s="9">
        <v>0</v>
      </c>
      <c r="K709" s="9">
        <v>0</v>
      </c>
      <c r="L709" s="9">
        <v>0</v>
      </c>
      <c r="M709" s="9">
        <v>0</v>
      </c>
      <c r="N709" s="9">
        <v>0</v>
      </c>
      <c r="O709" s="9">
        <v>0</v>
      </c>
      <c r="P709" s="9">
        <v>0</v>
      </c>
      <c r="Q709" s="9">
        <f>MAX(-20,MIN(10,$A709-VLOOKUP(YEAR($A709),'Festive dates'!$A$2:$J$5,8,FALSE)))</f>
        <v>-20</v>
      </c>
      <c r="R709" s="9">
        <f>IF(AND($A709&gt;VLOOKUP(YEAR($A709),'Festive dates'!$A$2:$J$5,2,FALSE),$A709&lt;VLOOKUP(YEAR($A709),'Festive dates'!$A$2:$J$5,3,FALSE)),1,0)</f>
        <v>0</v>
      </c>
      <c r="S709" s="9">
        <f>IF($A709=VLOOKUP(YEAR($A709),'Festive dates'!$A$2:$J$5,2,FALSE),1,0)</f>
        <v>0</v>
      </c>
      <c r="T709" s="9">
        <f>IF($A709=VLOOKUP(YEAR($A709),'Festive dates'!$A$2:$J$5,3,FALSE),1,0)</f>
        <v>0</v>
      </c>
      <c r="U709" s="9">
        <f>IF($A709=VLOOKUP(YEAR($A709),'Festive dates'!$A$2:$J$5,4,FALSE),1,0)</f>
        <v>0</v>
      </c>
      <c r="V709" s="9">
        <f>IF(AND($A709&gt;=VLOOKUP(YEAR($A709),'Festive dates'!$A$2:$J$5,9,FALSE),$A709&lt;=VLOOKUP(YEAR($A709),'Festive dates'!$A$2:$J$5,10,FALSE)),1,0)</f>
        <v>0</v>
      </c>
      <c r="W709" s="9">
        <f>IF($A709=VLOOKUP(YEAR($A709),'Festive dates'!$A$2:$J$5,7,FALSE),1,0)</f>
        <v>0</v>
      </c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</row>
    <row r="710" spans="1:51">
      <c r="A710" s="8">
        <v>45725</v>
      </c>
      <c r="B710" s="9">
        <v>0</v>
      </c>
      <c r="C710" s="9">
        <v>0</v>
      </c>
      <c r="D710" s="9">
        <v>0</v>
      </c>
      <c r="E710" s="9">
        <v>0</v>
      </c>
      <c r="F710" s="9">
        <v>0</v>
      </c>
      <c r="G710" s="9">
        <v>0</v>
      </c>
      <c r="H710" s="9">
        <v>0</v>
      </c>
      <c r="I710" s="9">
        <v>0</v>
      </c>
      <c r="J710" s="9">
        <v>0</v>
      </c>
      <c r="K710" s="9">
        <v>0</v>
      </c>
      <c r="L710" s="9">
        <v>0</v>
      </c>
      <c r="M710" s="9">
        <v>0</v>
      </c>
      <c r="N710" s="9">
        <v>0</v>
      </c>
      <c r="O710" s="9">
        <v>0</v>
      </c>
      <c r="P710" s="9">
        <v>0</v>
      </c>
      <c r="Q710" s="9">
        <f>MAX(-20,MIN(10,$A710-VLOOKUP(YEAR($A710),'Festive dates'!$A$2:$J$5,8,FALSE)))</f>
        <v>-20</v>
      </c>
      <c r="R710" s="9">
        <f>IF(AND($A710&gt;VLOOKUP(YEAR($A710),'Festive dates'!$A$2:$J$5,2,FALSE),$A710&lt;VLOOKUP(YEAR($A710),'Festive dates'!$A$2:$J$5,3,FALSE)),1,0)</f>
        <v>0</v>
      </c>
      <c r="S710" s="9">
        <f>IF($A710=VLOOKUP(YEAR($A710),'Festive dates'!$A$2:$J$5,2,FALSE),1,0)</f>
        <v>0</v>
      </c>
      <c r="T710" s="9">
        <f>IF($A710=VLOOKUP(YEAR($A710),'Festive dates'!$A$2:$J$5,3,FALSE),1,0)</f>
        <v>0</v>
      </c>
      <c r="U710" s="9">
        <f>IF($A710=VLOOKUP(YEAR($A710),'Festive dates'!$A$2:$J$5,4,FALSE),1,0)</f>
        <v>0</v>
      </c>
      <c r="V710" s="9">
        <f>IF(AND($A710&gt;=VLOOKUP(YEAR($A710),'Festive dates'!$A$2:$J$5,9,FALSE),$A710&lt;=VLOOKUP(YEAR($A710),'Festive dates'!$A$2:$J$5,10,FALSE)),1,0)</f>
        <v>0</v>
      </c>
      <c r="W710" s="9">
        <f>IF($A710=VLOOKUP(YEAR($A710),'Festive dates'!$A$2:$J$5,7,FALSE),1,0)</f>
        <v>0</v>
      </c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</row>
    <row r="711" spans="1:51">
      <c r="A711" s="8">
        <v>45726</v>
      </c>
      <c r="B711" s="9">
        <v>0</v>
      </c>
      <c r="C711" s="9">
        <v>0</v>
      </c>
      <c r="D711" s="9">
        <v>0</v>
      </c>
      <c r="E711" s="9">
        <v>0</v>
      </c>
      <c r="F711" s="9">
        <v>0</v>
      </c>
      <c r="G711" s="9">
        <v>0</v>
      </c>
      <c r="H711" s="9">
        <v>0</v>
      </c>
      <c r="I711" s="9">
        <v>0</v>
      </c>
      <c r="J711" s="9">
        <v>0</v>
      </c>
      <c r="K711" s="9">
        <v>0</v>
      </c>
      <c r="L711" s="9">
        <v>0</v>
      </c>
      <c r="M711" s="9">
        <v>0</v>
      </c>
      <c r="N711" s="9">
        <v>0</v>
      </c>
      <c r="O711" s="9">
        <v>0</v>
      </c>
      <c r="P711" s="9">
        <v>0</v>
      </c>
      <c r="Q711" s="9">
        <f>MAX(-20,MIN(10,$A711-VLOOKUP(YEAR($A711),'Festive dates'!$A$2:$J$5,8,FALSE)))</f>
        <v>-20</v>
      </c>
      <c r="R711" s="9">
        <f>IF(AND($A711&gt;VLOOKUP(YEAR($A711),'Festive dates'!$A$2:$J$5,2,FALSE),$A711&lt;VLOOKUP(YEAR($A711),'Festive dates'!$A$2:$J$5,3,FALSE)),1,0)</f>
        <v>0</v>
      </c>
      <c r="S711" s="9">
        <f>IF($A711=VLOOKUP(YEAR($A711),'Festive dates'!$A$2:$J$5,2,FALSE),1,0)</f>
        <v>0</v>
      </c>
      <c r="T711" s="9">
        <f>IF($A711=VLOOKUP(YEAR($A711),'Festive dates'!$A$2:$J$5,3,FALSE),1,0)</f>
        <v>0</v>
      </c>
      <c r="U711" s="9">
        <f>IF($A711=VLOOKUP(YEAR($A711),'Festive dates'!$A$2:$J$5,4,FALSE),1,0)</f>
        <v>0</v>
      </c>
      <c r="V711" s="9">
        <f>IF(AND($A711&gt;=VLOOKUP(YEAR($A711),'Festive dates'!$A$2:$J$5,9,FALSE),$A711&lt;=VLOOKUP(YEAR($A711),'Festive dates'!$A$2:$J$5,10,FALSE)),1,0)</f>
        <v>0</v>
      </c>
      <c r="W711" s="9">
        <f>IF($A711=VLOOKUP(YEAR($A711),'Festive dates'!$A$2:$J$5,7,FALSE),1,0)</f>
        <v>0</v>
      </c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</row>
    <row r="712" spans="1:51">
      <c r="A712" s="8">
        <v>45727</v>
      </c>
      <c r="B712" s="9">
        <v>0</v>
      </c>
      <c r="C712" s="9">
        <v>0</v>
      </c>
      <c r="D712" s="9">
        <v>0</v>
      </c>
      <c r="E712" s="9">
        <v>0</v>
      </c>
      <c r="F712" s="9">
        <v>0</v>
      </c>
      <c r="G712" s="9">
        <v>0</v>
      </c>
      <c r="H712" s="9">
        <v>0</v>
      </c>
      <c r="I712" s="9">
        <v>0</v>
      </c>
      <c r="J712" s="9">
        <v>0</v>
      </c>
      <c r="K712" s="9">
        <v>0</v>
      </c>
      <c r="L712" s="9">
        <v>0</v>
      </c>
      <c r="M712" s="9">
        <v>0</v>
      </c>
      <c r="N712" s="9">
        <v>0</v>
      </c>
      <c r="O712" s="9">
        <v>0</v>
      </c>
      <c r="P712" s="9">
        <v>0</v>
      </c>
      <c r="Q712" s="9">
        <f>MAX(-20,MIN(10,$A712-VLOOKUP(YEAR($A712),'Festive dates'!$A$2:$J$5,8,FALSE)))</f>
        <v>-20</v>
      </c>
      <c r="R712" s="9">
        <f>IF(AND($A712&gt;VLOOKUP(YEAR($A712),'Festive dates'!$A$2:$J$5,2,FALSE),$A712&lt;VLOOKUP(YEAR($A712),'Festive dates'!$A$2:$J$5,3,FALSE)),1,0)</f>
        <v>0</v>
      </c>
      <c r="S712" s="9">
        <f>IF($A712=VLOOKUP(YEAR($A712),'Festive dates'!$A$2:$J$5,2,FALSE),1,0)</f>
        <v>0</v>
      </c>
      <c r="T712" s="9">
        <f>IF($A712=VLOOKUP(YEAR($A712),'Festive dates'!$A$2:$J$5,3,FALSE),1,0)</f>
        <v>0</v>
      </c>
      <c r="U712" s="9">
        <f>IF($A712=VLOOKUP(YEAR($A712),'Festive dates'!$A$2:$J$5,4,FALSE),1,0)</f>
        <v>0</v>
      </c>
      <c r="V712" s="9">
        <f>IF(AND($A712&gt;=VLOOKUP(YEAR($A712),'Festive dates'!$A$2:$J$5,9,FALSE),$A712&lt;=VLOOKUP(YEAR($A712),'Festive dates'!$A$2:$J$5,10,FALSE)),1,0)</f>
        <v>0</v>
      </c>
      <c r="W712" s="9">
        <f>IF($A712=VLOOKUP(YEAR($A712),'Festive dates'!$A$2:$J$5,7,FALSE),1,0)</f>
        <v>0</v>
      </c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</row>
    <row r="713" spans="1:51">
      <c r="A713" s="8">
        <v>45728</v>
      </c>
      <c r="B713" s="9">
        <v>0</v>
      </c>
      <c r="C713" s="9">
        <v>0</v>
      </c>
      <c r="D713" s="9">
        <v>0</v>
      </c>
      <c r="E713" s="9">
        <v>0</v>
      </c>
      <c r="F713" s="9">
        <v>0</v>
      </c>
      <c r="G713" s="9">
        <v>0</v>
      </c>
      <c r="H713" s="9">
        <v>0</v>
      </c>
      <c r="I713" s="9">
        <v>0</v>
      </c>
      <c r="J713" s="9">
        <v>0</v>
      </c>
      <c r="K713" s="9">
        <v>0</v>
      </c>
      <c r="L713" s="9">
        <v>0</v>
      </c>
      <c r="M713" s="9">
        <v>0</v>
      </c>
      <c r="N713" s="9">
        <v>0</v>
      </c>
      <c r="O713" s="9">
        <v>0</v>
      </c>
      <c r="P713" s="9">
        <v>0</v>
      </c>
      <c r="Q713" s="9">
        <f>MAX(-20,MIN(10,$A713-VLOOKUP(YEAR($A713),'Festive dates'!$A$2:$J$5,8,FALSE)))</f>
        <v>-20</v>
      </c>
      <c r="R713" s="9">
        <f>IF(AND($A713&gt;VLOOKUP(YEAR($A713),'Festive dates'!$A$2:$J$5,2,FALSE),$A713&lt;VLOOKUP(YEAR($A713),'Festive dates'!$A$2:$J$5,3,FALSE)),1,0)</f>
        <v>0</v>
      </c>
      <c r="S713" s="9">
        <f>IF($A713=VLOOKUP(YEAR($A713),'Festive dates'!$A$2:$J$5,2,FALSE),1,0)</f>
        <v>0</v>
      </c>
      <c r="T713" s="9">
        <f>IF($A713=VLOOKUP(YEAR($A713),'Festive dates'!$A$2:$J$5,3,FALSE),1,0)</f>
        <v>0</v>
      </c>
      <c r="U713" s="9">
        <f>IF($A713=VLOOKUP(YEAR($A713),'Festive dates'!$A$2:$J$5,4,FALSE),1,0)</f>
        <v>0</v>
      </c>
      <c r="V713" s="9">
        <f>IF(AND($A713&gt;=VLOOKUP(YEAR($A713),'Festive dates'!$A$2:$J$5,9,FALSE),$A713&lt;=VLOOKUP(YEAR($A713),'Festive dates'!$A$2:$J$5,10,FALSE)),1,0)</f>
        <v>0</v>
      </c>
      <c r="W713" s="9">
        <f>IF($A713=VLOOKUP(YEAR($A713),'Festive dates'!$A$2:$J$5,7,FALSE),1,0)</f>
        <v>0</v>
      </c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</row>
    <row r="714" spans="1:51">
      <c r="A714" s="8">
        <v>45729</v>
      </c>
      <c r="B714" s="9">
        <v>0</v>
      </c>
      <c r="C714" s="9">
        <v>0</v>
      </c>
      <c r="D714" s="9">
        <v>0</v>
      </c>
      <c r="E714" s="9">
        <v>0</v>
      </c>
      <c r="F714" s="9">
        <v>0</v>
      </c>
      <c r="G714" s="9">
        <v>0</v>
      </c>
      <c r="H714" s="9">
        <v>0</v>
      </c>
      <c r="I714" s="9">
        <v>0</v>
      </c>
      <c r="J714" s="9">
        <v>0</v>
      </c>
      <c r="K714" s="9">
        <v>0</v>
      </c>
      <c r="L714" s="9">
        <v>0</v>
      </c>
      <c r="M714" s="9">
        <v>0</v>
      </c>
      <c r="N714" s="9">
        <v>0</v>
      </c>
      <c r="O714" s="9">
        <v>0</v>
      </c>
      <c r="P714" s="9">
        <v>0</v>
      </c>
      <c r="Q714" s="9">
        <f>MAX(-20,MIN(10,$A714-VLOOKUP(YEAR($A714),'Festive dates'!$A$2:$J$5,8,FALSE)))</f>
        <v>-20</v>
      </c>
      <c r="R714" s="9">
        <f>IF(AND($A714&gt;VLOOKUP(YEAR($A714),'Festive dates'!$A$2:$J$5,2,FALSE),$A714&lt;VLOOKUP(YEAR($A714),'Festive dates'!$A$2:$J$5,3,FALSE)),1,0)</f>
        <v>0</v>
      </c>
      <c r="S714" s="9">
        <f>IF($A714=VLOOKUP(YEAR($A714),'Festive dates'!$A$2:$J$5,2,FALSE),1,0)</f>
        <v>0</v>
      </c>
      <c r="T714" s="9">
        <f>IF($A714=VLOOKUP(YEAR($A714),'Festive dates'!$A$2:$J$5,3,FALSE),1,0)</f>
        <v>0</v>
      </c>
      <c r="U714" s="9">
        <f>IF($A714=VLOOKUP(YEAR($A714),'Festive dates'!$A$2:$J$5,4,FALSE),1,0)</f>
        <v>0</v>
      </c>
      <c r="V714" s="9">
        <f>IF(AND($A714&gt;=VLOOKUP(YEAR($A714),'Festive dates'!$A$2:$J$5,9,FALSE),$A714&lt;=VLOOKUP(YEAR($A714),'Festive dates'!$A$2:$J$5,10,FALSE)),1,0)</f>
        <v>0</v>
      </c>
      <c r="W714" s="9">
        <f>IF($A714=VLOOKUP(YEAR($A714),'Festive dates'!$A$2:$J$5,7,FALSE),1,0)</f>
        <v>0</v>
      </c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</row>
    <row r="715" spans="1:51">
      <c r="A715" s="8">
        <v>45730</v>
      </c>
      <c r="B715" s="9">
        <v>0</v>
      </c>
      <c r="C715" s="9">
        <v>0</v>
      </c>
      <c r="D715" s="9">
        <v>0</v>
      </c>
      <c r="E715" s="9">
        <v>0</v>
      </c>
      <c r="F715" s="9">
        <v>0</v>
      </c>
      <c r="G715" s="9">
        <v>0</v>
      </c>
      <c r="H715" s="9">
        <v>0</v>
      </c>
      <c r="I715" s="9">
        <v>0</v>
      </c>
      <c r="J715" s="9">
        <v>0</v>
      </c>
      <c r="K715" s="9">
        <v>0</v>
      </c>
      <c r="L715" s="9">
        <v>0</v>
      </c>
      <c r="M715" s="9">
        <v>0</v>
      </c>
      <c r="N715" s="9">
        <v>0</v>
      </c>
      <c r="O715" s="9">
        <v>0</v>
      </c>
      <c r="P715" s="9">
        <v>0</v>
      </c>
      <c r="Q715" s="9">
        <f>MAX(-20,MIN(10,$A715-VLOOKUP(YEAR($A715),'Festive dates'!$A$2:$J$5,8,FALSE)))</f>
        <v>-20</v>
      </c>
      <c r="R715" s="9">
        <f>IF(AND($A715&gt;VLOOKUP(YEAR($A715),'Festive dates'!$A$2:$J$5,2,FALSE),$A715&lt;VLOOKUP(YEAR($A715),'Festive dates'!$A$2:$J$5,3,FALSE)),1,0)</f>
        <v>0</v>
      </c>
      <c r="S715" s="9">
        <f>IF($A715=VLOOKUP(YEAR($A715),'Festive dates'!$A$2:$J$5,2,FALSE),1,0)</f>
        <v>0</v>
      </c>
      <c r="T715" s="9">
        <f>IF($A715=VLOOKUP(YEAR($A715),'Festive dates'!$A$2:$J$5,3,FALSE),1,0)</f>
        <v>0</v>
      </c>
      <c r="U715" s="9">
        <f>IF($A715=VLOOKUP(YEAR($A715),'Festive dates'!$A$2:$J$5,4,FALSE),1,0)</f>
        <v>0</v>
      </c>
      <c r="V715" s="9">
        <f>IF(AND($A715&gt;=VLOOKUP(YEAR($A715),'Festive dates'!$A$2:$J$5,9,FALSE),$A715&lt;=VLOOKUP(YEAR($A715),'Festive dates'!$A$2:$J$5,10,FALSE)),1,0)</f>
        <v>0</v>
      </c>
      <c r="W715" s="9">
        <f>IF($A715=VLOOKUP(YEAR($A715),'Festive dates'!$A$2:$J$5,7,FALSE),1,0)</f>
        <v>0</v>
      </c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</row>
    <row r="716" spans="1:51">
      <c r="A716" s="8">
        <v>45731</v>
      </c>
      <c r="B716" s="9">
        <v>0</v>
      </c>
      <c r="C716" s="9">
        <v>0</v>
      </c>
      <c r="D716" s="9">
        <v>0</v>
      </c>
      <c r="E716" s="9">
        <v>0</v>
      </c>
      <c r="F716" s="9">
        <v>0</v>
      </c>
      <c r="G716" s="9">
        <v>0</v>
      </c>
      <c r="H716" s="9">
        <v>0</v>
      </c>
      <c r="I716" s="9">
        <v>0</v>
      </c>
      <c r="J716" s="9">
        <v>0</v>
      </c>
      <c r="K716" s="9">
        <v>0</v>
      </c>
      <c r="L716" s="9">
        <v>0</v>
      </c>
      <c r="M716" s="9">
        <v>0</v>
      </c>
      <c r="N716" s="9">
        <v>0</v>
      </c>
      <c r="O716" s="9">
        <v>0</v>
      </c>
      <c r="P716" s="9">
        <v>0</v>
      </c>
      <c r="Q716" s="9">
        <f>MAX(-20,MIN(10,$A716-VLOOKUP(YEAR($A716),'Festive dates'!$A$2:$J$5,8,FALSE)))</f>
        <v>-20</v>
      </c>
      <c r="R716" s="9">
        <f>IF(AND($A716&gt;VLOOKUP(YEAR($A716),'Festive dates'!$A$2:$J$5,2,FALSE),$A716&lt;VLOOKUP(YEAR($A716),'Festive dates'!$A$2:$J$5,3,FALSE)),1,0)</f>
        <v>0</v>
      </c>
      <c r="S716" s="9">
        <f>IF($A716=VLOOKUP(YEAR($A716),'Festive dates'!$A$2:$J$5,2,FALSE),1,0)</f>
        <v>0</v>
      </c>
      <c r="T716" s="9">
        <f>IF($A716=VLOOKUP(YEAR($A716),'Festive dates'!$A$2:$J$5,3,FALSE),1,0)</f>
        <v>0</v>
      </c>
      <c r="U716" s="9">
        <f>IF($A716=VLOOKUP(YEAR($A716),'Festive dates'!$A$2:$J$5,4,FALSE),1,0)</f>
        <v>0</v>
      </c>
      <c r="V716" s="9">
        <f>IF(AND($A716&gt;=VLOOKUP(YEAR($A716),'Festive dates'!$A$2:$J$5,9,FALSE),$A716&lt;=VLOOKUP(YEAR($A716),'Festive dates'!$A$2:$J$5,10,FALSE)),1,0)</f>
        <v>0</v>
      </c>
      <c r="W716" s="9">
        <f>IF($A716=VLOOKUP(YEAR($A716),'Festive dates'!$A$2:$J$5,7,FALSE),1,0)</f>
        <v>0</v>
      </c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</row>
    <row r="717" spans="1:51">
      <c r="A717" s="8">
        <v>45732</v>
      </c>
      <c r="B717" s="9">
        <v>0</v>
      </c>
      <c r="C717" s="9">
        <v>0</v>
      </c>
      <c r="D717" s="9">
        <v>0</v>
      </c>
      <c r="E717" s="9">
        <v>0</v>
      </c>
      <c r="F717" s="9">
        <v>0</v>
      </c>
      <c r="G717" s="9">
        <v>0</v>
      </c>
      <c r="H717" s="9">
        <v>0</v>
      </c>
      <c r="I717" s="9">
        <v>0</v>
      </c>
      <c r="J717" s="9">
        <v>0</v>
      </c>
      <c r="K717" s="9">
        <v>0</v>
      </c>
      <c r="L717" s="9">
        <v>0</v>
      </c>
      <c r="M717" s="9">
        <v>0</v>
      </c>
      <c r="N717" s="9">
        <v>0</v>
      </c>
      <c r="O717" s="9">
        <v>0</v>
      </c>
      <c r="P717" s="9">
        <v>0</v>
      </c>
      <c r="Q717" s="9">
        <f>MAX(-20,MIN(10,$A717-VLOOKUP(YEAR($A717),'Festive dates'!$A$2:$J$5,8,FALSE)))</f>
        <v>-20</v>
      </c>
      <c r="R717" s="9">
        <f>IF(AND($A717&gt;VLOOKUP(YEAR($A717),'Festive dates'!$A$2:$J$5,2,FALSE),$A717&lt;VLOOKUP(YEAR($A717),'Festive dates'!$A$2:$J$5,3,FALSE)),1,0)</f>
        <v>0</v>
      </c>
      <c r="S717" s="9">
        <f>IF($A717=VLOOKUP(YEAR($A717),'Festive dates'!$A$2:$J$5,2,FALSE),1,0)</f>
        <v>0</v>
      </c>
      <c r="T717" s="9">
        <f>IF($A717=VLOOKUP(YEAR($A717),'Festive dates'!$A$2:$J$5,3,FALSE),1,0)</f>
        <v>0</v>
      </c>
      <c r="U717" s="9">
        <f>IF($A717=VLOOKUP(YEAR($A717),'Festive dates'!$A$2:$J$5,4,FALSE),1,0)</f>
        <v>0</v>
      </c>
      <c r="V717" s="9">
        <f>IF(AND($A717&gt;=VLOOKUP(YEAR($A717),'Festive dates'!$A$2:$J$5,9,FALSE),$A717&lt;=VLOOKUP(YEAR($A717),'Festive dates'!$A$2:$J$5,10,FALSE)),1,0)</f>
        <v>0</v>
      </c>
      <c r="W717" s="9">
        <f>IF($A717=VLOOKUP(YEAR($A717),'Festive dates'!$A$2:$J$5,7,FALSE),1,0)</f>
        <v>0</v>
      </c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</row>
    <row r="718" spans="1:51">
      <c r="A718" s="8">
        <v>45733</v>
      </c>
      <c r="B718" s="9">
        <v>0</v>
      </c>
      <c r="C718" s="9">
        <v>0</v>
      </c>
      <c r="D718" s="9">
        <v>0</v>
      </c>
      <c r="E718" s="9">
        <v>0</v>
      </c>
      <c r="F718" s="9">
        <v>0</v>
      </c>
      <c r="G718" s="9">
        <v>0</v>
      </c>
      <c r="H718" s="9">
        <v>0</v>
      </c>
      <c r="I718" s="9">
        <v>0</v>
      </c>
      <c r="J718" s="9">
        <v>0</v>
      </c>
      <c r="K718" s="9">
        <v>0</v>
      </c>
      <c r="L718" s="9">
        <v>0</v>
      </c>
      <c r="M718" s="9">
        <v>0</v>
      </c>
      <c r="N718" s="9">
        <v>0</v>
      </c>
      <c r="O718" s="9">
        <v>0</v>
      </c>
      <c r="P718" s="9">
        <v>0</v>
      </c>
      <c r="Q718" s="9">
        <f>MAX(-20,MIN(10,$A718-VLOOKUP(YEAR($A718),'Festive dates'!$A$2:$J$5,8,FALSE)))</f>
        <v>-20</v>
      </c>
      <c r="R718" s="9">
        <f>IF(AND($A718&gt;VLOOKUP(YEAR($A718),'Festive dates'!$A$2:$J$5,2,FALSE),$A718&lt;VLOOKUP(YEAR($A718),'Festive dates'!$A$2:$J$5,3,FALSE)),1,0)</f>
        <v>0</v>
      </c>
      <c r="S718" s="9">
        <f>IF($A718=VLOOKUP(YEAR($A718),'Festive dates'!$A$2:$J$5,2,FALSE),1,0)</f>
        <v>0</v>
      </c>
      <c r="T718" s="9">
        <f>IF($A718=VLOOKUP(YEAR($A718),'Festive dates'!$A$2:$J$5,3,FALSE),1,0)</f>
        <v>0</v>
      </c>
      <c r="U718" s="9">
        <f>IF($A718=VLOOKUP(YEAR($A718),'Festive dates'!$A$2:$J$5,4,FALSE),1,0)</f>
        <v>0</v>
      </c>
      <c r="V718" s="9">
        <f>IF(AND($A718&gt;=VLOOKUP(YEAR($A718),'Festive dates'!$A$2:$J$5,9,FALSE),$A718&lt;=VLOOKUP(YEAR($A718),'Festive dates'!$A$2:$J$5,10,FALSE)),1,0)</f>
        <v>0</v>
      </c>
      <c r="W718" s="9">
        <f>IF($A718=VLOOKUP(YEAR($A718),'Festive dates'!$A$2:$J$5,7,FALSE),1,0)</f>
        <v>0</v>
      </c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</row>
    <row r="719" spans="1:51">
      <c r="A719" s="8">
        <v>45734</v>
      </c>
      <c r="B719" s="9">
        <v>0</v>
      </c>
      <c r="C719" s="9">
        <v>0</v>
      </c>
      <c r="D719" s="9">
        <v>0</v>
      </c>
      <c r="E719" s="9">
        <v>0</v>
      </c>
      <c r="F719" s="9">
        <v>0</v>
      </c>
      <c r="G719" s="9">
        <v>0</v>
      </c>
      <c r="H719" s="9">
        <v>0</v>
      </c>
      <c r="I719" s="9">
        <v>0</v>
      </c>
      <c r="J719" s="9">
        <v>0</v>
      </c>
      <c r="K719" s="9">
        <v>0</v>
      </c>
      <c r="L719" s="9">
        <v>0</v>
      </c>
      <c r="M719" s="9">
        <v>0</v>
      </c>
      <c r="N719" s="9">
        <v>0</v>
      </c>
      <c r="O719" s="9">
        <v>0</v>
      </c>
      <c r="P719" s="9">
        <v>0</v>
      </c>
      <c r="Q719" s="9">
        <f>MAX(-20,MIN(10,$A719-VLOOKUP(YEAR($A719),'Festive dates'!$A$2:$J$5,8,FALSE)))</f>
        <v>-20</v>
      </c>
      <c r="R719" s="9">
        <f>IF(AND($A719&gt;VLOOKUP(YEAR($A719),'Festive dates'!$A$2:$J$5,2,FALSE),$A719&lt;VLOOKUP(YEAR($A719),'Festive dates'!$A$2:$J$5,3,FALSE)),1,0)</f>
        <v>0</v>
      </c>
      <c r="S719" s="9">
        <f>IF($A719=VLOOKUP(YEAR($A719),'Festive dates'!$A$2:$J$5,2,FALSE),1,0)</f>
        <v>0</v>
      </c>
      <c r="T719" s="9">
        <f>IF($A719=VLOOKUP(YEAR($A719),'Festive dates'!$A$2:$J$5,3,FALSE),1,0)</f>
        <v>0</v>
      </c>
      <c r="U719" s="9">
        <f>IF($A719=VLOOKUP(YEAR($A719),'Festive dates'!$A$2:$J$5,4,FALSE),1,0)</f>
        <v>0</v>
      </c>
      <c r="V719" s="9">
        <f>IF(AND($A719&gt;=VLOOKUP(YEAR($A719),'Festive dates'!$A$2:$J$5,9,FALSE),$A719&lt;=VLOOKUP(YEAR($A719),'Festive dates'!$A$2:$J$5,10,FALSE)),1,0)</f>
        <v>0</v>
      </c>
      <c r="W719" s="9">
        <f>IF($A719=VLOOKUP(YEAR($A719),'Festive dates'!$A$2:$J$5,7,FALSE),1,0)</f>
        <v>0</v>
      </c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</row>
    <row r="720" spans="1:51">
      <c r="A720" s="8">
        <v>45735</v>
      </c>
      <c r="B720" s="9">
        <v>0</v>
      </c>
      <c r="C720" s="9">
        <v>0</v>
      </c>
      <c r="D720" s="9">
        <v>0</v>
      </c>
      <c r="E720" s="9">
        <v>0</v>
      </c>
      <c r="F720" s="9">
        <v>0</v>
      </c>
      <c r="G720" s="9">
        <v>0</v>
      </c>
      <c r="H720" s="9">
        <v>0</v>
      </c>
      <c r="I720" s="9">
        <v>0</v>
      </c>
      <c r="J720" s="9">
        <v>0</v>
      </c>
      <c r="K720" s="9">
        <v>0</v>
      </c>
      <c r="L720" s="9">
        <v>0</v>
      </c>
      <c r="M720" s="9">
        <v>0</v>
      </c>
      <c r="N720" s="9">
        <v>0</v>
      </c>
      <c r="O720" s="9">
        <v>0</v>
      </c>
      <c r="P720" s="9">
        <v>0</v>
      </c>
      <c r="Q720" s="9">
        <f>MAX(-20,MIN(10,$A720-VLOOKUP(YEAR($A720),'Festive dates'!$A$2:$J$5,8,FALSE)))</f>
        <v>-20</v>
      </c>
      <c r="R720" s="9">
        <f>IF(AND($A720&gt;VLOOKUP(YEAR($A720),'Festive dates'!$A$2:$J$5,2,FALSE),$A720&lt;VLOOKUP(YEAR($A720),'Festive dates'!$A$2:$J$5,3,FALSE)),1,0)</f>
        <v>0</v>
      </c>
      <c r="S720" s="9">
        <f>IF($A720=VLOOKUP(YEAR($A720),'Festive dates'!$A$2:$J$5,2,FALSE),1,0)</f>
        <v>0</v>
      </c>
      <c r="T720" s="9">
        <f>IF($A720=VLOOKUP(YEAR($A720),'Festive dates'!$A$2:$J$5,3,FALSE),1,0)</f>
        <v>0</v>
      </c>
      <c r="U720" s="9">
        <f>IF($A720=VLOOKUP(YEAR($A720),'Festive dates'!$A$2:$J$5,4,FALSE),1,0)</f>
        <v>0</v>
      </c>
      <c r="V720" s="9">
        <f>IF(AND($A720&gt;=VLOOKUP(YEAR($A720),'Festive dates'!$A$2:$J$5,9,FALSE),$A720&lt;=VLOOKUP(YEAR($A720),'Festive dates'!$A$2:$J$5,10,FALSE)),1,0)</f>
        <v>0</v>
      </c>
      <c r="W720" s="9">
        <f>IF($A720=VLOOKUP(YEAR($A720),'Festive dates'!$A$2:$J$5,7,FALSE),1,0)</f>
        <v>0</v>
      </c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</row>
    <row r="721" spans="1:51">
      <c r="A721" s="8">
        <v>45736</v>
      </c>
      <c r="B721" s="9">
        <v>0</v>
      </c>
      <c r="C721" s="9">
        <v>0</v>
      </c>
      <c r="D721" s="9">
        <v>0</v>
      </c>
      <c r="E721" s="9">
        <v>0</v>
      </c>
      <c r="F721" s="9">
        <v>0</v>
      </c>
      <c r="G721" s="9">
        <v>0</v>
      </c>
      <c r="H721" s="9">
        <v>0</v>
      </c>
      <c r="I721" s="9">
        <v>0</v>
      </c>
      <c r="J721" s="9">
        <v>0</v>
      </c>
      <c r="K721" s="9">
        <v>0</v>
      </c>
      <c r="L721" s="9">
        <v>0</v>
      </c>
      <c r="M721" s="9">
        <v>0</v>
      </c>
      <c r="N721" s="9">
        <v>0</v>
      </c>
      <c r="O721" s="9">
        <v>0</v>
      </c>
      <c r="P721" s="9">
        <v>0</v>
      </c>
      <c r="Q721" s="9">
        <f>MAX(-20,MIN(10,$A721-VLOOKUP(YEAR($A721),'Festive dates'!$A$2:$J$5,8,FALSE)))</f>
        <v>-20</v>
      </c>
      <c r="R721" s="9">
        <f>IF(AND($A721&gt;VLOOKUP(YEAR($A721),'Festive dates'!$A$2:$J$5,2,FALSE),$A721&lt;VLOOKUP(YEAR($A721),'Festive dates'!$A$2:$J$5,3,FALSE)),1,0)</f>
        <v>0</v>
      </c>
      <c r="S721" s="9">
        <f>IF($A721=VLOOKUP(YEAR($A721),'Festive dates'!$A$2:$J$5,2,FALSE),1,0)</f>
        <v>0</v>
      </c>
      <c r="T721" s="9">
        <f>IF($A721=VLOOKUP(YEAR($A721),'Festive dates'!$A$2:$J$5,3,FALSE),1,0)</f>
        <v>0</v>
      </c>
      <c r="U721" s="9">
        <f>IF($A721=VLOOKUP(YEAR($A721),'Festive dates'!$A$2:$J$5,4,FALSE),1,0)</f>
        <v>0</v>
      </c>
      <c r="V721" s="9">
        <f>IF(AND($A721&gt;=VLOOKUP(YEAR($A721),'Festive dates'!$A$2:$J$5,9,FALSE),$A721&lt;=VLOOKUP(YEAR($A721),'Festive dates'!$A$2:$J$5,10,FALSE)),1,0)</f>
        <v>0</v>
      </c>
      <c r="W721" s="9">
        <f>IF($A721=VLOOKUP(YEAR($A721),'Festive dates'!$A$2:$J$5,7,FALSE),1,0)</f>
        <v>0</v>
      </c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</row>
    <row r="722" spans="1:51">
      <c r="A722" s="8">
        <v>45737</v>
      </c>
      <c r="B722" s="9">
        <v>0</v>
      </c>
      <c r="C722" s="9">
        <v>0</v>
      </c>
      <c r="D722" s="9">
        <v>0</v>
      </c>
      <c r="E722" s="9">
        <v>0</v>
      </c>
      <c r="F722" s="9">
        <v>0</v>
      </c>
      <c r="G722" s="9">
        <v>0</v>
      </c>
      <c r="H722" s="9">
        <v>0</v>
      </c>
      <c r="I722" s="9">
        <v>0</v>
      </c>
      <c r="J722" s="9">
        <v>0</v>
      </c>
      <c r="K722" s="9">
        <v>0</v>
      </c>
      <c r="L722" s="9">
        <v>0</v>
      </c>
      <c r="M722" s="9">
        <v>0</v>
      </c>
      <c r="N722" s="9">
        <v>0</v>
      </c>
      <c r="O722" s="9">
        <v>0</v>
      </c>
      <c r="P722" s="9">
        <v>0</v>
      </c>
      <c r="Q722" s="9">
        <f>MAX(-20,MIN(10,$A722-VLOOKUP(YEAR($A722),'Festive dates'!$A$2:$J$5,8,FALSE)))</f>
        <v>-20</v>
      </c>
      <c r="R722" s="9">
        <f>IF(AND($A722&gt;VLOOKUP(YEAR($A722),'Festive dates'!$A$2:$J$5,2,FALSE),$A722&lt;VLOOKUP(YEAR($A722),'Festive dates'!$A$2:$J$5,3,FALSE)),1,0)</f>
        <v>0</v>
      </c>
      <c r="S722" s="9">
        <f>IF($A722=VLOOKUP(YEAR($A722),'Festive dates'!$A$2:$J$5,2,FALSE),1,0)</f>
        <v>0</v>
      </c>
      <c r="T722" s="9">
        <f>IF($A722=VLOOKUP(YEAR($A722),'Festive dates'!$A$2:$J$5,3,FALSE),1,0)</f>
        <v>0</v>
      </c>
      <c r="U722" s="9">
        <f>IF($A722=VLOOKUP(YEAR($A722),'Festive dates'!$A$2:$J$5,4,FALSE),1,0)</f>
        <v>0</v>
      </c>
      <c r="V722" s="9">
        <f>IF(AND($A722&gt;=VLOOKUP(YEAR($A722),'Festive dates'!$A$2:$J$5,9,FALSE),$A722&lt;=VLOOKUP(YEAR($A722),'Festive dates'!$A$2:$J$5,10,FALSE)),1,0)</f>
        <v>0</v>
      </c>
      <c r="W722" s="9">
        <f>IF($A722=VLOOKUP(YEAR($A722),'Festive dates'!$A$2:$J$5,7,FALSE),1,0)</f>
        <v>0</v>
      </c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</row>
    <row r="723" spans="1:51">
      <c r="A723" s="8">
        <v>45738</v>
      </c>
      <c r="B723" s="9">
        <v>0</v>
      </c>
      <c r="C723" s="9">
        <v>0</v>
      </c>
      <c r="D723" s="9">
        <v>0</v>
      </c>
      <c r="E723" s="9">
        <v>0</v>
      </c>
      <c r="F723" s="9">
        <v>0</v>
      </c>
      <c r="G723" s="9">
        <v>0</v>
      </c>
      <c r="H723" s="9">
        <v>0</v>
      </c>
      <c r="I723" s="9">
        <v>0</v>
      </c>
      <c r="J723" s="9">
        <v>0</v>
      </c>
      <c r="K723" s="9">
        <v>0</v>
      </c>
      <c r="L723" s="9">
        <v>0</v>
      </c>
      <c r="M723" s="9">
        <v>0</v>
      </c>
      <c r="N723" s="9">
        <v>0</v>
      </c>
      <c r="O723" s="9">
        <v>0</v>
      </c>
      <c r="P723" s="9">
        <v>0</v>
      </c>
      <c r="Q723" s="9">
        <f>MAX(-20,MIN(10,$A723-VLOOKUP(YEAR($A723),'Festive dates'!$A$2:$J$5,8,FALSE)))</f>
        <v>-20</v>
      </c>
      <c r="R723" s="9">
        <f>IF(AND($A723&gt;VLOOKUP(YEAR($A723),'Festive dates'!$A$2:$J$5,2,FALSE),$A723&lt;VLOOKUP(YEAR($A723),'Festive dates'!$A$2:$J$5,3,FALSE)),1,0)</f>
        <v>0</v>
      </c>
      <c r="S723" s="9">
        <f>IF($A723=VLOOKUP(YEAR($A723),'Festive dates'!$A$2:$J$5,2,FALSE),1,0)</f>
        <v>0</v>
      </c>
      <c r="T723" s="9">
        <f>IF($A723=VLOOKUP(YEAR($A723),'Festive dates'!$A$2:$J$5,3,FALSE),1,0)</f>
        <v>0</v>
      </c>
      <c r="U723" s="9">
        <f>IF($A723=VLOOKUP(YEAR($A723),'Festive dates'!$A$2:$J$5,4,FALSE),1,0)</f>
        <v>0</v>
      </c>
      <c r="V723" s="9">
        <f>IF(AND($A723&gt;=VLOOKUP(YEAR($A723),'Festive dates'!$A$2:$J$5,9,FALSE),$A723&lt;=VLOOKUP(YEAR($A723),'Festive dates'!$A$2:$J$5,10,FALSE)),1,0)</f>
        <v>0</v>
      </c>
      <c r="W723" s="9">
        <f>IF($A723=VLOOKUP(YEAR($A723),'Festive dates'!$A$2:$J$5,7,FALSE),1,0)</f>
        <v>0</v>
      </c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</row>
    <row r="724" spans="1:51">
      <c r="A724" s="8">
        <v>45739</v>
      </c>
      <c r="B724" s="9">
        <v>0</v>
      </c>
      <c r="C724" s="9">
        <v>0</v>
      </c>
      <c r="D724" s="9">
        <v>0</v>
      </c>
      <c r="E724" s="9">
        <v>0</v>
      </c>
      <c r="F724" s="9">
        <v>0</v>
      </c>
      <c r="G724" s="9">
        <v>0</v>
      </c>
      <c r="H724" s="9">
        <v>0</v>
      </c>
      <c r="I724" s="9">
        <v>0</v>
      </c>
      <c r="J724" s="9">
        <v>0</v>
      </c>
      <c r="K724" s="9">
        <v>0</v>
      </c>
      <c r="L724" s="9">
        <v>0</v>
      </c>
      <c r="M724" s="9">
        <v>0</v>
      </c>
      <c r="N724" s="9">
        <v>0</v>
      </c>
      <c r="O724" s="9">
        <v>0</v>
      </c>
      <c r="P724" s="9">
        <v>0</v>
      </c>
      <c r="Q724" s="9">
        <f>MAX(-20,MIN(10,$A724-VLOOKUP(YEAR($A724),'Festive dates'!$A$2:$J$5,8,FALSE)))</f>
        <v>-20</v>
      </c>
      <c r="R724" s="9">
        <f>IF(AND($A724&gt;VLOOKUP(YEAR($A724),'Festive dates'!$A$2:$J$5,2,FALSE),$A724&lt;VLOOKUP(YEAR($A724),'Festive dates'!$A$2:$J$5,3,FALSE)),1,0)</f>
        <v>0</v>
      </c>
      <c r="S724" s="9">
        <f>IF($A724=VLOOKUP(YEAR($A724),'Festive dates'!$A$2:$J$5,2,FALSE),1,0)</f>
        <v>0</v>
      </c>
      <c r="T724" s="9">
        <f>IF($A724=VLOOKUP(YEAR($A724),'Festive dates'!$A$2:$J$5,3,FALSE),1,0)</f>
        <v>0</v>
      </c>
      <c r="U724" s="9">
        <f>IF($A724=VLOOKUP(YEAR($A724),'Festive dates'!$A$2:$J$5,4,FALSE),1,0)</f>
        <v>0</v>
      </c>
      <c r="V724" s="9">
        <f>IF(AND($A724&gt;=VLOOKUP(YEAR($A724),'Festive dates'!$A$2:$J$5,9,FALSE),$A724&lt;=VLOOKUP(YEAR($A724),'Festive dates'!$A$2:$J$5,10,FALSE)),1,0)</f>
        <v>0</v>
      </c>
      <c r="W724" s="9">
        <f>IF($A724=VLOOKUP(YEAR($A724),'Festive dates'!$A$2:$J$5,7,FALSE),1,0)</f>
        <v>0</v>
      </c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</row>
    <row r="725" spans="1:51">
      <c r="A725" s="8">
        <v>45740</v>
      </c>
      <c r="B725" s="9">
        <v>0</v>
      </c>
      <c r="C725" s="9">
        <v>0</v>
      </c>
      <c r="D725" s="9">
        <v>0</v>
      </c>
      <c r="E725" s="9">
        <v>0</v>
      </c>
      <c r="F725" s="9">
        <v>0</v>
      </c>
      <c r="G725" s="9">
        <v>0</v>
      </c>
      <c r="H725" s="9">
        <v>0</v>
      </c>
      <c r="I725" s="9">
        <v>0</v>
      </c>
      <c r="J725" s="9">
        <v>0</v>
      </c>
      <c r="K725" s="9">
        <v>0</v>
      </c>
      <c r="L725" s="9">
        <v>0</v>
      </c>
      <c r="M725" s="9">
        <v>0</v>
      </c>
      <c r="N725" s="9">
        <v>0</v>
      </c>
      <c r="O725" s="9">
        <v>0</v>
      </c>
      <c r="P725" s="9">
        <v>0</v>
      </c>
      <c r="Q725" s="9">
        <f>MAX(-20,MIN(10,$A725-VLOOKUP(YEAR($A725),'Festive dates'!$A$2:$J$5,8,FALSE)))</f>
        <v>-20</v>
      </c>
      <c r="R725" s="9">
        <f>IF(AND($A725&gt;VLOOKUP(YEAR($A725),'Festive dates'!$A$2:$J$5,2,FALSE),$A725&lt;VLOOKUP(YEAR($A725),'Festive dates'!$A$2:$J$5,3,FALSE)),1,0)</f>
        <v>0</v>
      </c>
      <c r="S725" s="9">
        <f>IF($A725=VLOOKUP(YEAR($A725),'Festive dates'!$A$2:$J$5,2,FALSE),1,0)</f>
        <v>0</v>
      </c>
      <c r="T725" s="9">
        <f>IF($A725=VLOOKUP(YEAR($A725),'Festive dates'!$A$2:$J$5,3,FALSE),1,0)</f>
        <v>0</v>
      </c>
      <c r="U725" s="9">
        <f>IF($A725=VLOOKUP(YEAR($A725),'Festive dates'!$A$2:$J$5,4,FALSE),1,0)</f>
        <v>0</v>
      </c>
      <c r="V725" s="9">
        <f>IF(AND($A725&gt;=VLOOKUP(YEAR($A725),'Festive dates'!$A$2:$J$5,9,FALSE),$A725&lt;=VLOOKUP(YEAR($A725),'Festive dates'!$A$2:$J$5,10,FALSE)),1,0)</f>
        <v>0</v>
      </c>
      <c r="W725" s="9">
        <f>IF($A725=VLOOKUP(YEAR($A725),'Festive dates'!$A$2:$J$5,7,FALSE),1,0)</f>
        <v>0</v>
      </c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</row>
    <row r="726" spans="1:51">
      <c r="A726" s="8">
        <v>45741</v>
      </c>
      <c r="B726" s="9">
        <v>0</v>
      </c>
      <c r="C726" s="9">
        <v>0</v>
      </c>
      <c r="D726" s="9">
        <v>0</v>
      </c>
      <c r="E726" s="9">
        <v>0</v>
      </c>
      <c r="F726" s="9">
        <v>0</v>
      </c>
      <c r="G726" s="9">
        <v>0</v>
      </c>
      <c r="H726" s="9">
        <v>0</v>
      </c>
      <c r="I726" s="9">
        <v>0</v>
      </c>
      <c r="J726" s="9">
        <v>0</v>
      </c>
      <c r="K726" s="9">
        <v>0</v>
      </c>
      <c r="L726" s="9">
        <v>0</v>
      </c>
      <c r="M726" s="9">
        <v>0</v>
      </c>
      <c r="N726" s="9">
        <v>0</v>
      </c>
      <c r="O726" s="9">
        <v>0</v>
      </c>
      <c r="P726" s="9">
        <v>0</v>
      </c>
      <c r="Q726" s="9">
        <f>MAX(-20,MIN(10,$A726-VLOOKUP(YEAR($A726),'Festive dates'!$A$2:$J$5,8,FALSE)))</f>
        <v>-20</v>
      </c>
      <c r="R726" s="9">
        <f>IF(AND($A726&gt;VLOOKUP(YEAR($A726),'Festive dates'!$A$2:$J$5,2,FALSE),$A726&lt;VLOOKUP(YEAR($A726),'Festive dates'!$A$2:$J$5,3,FALSE)),1,0)</f>
        <v>0</v>
      </c>
      <c r="S726" s="9">
        <f>IF($A726=VLOOKUP(YEAR($A726),'Festive dates'!$A$2:$J$5,2,FALSE),1,0)</f>
        <v>0</v>
      </c>
      <c r="T726" s="9">
        <f>IF($A726=VLOOKUP(YEAR($A726),'Festive dates'!$A$2:$J$5,3,FALSE),1,0)</f>
        <v>0</v>
      </c>
      <c r="U726" s="9">
        <f>IF($A726=VLOOKUP(YEAR($A726),'Festive dates'!$A$2:$J$5,4,FALSE),1,0)</f>
        <v>0</v>
      </c>
      <c r="V726" s="9">
        <f>IF(AND($A726&gt;=VLOOKUP(YEAR($A726),'Festive dates'!$A$2:$J$5,9,FALSE),$A726&lt;=VLOOKUP(YEAR($A726),'Festive dates'!$A$2:$J$5,10,FALSE)),1,0)</f>
        <v>0</v>
      </c>
      <c r="W726" s="9">
        <f>IF($A726=VLOOKUP(YEAR($A726),'Festive dates'!$A$2:$J$5,7,FALSE),1,0)</f>
        <v>0</v>
      </c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</row>
    <row r="727" spans="1:51">
      <c r="A727" s="8">
        <v>45742</v>
      </c>
      <c r="B727" s="9">
        <v>0</v>
      </c>
      <c r="C727" s="9">
        <v>0</v>
      </c>
      <c r="D727" s="9">
        <v>0</v>
      </c>
      <c r="E727" s="9">
        <v>0</v>
      </c>
      <c r="F727" s="9">
        <v>0</v>
      </c>
      <c r="G727" s="9">
        <v>0</v>
      </c>
      <c r="H727" s="9">
        <v>0</v>
      </c>
      <c r="I727" s="9">
        <v>0</v>
      </c>
      <c r="J727" s="9">
        <v>0</v>
      </c>
      <c r="K727" s="9">
        <v>0</v>
      </c>
      <c r="L727" s="9">
        <v>0</v>
      </c>
      <c r="M727" s="9">
        <v>0</v>
      </c>
      <c r="N727" s="9">
        <v>0</v>
      </c>
      <c r="O727" s="9">
        <v>0</v>
      </c>
      <c r="P727" s="9">
        <v>0</v>
      </c>
      <c r="Q727" s="9">
        <f>MAX(-20,MIN(10,$A727-VLOOKUP(YEAR($A727),'Festive dates'!$A$2:$J$5,8,FALSE)))</f>
        <v>-20</v>
      </c>
      <c r="R727" s="9">
        <f>IF(AND($A727&gt;VLOOKUP(YEAR($A727),'Festive dates'!$A$2:$J$5,2,FALSE),$A727&lt;VLOOKUP(YEAR($A727),'Festive dates'!$A$2:$J$5,3,FALSE)),1,0)</f>
        <v>0</v>
      </c>
      <c r="S727" s="9">
        <f>IF($A727=VLOOKUP(YEAR($A727),'Festive dates'!$A$2:$J$5,2,FALSE),1,0)</f>
        <v>0</v>
      </c>
      <c r="T727" s="9">
        <f>IF($A727=VLOOKUP(YEAR($A727),'Festive dates'!$A$2:$J$5,3,FALSE),1,0)</f>
        <v>0</v>
      </c>
      <c r="U727" s="9">
        <f>IF($A727=VLOOKUP(YEAR($A727),'Festive dates'!$A$2:$J$5,4,FALSE),1,0)</f>
        <v>0</v>
      </c>
      <c r="V727" s="9">
        <f>IF(AND($A727&gt;=VLOOKUP(YEAR($A727),'Festive dates'!$A$2:$J$5,9,FALSE),$A727&lt;=VLOOKUP(YEAR($A727),'Festive dates'!$A$2:$J$5,10,FALSE)),1,0)</f>
        <v>0</v>
      </c>
      <c r="W727" s="9">
        <f>IF($A727=VLOOKUP(YEAR($A727),'Festive dates'!$A$2:$J$5,7,FALSE),1,0)</f>
        <v>0</v>
      </c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</row>
    <row r="728" spans="1:51">
      <c r="A728" s="8">
        <v>45743</v>
      </c>
      <c r="B728" s="9">
        <v>0</v>
      </c>
      <c r="C728" s="9">
        <v>0</v>
      </c>
      <c r="D728" s="9">
        <v>0</v>
      </c>
      <c r="E728" s="9">
        <v>0</v>
      </c>
      <c r="F728" s="9">
        <v>0</v>
      </c>
      <c r="G728" s="9">
        <v>0</v>
      </c>
      <c r="H728" s="9">
        <v>0</v>
      </c>
      <c r="I728" s="9">
        <v>0</v>
      </c>
      <c r="J728" s="9">
        <v>0</v>
      </c>
      <c r="K728" s="9">
        <v>0</v>
      </c>
      <c r="L728" s="9">
        <v>0</v>
      </c>
      <c r="M728" s="9">
        <v>0</v>
      </c>
      <c r="N728" s="9">
        <v>0</v>
      </c>
      <c r="O728" s="9">
        <v>0</v>
      </c>
      <c r="P728" s="9">
        <v>0</v>
      </c>
      <c r="Q728" s="9">
        <f>MAX(-20,MIN(10,$A728-VLOOKUP(YEAR($A728),'Festive dates'!$A$2:$J$5,8,FALSE)))</f>
        <v>-20</v>
      </c>
      <c r="R728" s="9">
        <f>IF(AND($A728&gt;VLOOKUP(YEAR($A728),'Festive dates'!$A$2:$J$5,2,FALSE),$A728&lt;VLOOKUP(YEAR($A728),'Festive dates'!$A$2:$J$5,3,FALSE)),1,0)</f>
        <v>0</v>
      </c>
      <c r="S728" s="9">
        <f>IF($A728=VLOOKUP(YEAR($A728),'Festive dates'!$A$2:$J$5,2,FALSE),1,0)</f>
        <v>0</v>
      </c>
      <c r="T728" s="9">
        <f>IF($A728=VLOOKUP(YEAR($A728),'Festive dates'!$A$2:$J$5,3,FALSE),1,0)</f>
        <v>0</v>
      </c>
      <c r="U728" s="9">
        <f>IF($A728=VLOOKUP(YEAR($A728),'Festive dates'!$A$2:$J$5,4,FALSE),1,0)</f>
        <v>0</v>
      </c>
      <c r="V728" s="9">
        <f>IF(AND($A728&gt;=VLOOKUP(YEAR($A728),'Festive dates'!$A$2:$J$5,9,FALSE),$A728&lt;=VLOOKUP(YEAR($A728),'Festive dates'!$A$2:$J$5,10,FALSE)),1,0)</f>
        <v>0</v>
      </c>
      <c r="W728" s="9">
        <f>IF($A728=VLOOKUP(YEAR($A728),'Festive dates'!$A$2:$J$5,7,FALSE),1,0)</f>
        <v>0</v>
      </c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</row>
    <row r="729" spans="1:51">
      <c r="A729" s="8">
        <v>45744</v>
      </c>
      <c r="B729" s="9">
        <v>0</v>
      </c>
      <c r="C729" s="9">
        <v>0</v>
      </c>
      <c r="D729" s="9">
        <v>0</v>
      </c>
      <c r="E729" s="9">
        <v>0</v>
      </c>
      <c r="F729" s="9">
        <v>0</v>
      </c>
      <c r="G729" s="9">
        <v>0</v>
      </c>
      <c r="H729" s="9">
        <v>0</v>
      </c>
      <c r="I729" s="9">
        <v>0</v>
      </c>
      <c r="J729" s="9">
        <v>0</v>
      </c>
      <c r="K729" s="9">
        <v>0</v>
      </c>
      <c r="L729" s="9">
        <v>0</v>
      </c>
      <c r="M729" s="9">
        <v>0</v>
      </c>
      <c r="N729" s="9">
        <v>0</v>
      </c>
      <c r="O729" s="9">
        <v>0</v>
      </c>
      <c r="P729" s="9">
        <v>0</v>
      </c>
      <c r="Q729" s="9">
        <f>MAX(-20,MIN(10,$A729-VLOOKUP(YEAR($A729),'Festive dates'!$A$2:$J$5,8,FALSE)))</f>
        <v>-20</v>
      </c>
      <c r="R729" s="9">
        <f>IF(AND($A729&gt;VLOOKUP(YEAR($A729),'Festive dates'!$A$2:$J$5,2,FALSE),$A729&lt;VLOOKUP(YEAR($A729),'Festive dates'!$A$2:$J$5,3,FALSE)),1,0)</f>
        <v>0</v>
      </c>
      <c r="S729" s="9">
        <f>IF($A729=VLOOKUP(YEAR($A729),'Festive dates'!$A$2:$J$5,2,FALSE),1,0)</f>
        <v>0</v>
      </c>
      <c r="T729" s="9">
        <f>IF($A729=VLOOKUP(YEAR($A729),'Festive dates'!$A$2:$J$5,3,FALSE),1,0)</f>
        <v>0</v>
      </c>
      <c r="U729" s="9">
        <f>IF($A729=VLOOKUP(YEAR($A729),'Festive dates'!$A$2:$J$5,4,FALSE),1,0)</f>
        <v>0</v>
      </c>
      <c r="V729" s="9">
        <f>IF(AND($A729&gt;=VLOOKUP(YEAR($A729),'Festive dates'!$A$2:$J$5,9,FALSE),$A729&lt;=VLOOKUP(YEAR($A729),'Festive dates'!$A$2:$J$5,10,FALSE)),1,0)</f>
        <v>0</v>
      </c>
      <c r="W729" s="9">
        <f>IF($A729=VLOOKUP(YEAR($A729),'Festive dates'!$A$2:$J$5,7,FALSE),1,0)</f>
        <v>0</v>
      </c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</row>
    <row r="730" spans="1:51">
      <c r="A730" s="8">
        <v>45745</v>
      </c>
      <c r="B730" s="9">
        <v>0</v>
      </c>
      <c r="C730" s="9">
        <v>0</v>
      </c>
      <c r="D730" s="9">
        <v>0</v>
      </c>
      <c r="E730" s="9">
        <v>0</v>
      </c>
      <c r="F730" s="9">
        <v>0</v>
      </c>
      <c r="G730" s="9">
        <v>0</v>
      </c>
      <c r="H730" s="9">
        <v>0</v>
      </c>
      <c r="I730" s="9">
        <v>0</v>
      </c>
      <c r="J730" s="9">
        <v>0</v>
      </c>
      <c r="K730" s="9">
        <v>0</v>
      </c>
      <c r="L730" s="9">
        <v>0</v>
      </c>
      <c r="M730" s="9">
        <v>0</v>
      </c>
      <c r="N730" s="9">
        <v>0</v>
      </c>
      <c r="O730" s="9">
        <v>0</v>
      </c>
      <c r="P730" s="9">
        <v>0</v>
      </c>
      <c r="Q730" s="9">
        <f>MAX(-20,MIN(10,$A730-VLOOKUP(YEAR($A730),'Festive dates'!$A$2:$J$5,8,FALSE)))</f>
        <v>-20</v>
      </c>
      <c r="R730" s="9">
        <f>IF(AND($A730&gt;VLOOKUP(YEAR($A730),'Festive dates'!$A$2:$J$5,2,FALSE),$A730&lt;VLOOKUP(YEAR($A730),'Festive dates'!$A$2:$J$5,3,FALSE)),1,0)</f>
        <v>0</v>
      </c>
      <c r="S730" s="9">
        <f>IF($A730=VLOOKUP(YEAR($A730),'Festive dates'!$A$2:$J$5,2,FALSE),1,0)</f>
        <v>0</v>
      </c>
      <c r="T730" s="9">
        <f>IF($A730=VLOOKUP(YEAR($A730),'Festive dates'!$A$2:$J$5,3,FALSE),1,0)</f>
        <v>0</v>
      </c>
      <c r="U730" s="9">
        <f>IF($A730=VLOOKUP(YEAR($A730),'Festive dates'!$A$2:$J$5,4,FALSE),1,0)</f>
        <v>0</v>
      </c>
      <c r="V730" s="9">
        <f>IF(AND($A730&gt;=VLOOKUP(YEAR($A730),'Festive dates'!$A$2:$J$5,9,FALSE),$A730&lt;=VLOOKUP(YEAR($A730),'Festive dates'!$A$2:$J$5,10,FALSE)),1,0)</f>
        <v>0</v>
      </c>
      <c r="W730" s="9">
        <f>IF($A730=VLOOKUP(YEAR($A730),'Festive dates'!$A$2:$J$5,7,FALSE),1,0)</f>
        <v>0</v>
      </c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</row>
    <row r="731" spans="1:51">
      <c r="A731" s="8">
        <v>45746</v>
      </c>
      <c r="B731" s="9">
        <v>0</v>
      </c>
      <c r="C731" s="9">
        <v>0</v>
      </c>
      <c r="D731" s="9">
        <v>0</v>
      </c>
      <c r="E731" s="9">
        <v>0</v>
      </c>
      <c r="F731" s="9">
        <v>0</v>
      </c>
      <c r="G731" s="9">
        <v>0</v>
      </c>
      <c r="H731" s="9">
        <v>0</v>
      </c>
      <c r="I731" s="9">
        <v>0</v>
      </c>
      <c r="J731" s="9">
        <v>0</v>
      </c>
      <c r="K731" s="9">
        <v>0</v>
      </c>
      <c r="L731" s="9">
        <v>0</v>
      </c>
      <c r="M731" s="9">
        <v>0</v>
      </c>
      <c r="N731" s="9">
        <v>0</v>
      </c>
      <c r="O731" s="9">
        <v>0</v>
      </c>
      <c r="P731" s="9">
        <v>0</v>
      </c>
      <c r="Q731" s="9">
        <f>MAX(-20,MIN(10,$A731-VLOOKUP(YEAR($A731),'Festive dates'!$A$2:$J$5,8,FALSE)))</f>
        <v>-20</v>
      </c>
      <c r="R731" s="9">
        <f>IF(AND($A731&gt;VLOOKUP(YEAR($A731),'Festive dates'!$A$2:$J$5,2,FALSE),$A731&lt;VLOOKUP(YEAR($A731),'Festive dates'!$A$2:$J$5,3,FALSE)),1,0)</f>
        <v>0</v>
      </c>
      <c r="S731" s="9">
        <f>IF($A731=VLOOKUP(YEAR($A731),'Festive dates'!$A$2:$J$5,2,FALSE),1,0)</f>
        <v>0</v>
      </c>
      <c r="T731" s="9">
        <f>IF($A731=VLOOKUP(YEAR($A731),'Festive dates'!$A$2:$J$5,3,FALSE),1,0)</f>
        <v>0</v>
      </c>
      <c r="U731" s="9">
        <f>IF($A731=VLOOKUP(YEAR($A731),'Festive dates'!$A$2:$J$5,4,FALSE),1,0)</f>
        <v>0</v>
      </c>
      <c r="V731" s="9">
        <f>IF(AND($A731&gt;=VLOOKUP(YEAR($A731),'Festive dates'!$A$2:$J$5,9,FALSE),$A731&lt;=VLOOKUP(YEAR($A731),'Festive dates'!$A$2:$J$5,10,FALSE)),1,0)</f>
        <v>0</v>
      </c>
      <c r="W731" s="9">
        <f>IF($A731=VLOOKUP(YEAR($A731),'Festive dates'!$A$2:$J$5,7,FALSE),1,0)</f>
        <v>0</v>
      </c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</row>
    <row r="732" spans="1:51">
      <c r="A732" s="8">
        <v>45747</v>
      </c>
      <c r="B732" s="9">
        <v>0</v>
      </c>
      <c r="C732" s="9">
        <v>0</v>
      </c>
      <c r="D732" s="9">
        <v>0</v>
      </c>
      <c r="E732" s="9">
        <v>0</v>
      </c>
      <c r="F732" s="9">
        <v>0</v>
      </c>
      <c r="G732" s="9">
        <v>0</v>
      </c>
      <c r="H732" s="9">
        <v>0</v>
      </c>
      <c r="I732" s="9">
        <v>0</v>
      </c>
      <c r="J732" s="9">
        <v>0</v>
      </c>
      <c r="K732" s="9">
        <v>0</v>
      </c>
      <c r="L732" s="9">
        <v>0</v>
      </c>
      <c r="M732" s="9">
        <v>0</v>
      </c>
      <c r="N732" s="9">
        <v>0</v>
      </c>
      <c r="O732" s="9">
        <v>0</v>
      </c>
      <c r="P732" s="9">
        <v>0</v>
      </c>
      <c r="Q732" s="9">
        <f>MAX(-20,MIN(10,$A732-VLOOKUP(YEAR($A732),'Festive dates'!$A$2:$J$5,8,FALSE)))</f>
        <v>-20</v>
      </c>
      <c r="R732" s="9">
        <f>IF(AND($A732&gt;VLOOKUP(YEAR($A732),'Festive dates'!$A$2:$J$5,2,FALSE),$A732&lt;VLOOKUP(YEAR($A732),'Festive dates'!$A$2:$J$5,3,FALSE)),1,0)</f>
        <v>0</v>
      </c>
      <c r="S732" s="9">
        <f>IF($A732=VLOOKUP(YEAR($A732),'Festive dates'!$A$2:$J$5,2,FALSE),1,0)</f>
        <v>0</v>
      </c>
      <c r="T732" s="9">
        <f>IF($A732=VLOOKUP(YEAR($A732),'Festive dates'!$A$2:$J$5,3,FALSE),1,0)</f>
        <v>0</v>
      </c>
      <c r="U732" s="9">
        <f>IF($A732=VLOOKUP(YEAR($A732),'Festive dates'!$A$2:$J$5,4,FALSE),1,0)</f>
        <v>0</v>
      </c>
      <c r="V732" s="9">
        <f>IF(AND($A732&gt;=VLOOKUP(YEAR($A732),'Festive dates'!$A$2:$J$5,9,FALSE),$A732&lt;=VLOOKUP(YEAR($A732),'Festive dates'!$A$2:$J$5,10,FALSE)),1,0)</f>
        <v>0</v>
      </c>
      <c r="W732" s="9">
        <f>IF($A732=VLOOKUP(YEAR($A732),'Festive dates'!$A$2:$J$5,7,FALSE),1,0)</f>
        <v>0</v>
      </c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</row>
    <row r="733" spans="1:51">
      <c r="A733" s="8">
        <v>45748</v>
      </c>
      <c r="B733" s="9">
        <v>0</v>
      </c>
      <c r="C733" s="9">
        <v>0</v>
      </c>
      <c r="D733" s="9">
        <v>0</v>
      </c>
      <c r="E733" s="9">
        <v>0</v>
      </c>
      <c r="F733" s="9">
        <v>0</v>
      </c>
      <c r="G733" s="9">
        <v>0</v>
      </c>
      <c r="H733" s="9">
        <v>0</v>
      </c>
      <c r="I733" s="9">
        <v>0</v>
      </c>
      <c r="J733" s="9">
        <v>0</v>
      </c>
      <c r="K733" s="9">
        <v>0</v>
      </c>
      <c r="L733" s="9">
        <v>0</v>
      </c>
      <c r="M733" s="9">
        <v>0</v>
      </c>
      <c r="N733" s="9">
        <v>0</v>
      </c>
      <c r="O733" s="9">
        <v>0</v>
      </c>
      <c r="P733" s="9">
        <v>0</v>
      </c>
      <c r="Q733" s="9">
        <f>MAX(-20,MIN(10,$A733-VLOOKUP(YEAR($A733),'Festive dates'!$A$2:$J$5,8,FALSE)))</f>
        <v>-20</v>
      </c>
      <c r="R733" s="9">
        <f>IF(AND($A733&gt;VLOOKUP(YEAR($A733),'Festive dates'!$A$2:$J$5,2,FALSE),$A733&lt;VLOOKUP(YEAR($A733),'Festive dates'!$A$2:$J$5,3,FALSE)),1,0)</f>
        <v>0</v>
      </c>
      <c r="S733" s="9">
        <f>IF($A733=VLOOKUP(YEAR($A733),'Festive dates'!$A$2:$J$5,2,FALSE),1,0)</f>
        <v>0</v>
      </c>
      <c r="T733" s="9">
        <f>IF($A733=VLOOKUP(YEAR($A733),'Festive dates'!$A$2:$J$5,3,FALSE),1,0)</f>
        <v>0</v>
      </c>
      <c r="U733" s="9">
        <f>IF($A733=VLOOKUP(YEAR($A733),'Festive dates'!$A$2:$J$5,4,FALSE),1,0)</f>
        <v>0</v>
      </c>
      <c r="V733" s="9">
        <f>IF(AND($A733&gt;=VLOOKUP(YEAR($A733),'Festive dates'!$A$2:$J$5,9,FALSE),$A733&lt;=VLOOKUP(YEAR($A733),'Festive dates'!$A$2:$J$5,10,FALSE)),1,0)</f>
        <v>0</v>
      </c>
      <c r="W733" s="9">
        <f>IF($A733=VLOOKUP(YEAR($A733),'Festive dates'!$A$2:$J$5,7,FALSE),1,0)</f>
        <v>0</v>
      </c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</row>
    <row r="734" spans="1:51">
      <c r="A734" s="8">
        <v>45749</v>
      </c>
      <c r="B734" s="9">
        <v>0</v>
      </c>
      <c r="C734" s="9">
        <v>0</v>
      </c>
      <c r="D734" s="9">
        <v>0</v>
      </c>
      <c r="E734" s="9">
        <v>0</v>
      </c>
      <c r="F734" s="9">
        <v>0</v>
      </c>
      <c r="G734" s="9">
        <v>0</v>
      </c>
      <c r="H734" s="9">
        <v>0</v>
      </c>
      <c r="I734" s="9">
        <v>0</v>
      </c>
      <c r="J734" s="9">
        <v>0</v>
      </c>
      <c r="K734" s="9">
        <v>0</v>
      </c>
      <c r="L734" s="9">
        <v>0</v>
      </c>
      <c r="M734" s="9">
        <v>0</v>
      </c>
      <c r="N734" s="9">
        <v>0</v>
      </c>
      <c r="O734" s="9">
        <v>0</v>
      </c>
      <c r="P734" s="9">
        <v>0</v>
      </c>
      <c r="Q734" s="9">
        <f>MAX(-20,MIN(10,$A734-VLOOKUP(YEAR($A734),'Festive dates'!$A$2:$J$5,8,FALSE)))</f>
        <v>-20</v>
      </c>
      <c r="R734" s="9">
        <f>IF(AND($A734&gt;VLOOKUP(YEAR($A734),'Festive dates'!$A$2:$J$5,2,FALSE),$A734&lt;VLOOKUP(YEAR($A734),'Festive dates'!$A$2:$J$5,3,FALSE)),1,0)</f>
        <v>0</v>
      </c>
      <c r="S734" s="9">
        <f>IF($A734=VLOOKUP(YEAR($A734),'Festive dates'!$A$2:$J$5,2,FALSE),1,0)</f>
        <v>0</v>
      </c>
      <c r="T734" s="9">
        <f>IF($A734=VLOOKUP(YEAR($A734),'Festive dates'!$A$2:$J$5,3,FALSE),1,0)</f>
        <v>0</v>
      </c>
      <c r="U734" s="9">
        <f>IF($A734=VLOOKUP(YEAR($A734),'Festive dates'!$A$2:$J$5,4,FALSE),1,0)</f>
        <v>0</v>
      </c>
      <c r="V734" s="9">
        <f>IF(AND($A734&gt;=VLOOKUP(YEAR($A734),'Festive dates'!$A$2:$J$5,9,FALSE),$A734&lt;=VLOOKUP(YEAR($A734),'Festive dates'!$A$2:$J$5,10,FALSE)),1,0)</f>
        <v>0</v>
      </c>
      <c r="W734" s="9">
        <f>IF($A734=VLOOKUP(YEAR($A734),'Festive dates'!$A$2:$J$5,7,FALSE),1,0)</f>
        <v>0</v>
      </c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</row>
    <row r="735" spans="1:51">
      <c r="A735" s="8">
        <v>45750</v>
      </c>
      <c r="B735" s="9">
        <v>0</v>
      </c>
      <c r="C735" s="9">
        <v>0</v>
      </c>
      <c r="D735" s="9">
        <v>0</v>
      </c>
      <c r="E735" s="9">
        <v>0</v>
      </c>
      <c r="F735" s="9">
        <v>0</v>
      </c>
      <c r="G735" s="9">
        <v>0</v>
      </c>
      <c r="H735" s="9">
        <v>0</v>
      </c>
      <c r="I735" s="9">
        <v>0</v>
      </c>
      <c r="J735" s="9">
        <v>0</v>
      </c>
      <c r="K735" s="9">
        <v>0</v>
      </c>
      <c r="L735" s="9">
        <v>0</v>
      </c>
      <c r="M735" s="9">
        <v>0</v>
      </c>
      <c r="N735" s="9">
        <v>0</v>
      </c>
      <c r="O735" s="9">
        <v>0</v>
      </c>
      <c r="P735" s="9">
        <v>0</v>
      </c>
      <c r="Q735" s="9">
        <f>MAX(-20,MIN(10,$A735-VLOOKUP(YEAR($A735),'Festive dates'!$A$2:$J$5,8,FALSE)))</f>
        <v>-20</v>
      </c>
      <c r="R735" s="9">
        <f>IF(AND($A735&gt;VLOOKUP(YEAR($A735),'Festive dates'!$A$2:$J$5,2,FALSE),$A735&lt;VLOOKUP(YEAR($A735),'Festive dates'!$A$2:$J$5,3,FALSE)),1,0)</f>
        <v>0</v>
      </c>
      <c r="S735" s="9">
        <f>IF($A735=VLOOKUP(YEAR($A735),'Festive dates'!$A$2:$J$5,2,FALSE),1,0)</f>
        <v>0</v>
      </c>
      <c r="T735" s="9">
        <f>IF($A735=VLOOKUP(YEAR($A735),'Festive dates'!$A$2:$J$5,3,FALSE),1,0)</f>
        <v>0</v>
      </c>
      <c r="U735" s="9">
        <f>IF($A735=VLOOKUP(YEAR($A735),'Festive dates'!$A$2:$J$5,4,FALSE),1,0)</f>
        <v>0</v>
      </c>
      <c r="V735" s="9">
        <f>IF(AND($A735&gt;=VLOOKUP(YEAR($A735),'Festive dates'!$A$2:$J$5,9,FALSE),$A735&lt;=VLOOKUP(YEAR($A735),'Festive dates'!$A$2:$J$5,10,FALSE)),1,0)</f>
        <v>0</v>
      </c>
      <c r="W735" s="9">
        <f>IF($A735=VLOOKUP(YEAR($A735),'Festive dates'!$A$2:$J$5,7,FALSE),1,0)</f>
        <v>0</v>
      </c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</row>
    <row r="736" spans="1:51">
      <c r="A736" s="8">
        <v>45751</v>
      </c>
      <c r="B736" s="9">
        <v>0</v>
      </c>
      <c r="C736" s="9">
        <v>0</v>
      </c>
      <c r="D736" s="9">
        <v>0</v>
      </c>
      <c r="E736" s="9">
        <v>0</v>
      </c>
      <c r="F736" s="9">
        <v>0</v>
      </c>
      <c r="G736" s="9">
        <v>0</v>
      </c>
      <c r="H736" s="9">
        <v>0</v>
      </c>
      <c r="I736" s="9">
        <v>0</v>
      </c>
      <c r="J736" s="9">
        <v>0</v>
      </c>
      <c r="K736" s="9">
        <v>0</v>
      </c>
      <c r="L736" s="9">
        <v>0</v>
      </c>
      <c r="M736" s="9">
        <v>0</v>
      </c>
      <c r="N736" s="9">
        <v>0</v>
      </c>
      <c r="O736" s="9">
        <v>0</v>
      </c>
      <c r="P736" s="9">
        <v>0</v>
      </c>
      <c r="Q736" s="9">
        <f>MAX(-20,MIN(10,$A736-VLOOKUP(YEAR($A736),'Festive dates'!$A$2:$J$5,8,FALSE)))</f>
        <v>-20</v>
      </c>
      <c r="R736" s="9">
        <f>IF(AND($A736&gt;VLOOKUP(YEAR($A736),'Festive dates'!$A$2:$J$5,2,FALSE),$A736&lt;VLOOKUP(YEAR($A736),'Festive dates'!$A$2:$J$5,3,FALSE)),1,0)</f>
        <v>0</v>
      </c>
      <c r="S736" s="9">
        <f>IF($A736=VLOOKUP(YEAR($A736),'Festive dates'!$A$2:$J$5,2,FALSE),1,0)</f>
        <v>0</v>
      </c>
      <c r="T736" s="9">
        <f>IF($A736=VLOOKUP(YEAR($A736),'Festive dates'!$A$2:$J$5,3,FALSE),1,0)</f>
        <v>0</v>
      </c>
      <c r="U736" s="9">
        <f>IF($A736=VLOOKUP(YEAR($A736),'Festive dates'!$A$2:$J$5,4,FALSE),1,0)</f>
        <v>0</v>
      </c>
      <c r="V736" s="9">
        <f>IF(AND($A736&gt;=VLOOKUP(YEAR($A736),'Festive dates'!$A$2:$J$5,9,FALSE),$A736&lt;=VLOOKUP(YEAR($A736),'Festive dates'!$A$2:$J$5,10,FALSE)),1,0)</f>
        <v>0</v>
      </c>
      <c r="W736" s="9">
        <f>IF($A736=VLOOKUP(YEAR($A736),'Festive dates'!$A$2:$J$5,7,FALSE),1,0)</f>
        <v>0</v>
      </c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</row>
    <row r="737" spans="1:51">
      <c r="A737" s="8">
        <v>45752</v>
      </c>
      <c r="B737" s="9">
        <v>0</v>
      </c>
      <c r="C737" s="9">
        <v>0</v>
      </c>
      <c r="D737" s="9">
        <v>0</v>
      </c>
      <c r="E737" s="9">
        <v>0</v>
      </c>
      <c r="F737" s="9">
        <v>0</v>
      </c>
      <c r="G737" s="9">
        <v>0</v>
      </c>
      <c r="H737" s="9">
        <v>0</v>
      </c>
      <c r="I737" s="9">
        <v>0</v>
      </c>
      <c r="J737" s="9">
        <v>0</v>
      </c>
      <c r="K737" s="9">
        <v>0</v>
      </c>
      <c r="L737" s="9">
        <v>0</v>
      </c>
      <c r="M737" s="9">
        <v>0</v>
      </c>
      <c r="N737" s="9">
        <v>0</v>
      </c>
      <c r="O737" s="9">
        <v>0</v>
      </c>
      <c r="P737" s="9">
        <v>0</v>
      </c>
      <c r="Q737" s="9">
        <f>MAX(-20,MIN(10,$A737-VLOOKUP(YEAR($A737),'Festive dates'!$A$2:$J$5,8,FALSE)))</f>
        <v>-20</v>
      </c>
      <c r="R737" s="9">
        <f>IF(AND($A737&gt;VLOOKUP(YEAR($A737),'Festive dates'!$A$2:$J$5,2,FALSE),$A737&lt;VLOOKUP(YEAR($A737),'Festive dates'!$A$2:$J$5,3,FALSE)),1,0)</f>
        <v>0</v>
      </c>
      <c r="S737" s="9">
        <f>IF($A737=VLOOKUP(YEAR($A737),'Festive dates'!$A$2:$J$5,2,FALSE),1,0)</f>
        <v>0</v>
      </c>
      <c r="T737" s="9">
        <f>IF($A737=VLOOKUP(YEAR($A737),'Festive dates'!$A$2:$J$5,3,FALSE),1,0)</f>
        <v>0</v>
      </c>
      <c r="U737" s="9">
        <f>IF($A737=VLOOKUP(YEAR($A737),'Festive dates'!$A$2:$J$5,4,FALSE),1,0)</f>
        <v>0</v>
      </c>
      <c r="V737" s="9">
        <f>IF(AND($A737&gt;=VLOOKUP(YEAR($A737),'Festive dates'!$A$2:$J$5,9,FALSE),$A737&lt;=VLOOKUP(YEAR($A737),'Festive dates'!$A$2:$J$5,10,FALSE)),1,0)</f>
        <v>0</v>
      </c>
      <c r="W737" s="9">
        <f>IF($A737=VLOOKUP(YEAR($A737),'Festive dates'!$A$2:$J$5,7,FALSE),1,0)</f>
        <v>0</v>
      </c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</row>
    <row r="738" spans="1:51">
      <c r="A738" s="8">
        <v>45753</v>
      </c>
      <c r="B738" s="9">
        <v>0</v>
      </c>
      <c r="C738" s="9">
        <v>0</v>
      </c>
      <c r="D738" s="9">
        <v>0</v>
      </c>
      <c r="E738" s="9">
        <v>0</v>
      </c>
      <c r="F738" s="9">
        <v>0</v>
      </c>
      <c r="G738" s="9">
        <v>0</v>
      </c>
      <c r="H738" s="9">
        <v>0</v>
      </c>
      <c r="I738" s="9">
        <v>0</v>
      </c>
      <c r="J738" s="9">
        <v>0</v>
      </c>
      <c r="K738" s="9">
        <v>0</v>
      </c>
      <c r="L738" s="9">
        <v>0</v>
      </c>
      <c r="M738" s="9">
        <v>0</v>
      </c>
      <c r="N738" s="9">
        <v>0</v>
      </c>
      <c r="O738" s="9">
        <v>0</v>
      </c>
      <c r="P738" s="9">
        <v>0</v>
      </c>
      <c r="Q738" s="9">
        <f>MAX(-20,MIN(10,$A738-VLOOKUP(YEAR($A738),'Festive dates'!$A$2:$J$5,8,FALSE)))</f>
        <v>-20</v>
      </c>
      <c r="R738" s="9">
        <f>IF(AND($A738&gt;VLOOKUP(YEAR($A738),'Festive dates'!$A$2:$J$5,2,FALSE),$A738&lt;VLOOKUP(YEAR($A738),'Festive dates'!$A$2:$J$5,3,FALSE)),1,0)</f>
        <v>0</v>
      </c>
      <c r="S738" s="9">
        <f>IF($A738=VLOOKUP(YEAR($A738),'Festive dates'!$A$2:$J$5,2,FALSE),1,0)</f>
        <v>0</v>
      </c>
      <c r="T738" s="9">
        <f>IF($A738=VLOOKUP(YEAR($A738),'Festive dates'!$A$2:$J$5,3,FALSE),1,0)</f>
        <v>0</v>
      </c>
      <c r="U738" s="9">
        <f>IF($A738=VLOOKUP(YEAR($A738),'Festive dates'!$A$2:$J$5,4,FALSE),1,0)</f>
        <v>0</v>
      </c>
      <c r="V738" s="9">
        <f>IF(AND($A738&gt;=VLOOKUP(YEAR($A738),'Festive dates'!$A$2:$J$5,9,FALSE),$A738&lt;=VLOOKUP(YEAR($A738),'Festive dates'!$A$2:$J$5,10,FALSE)),1,0)</f>
        <v>0</v>
      </c>
      <c r="W738" s="9">
        <f>IF($A738=VLOOKUP(YEAR($A738),'Festive dates'!$A$2:$J$5,7,FALSE),1,0)</f>
        <v>0</v>
      </c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</row>
    <row r="739" spans="1:51">
      <c r="A739" s="8">
        <v>45754</v>
      </c>
      <c r="B739" s="9">
        <v>0</v>
      </c>
      <c r="C739" s="9">
        <v>0</v>
      </c>
      <c r="D739" s="9">
        <v>0</v>
      </c>
      <c r="E739" s="9">
        <v>0</v>
      </c>
      <c r="F739" s="9">
        <v>0</v>
      </c>
      <c r="G739" s="9">
        <v>0</v>
      </c>
      <c r="H739" s="9">
        <v>0</v>
      </c>
      <c r="I739" s="9">
        <v>0</v>
      </c>
      <c r="J739" s="9">
        <v>0</v>
      </c>
      <c r="K739" s="9">
        <v>0</v>
      </c>
      <c r="L739" s="9">
        <v>0</v>
      </c>
      <c r="M739" s="9">
        <v>0</v>
      </c>
      <c r="N739" s="9">
        <v>0</v>
      </c>
      <c r="O739" s="9">
        <v>0</v>
      </c>
      <c r="P739" s="9">
        <v>1</v>
      </c>
      <c r="Q739" s="9">
        <f>MAX(-20,MIN(10,$A739-VLOOKUP(YEAR($A739),'Festive dates'!$A$2:$J$5,8,FALSE)))</f>
        <v>-20</v>
      </c>
      <c r="R739" s="9">
        <f>IF(AND($A739&gt;VLOOKUP(YEAR($A739),'Festive dates'!$A$2:$J$5,2,FALSE),$A739&lt;VLOOKUP(YEAR($A739),'Festive dates'!$A$2:$J$5,3,FALSE)),1,0)</f>
        <v>0</v>
      </c>
      <c r="S739" s="9">
        <f>IF($A739=VLOOKUP(YEAR($A739),'Festive dates'!$A$2:$J$5,2,FALSE),1,0)</f>
        <v>0</v>
      </c>
      <c r="T739" s="9">
        <f>IF($A739=VLOOKUP(YEAR($A739),'Festive dates'!$A$2:$J$5,3,FALSE),1,0)</f>
        <v>0</v>
      </c>
      <c r="U739" s="9">
        <f>IF($A739=VLOOKUP(YEAR($A739),'Festive dates'!$A$2:$J$5,4,FALSE),1,0)</f>
        <v>0</v>
      </c>
      <c r="V739" s="9">
        <f>IF(AND($A739&gt;=VLOOKUP(YEAR($A739),'Festive dates'!$A$2:$J$5,9,FALSE),$A739&lt;=VLOOKUP(YEAR($A739),'Festive dates'!$A$2:$J$5,10,FALSE)),1,0)</f>
        <v>0</v>
      </c>
      <c r="W739" s="9">
        <f>IF($A739=VLOOKUP(YEAR($A739),'Festive dates'!$A$2:$J$5,7,FALSE),1,0)</f>
        <v>0</v>
      </c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</row>
    <row r="740" spans="1:51">
      <c r="A740" s="8">
        <v>45755</v>
      </c>
      <c r="B740" s="9">
        <v>0</v>
      </c>
      <c r="C740" s="9">
        <v>0</v>
      </c>
      <c r="D740" s="9">
        <v>0</v>
      </c>
      <c r="E740" s="9">
        <v>0</v>
      </c>
      <c r="F740" s="9">
        <v>0</v>
      </c>
      <c r="G740" s="9">
        <v>0</v>
      </c>
      <c r="H740" s="9">
        <v>0</v>
      </c>
      <c r="I740" s="9">
        <v>0</v>
      </c>
      <c r="J740" s="9">
        <v>0</v>
      </c>
      <c r="K740" s="9">
        <v>0</v>
      </c>
      <c r="L740" s="9">
        <v>0</v>
      </c>
      <c r="M740" s="9">
        <v>0</v>
      </c>
      <c r="N740" s="9">
        <v>0</v>
      </c>
      <c r="O740" s="9">
        <v>0</v>
      </c>
      <c r="P740" s="9">
        <v>0</v>
      </c>
      <c r="Q740" s="9">
        <f>MAX(-20,MIN(10,$A740-VLOOKUP(YEAR($A740),'Festive dates'!$A$2:$J$5,8,FALSE)))</f>
        <v>-20</v>
      </c>
      <c r="R740" s="9">
        <f>IF(AND($A740&gt;VLOOKUP(YEAR($A740),'Festive dates'!$A$2:$J$5,2,FALSE),$A740&lt;VLOOKUP(YEAR($A740),'Festive dates'!$A$2:$J$5,3,FALSE)),1,0)</f>
        <v>0</v>
      </c>
      <c r="S740" s="9">
        <f>IF($A740=VLOOKUP(YEAR($A740),'Festive dates'!$A$2:$J$5,2,FALSE),1,0)</f>
        <v>0</v>
      </c>
      <c r="T740" s="9">
        <f>IF($A740=VLOOKUP(YEAR($A740),'Festive dates'!$A$2:$J$5,3,FALSE),1,0)</f>
        <v>0</v>
      </c>
      <c r="U740" s="9">
        <f>IF($A740=VLOOKUP(YEAR($A740),'Festive dates'!$A$2:$J$5,4,FALSE),1,0)</f>
        <v>0</v>
      </c>
      <c r="V740" s="9">
        <f>IF(AND($A740&gt;=VLOOKUP(YEAR($A740),'Festive dates'!$A$2:$J$5,9,FALSE),$A740&lt;=VLOOKUP(YEAR($A740),'Festive dates'!$A$2:$J$5,10,FALSE)),1,0)</f>
        <v>0</v>
      </c>
      <c r="W740" s="9">
        <f>IF($A740=VLOOKUP(YEAR($A740),'Festive dates'!$A$2:$J$5,7,FALSE),1,0)</f>
        <v>0</v>
      </c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</row>
    <row r="741" spans="1:51">
      <c r="A741" s="8">
        <v>45756</v>
      </c>
      <c r="B741" s="9">
        <v>0</v>
      </c>
      <c r="C741" s="9">
        <v>0</v>
      </c>
      <c r="D741" s="9">
        <v>0</v>
      </c>
      <c r="E741" s="9">
        <v>0</v>
      </c>
      <c r="F741" s="9">
        <v>0</v>
      </c>
      <c r="G741" s="9">
        <v>0</v>
      </c>
      <c r="H741" s="9">
        <v>0</v>
      </c>
      <c r="I741" s="9">
        <v>0</v>
      </c>
      <c r="J741" s="9">
        <v>0</v>
      </c>
      <c r="K741" s="9">
        <v>0</v>
      </c>
      <c r="L741" s="9">
        <v>0</v>
      </c>
      <c r="M741" s="9">
        <v>0</v>
      </c>
      <c r="N741" s="9">
        <v>0</v>
      </c>
      <c r="O741" s="9">
        <v>0</v>
      </c>
      <c r="P741" s="9">
        <v>1</v>
      </c>
      <c r="Q741" s="9">
        <f>MAX(-20,MIN(10,$A741-VLOOKUP(YEAR($A741),'Festive dates'!$A$2:$J$5,8,FALSE)))</f>
        <v>-20</v>
      </c>
      <c r="R741" s="9">
        <f>IF(AND($A741&gt;VLOOKUP(YEAR($A741),'Festive dates'!$A$2:$J$5,2,FALSE),$A741&lt;VLOOKUP(YEAR($A741),'Festive dates'!$A$2:$J$5,3,FALSE)),1,0)</f>
        <v>0</v>
      </c>
      <c r="S741" s="9">
        <f>IF($A741=VLOOKUP(YEAR($A741),'Festive dates'!$A$2:$J$5,2,FALSE),1,0)</f>
        <v>0</v>
      </c>
      <c r="T741" s="9">
        <f>IF($A741=VLOOKUP(YEAR($A741),'Festive dates'!$A$2:$J$5,3,FALSE),1,0)</f>
        <v>0</v>
      </c>
      <c r="U741" s="9">
        <f>IF($A741=VLOOKUP(YEAR($A741),'Festive dates'!$A$2:$J$5,4,FALSE),1,0)</f>
        <v>0</v>
      </c>
      <c r="V741" s="9">
        <f>IF(AND($A741&gt;=VLOOKUP(YEAR($A741),'Festive dates'!$A$2:$J$5,9,FALSE),$A741&lt;=VLOOKUP(YEAR($A741),'Festive dates'!$A$2:$J$5,10,FALSE)),1,0)</f>
        <v>0</v>
      </c>
      <c r="W741" s="9">
        <f>IF($A741=VLOOKUP(YEAR($A741),'Festive dates'!$A$2:$J$5,7,FALSE),1,0)</f>
        <v>0</v>
      </c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</row>
    <row r="742" spans="1:51">
      <c r="A742" s="8">
        <v>45757</v>
      </c>
      <c r="B742" s="9">
        <v>0</v>
      </c>
      <c r="C742" s="9">
        <v>0</v>
      </c>
      <c r="D742" s="9">
        <v>0</v>
      </c>
      <c r="E742" s="9">
        <v>0</v>
      </c>
      <c r="F742" s="9">
        <v>0</v>
      </c>
      <c r="G742" s="9">
        <v>0</v>
      </c>
      <c r="H742" s="9">
        <v>0</v>
      </c>
      <c r="I742" s="9">
        <v>0</v>
      </c>
      <c r="J742" s="9">
        <v>0</v>
      </c>
      <c r="K742" s="9">
        <v>0</v>
      </c>
      <c r="L742" s="9">
        <v>0</v>
      </c>
      <c r="M742" s="9">
        <v>0</v>
      </c>
      <c r="N742" s="9">
        <v>0</v>
      </c>
      <c r="O742" s="9">
        <v>0</v>
      </c>
      <c r="P742" s="9">
        <v>1</v>
      </c>
      <c r="Q742" s="9">
        <f>MAX(-20,MIN(10,$A742-VLOOKUP(YEAR($A742),'Festive dates'!$A$2:$J$5,8,FALSE)))</f>
        <v>-20</v>
      </c>
      <c r="R742" s="9">
        <f>IF(AND($A742&gt;VLOOKUP(YEAR($A742),'Festive dates'!$A$2:$J$5,2,FALSE),$A742&lt;VLOOKUP(YEAR($A742),'Festive dates'!$A$2:$J$5,3,FALSE)),1,0)</f>
        <v>0</v>
      </c>
      <c r="S742" s="9">
        <f>IF($A742=VLOOKUP(YEAR($A742),'Festive dates'!$A$2:$J$5,2,FALSE),1,0)</f>
        <v>0</v>
      </c>
      <c r="T742" s="9">
        <f>IF($A742=VLOOKUP(YEAR($A742),'Festive dates'!$A$2:$J$5,3,FALSE),1,0)</f>
        <v>0</v>
      </c>
      <c r="U742" s="9">
        <f>IF($A742=VLOOKUP(YEAR($A742),'Festive dates'!$A$2:$J$5,4,FALSE),1,0)</f>
        <v>0</v>
      </c>
      <c r="V742" s="9">
        <f>IF(AND($A742&gt;=VLOOKUP(YEAR($A742),'Festive dates'!$A$2:$J$5,9,FALSE),$A742&lt;=VLOOKUP(YEAR($A742),'Festive dates'!$A$2:$J$5,10,FALSE)),1,0)</f>
        <v>0</v>
      </c>
      <c r="W742" s="9">
        <f>IF($A742=VLOOKUP(YEAR($A742),'Festive dates'!$A$2:$J$5,7,FALSE),1,0)</f>
        <v>0</v>
      </c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</row>
    <row r="743" spans="1:51">
      <c r="A743" s="8">
        <v>45758</v>
      </c>
      <c r="B743" s="9">
        <v>0</v>
      </c>
      <c r="C743" s="9">
        <v>0</v>
      </c>
      <c r="D743" s="9">
        <v>0</v>
      </c>
      <c r="E743" s="9">
        <v>0</v>
      </c>
      <c r="F743" s="9">
        <v>0</v>
      </c>
      <c r="G743" s="9">
        <v>0</v>
      </c>
      <c r="H743" s="9">
        <v>0</v>
      </c>
      <c r="I743" s="9">
        <v>0</v>
      </c>
      <c r="J743" s="9">
        <v>0</v>
      </c>
      <c r="K743" s="9">
        <v>0</v>
      </c>
      <c r="L743" s="9">
        <v>0</v>
      </c>
      <c r="M743" s="9">
        <v>0</v>
      </c>
      <c r="N743" s="9">
        <v>0</v>
      </c>
      <c r="O743" s="9">
        <v>0</v>
      </c>
      <c r="P743" s="9">
        <v>1</v>
      </c>
      <c r="Q743" s="9">
        <f>MAX(-20,MIN(10,$A743-VLOOKUP(YEAR($A743),'Festive dates'!$A$2:$J$5,8,FALSE)))</f>
        <v>-20</v>
      </c>
      <c r="R743" s="9">
        <f>IF(AND($A743&gt;VLOOKUP(YEAR($A743),'Festive dates'!$A$2:$J$5,2,FALSE),$A743&lt;VLOOKUP(YEAR($A743),'Festive dates'!$A$2:$J$5,3,FALSE)),1,0)</f>
        <v>0</v>
      </c>
      <c r="S743" s="9">
        <f>IF($A743=VLOOKUP(YEAR($A743),'Festive dates'!$A$2:$J$5,2,FALSE),1,0)</f>
        <v>0</v>
      </c>
      <c r="T743" s="9">
        <f>IF($A743=VLOOKUP(YEAR($A743),'Festive dates'!$A$2:$J$5,3,FALSE),1,0)</f>
        <v>0</v>
      </c>
      <c r="U743" s="9">
        <f>IF($A743=VLOOKUP(YEAR($A743),'Festive dates'!$A$2:$J$5,4,FALSE),1,0)</f>
        <v>0</v>
      </c>
      <c r="V743" s="9">
        <f>IF(AND($A743&gt;=VLOOKUP(YEAR($A743),'Festive dates'!$A$2:$J$5,9,FALSE),$A743&lt;=VLOOKUP(YEAR($A743),'Festive dates'!$A$2:$J$5,10,FALSE)),1,0)</f>
        <v>0</v>
      </c>
      <c r="W743" s="9">
        <f>IF($A743=VLOOKUP(YEAR($A743),'Festive dates'!$A$2:$J$5,7,FALSE),1,0)</f>
        <v>0</v>
      </c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</row>
    <row r="744" spans="1:51">
      <c r="A744" s="8">
        <v>45759</v>
      </c>
      <c r="B744" s="9">
        <v>0</v>
      </c>
      <c r="C744" s="9">
        <v>0</v>
      </c>
      <c r="D744" s="9">
        <v>0</v>
      </c>
      <c r="E744" s="9">
        <v>0</v>
      </c>
      <c r="F744" s="9">
        <v>0</v>
      </c>
      <c r="G744" s="9">
        <v>0</v>
      </c>
      <c r="H744" s="9">
        <v>1</v>
      </c>
      <c r="I744" s="9">
        <v>0</v>
      </c>
      <c r="J744" s="9">
        <v>0</v>
      </c>
      <c r="K744" s="9">
        <v>0</v>
      </c>
      <c r="L744" s="9">
        <v>0</v>
      </c>
      <c r="M744" s="9">
        <v>0</v>
      </c>
      <c r="N744" s="9">
        <v>0</v>
      </c>
      <c r="O744" s="9">
        <v>0</v>
      </c>
      <c r="P744" s="9">
        <v>1</v>
      </c>
      <c r="Q744" s="9">
        <f>MAX(-20,MIN(10,$A744-VLOOKUP(YEAR($A744),'Festive dates'!$A$2:$J$5,8,FALSE)))</f>
        <v>-20</v>
      </c>
      <c r="R744" s="9">
        <f>IF(AND($A744&gt;VLOOKUP(YEAR($A744),'Festive dates'!$A$2:$J$5,2,FALSE),$A744&lt;VLOOKUP(YEAR($A744),'Festive dates'!$A$2:$J$5,3,FALSE)),1,0)</f>
        <v>0</v>
      </c>
      <c r="S744" s="9">
        <f>IF($A744=VLOOKUP(YEAR($A744),'Festive dates'!$A$2:$J$5,2,FALSE),1,0)</f>
        <v>0</v>
      </c>
      <c r="T744" s="9">
        <f>IF($A744=VLOOKUP(YEAR($A744),'Festive dates'!$A$2:$J$5,3,FALSE),1,0)</f>
        <v>0</v>
      </c>
      <c r="U744" s="9">
        <f>IF($A744=VLOOKUP(YEAR($A744),'Festive dates'!$A$2:$J$5,4,FALSE),1,0)</f>
        <v>0</v>
      </c>
      <c r="V744" s="9">
        <f>IF(AND($A744&gt;=VLOOKUP(YEAR($A744),'Festive dates'!$A$2:$J$5,9,FALSE),$A744&lt;=VLOOKUP(YEAR($A744),'Festive dates'!$A$2:$J$5,10,FALSE)),1,0)</f>
        <v>0</v>
      </c>
      <c r="W744" s="9">
        <f>IF($A744=VLOOKUP(YEAR($A744),'Festive dates'!$A$2:$J$5,7,FALSE),1,0)</f>
        <v>0</v>
      </c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</row>
    <row r="745" spans="1:51">
      <c r="A745" s="8">
        <v>45760</v>
      </c>
      <c r="B745" s="9">
        <v>0</v>
      </c>
      <c r="C745" s="9">
        <v>0</v>
      </c>
      <c r="D745" s="9">
        <v>0</v>
      </c>
      <c r="E745" s="9">
        <v>0</v>
      </c>
      <c r="F745" s="9">
        <v>0</v>
      </c>
      <c r="G745" s="9">
        <v>0</v>
      </c>
      <c r="H745" s="9">
        <v>0</v>
      </c>
      <c r="I745" s="9">
        <v>0</v>
      </c>
      <c r="J745" s="9">
        <v>0</v>
      </c>
      <c r="K745" s="9">
        <v>0</v>
      </c>
      <c r="L745" s="9">
        <v>0</v>
      </c>
      <c r="M745" s="9">
        <v>0</v>
      </c>
      <c r="N745" s="9">
        <v>0</v>
      </c>
      <c r="O745" s="9">
        <v>0</v>
      </c>
      <c r="P745" s="9">
        <v>1</v>
      </c>
      <c r="Q745" s="9">
        <f>MAX(-20,MIN(10,$A745-VLOOKUP(YEAR($A745),'Festive dates'!$A$2:$J$5,8,FALSE)))</f>
        <v>-20</v>
      </c>
      <c r="R745" s="9">
        <f>IF(AND($A745&gt;VLOOKUP(YEAR($A745),'Festive dates'!$A$2:$J$5,2,FALSE),$A745&lt;VLOOKUP(YEAR($A745),'Festive dates'!$A$2:$J$5,3,FALSE)),1,0)</f>
        <v>0</v>
      </c>
      <c r="S745" s="9">
        <f>IF($A745=VLOOKUP(YEAR($A745),'Festive dates'!$A$2:$J$5,2,FALSE),1,0)</f>
        <v>0</v>
      </c>
      <c r="T745" s="9">
        <f>IF($A745=VLOOKUP(YEAR($A745),'Festive dates'!$A$2:$J$5,3,FALSE),1,0)</f>
        <v>0</v>
      </c>
      <c r="U745" s="9">
        <f>IF($A745=VLOOKUP(YEAR($A745),'Festive dates'!$A$2:$J$5,4,FALSE),1,0)</f>
        <v>0</v>
      </c>
      <c r="V745" s="9">
        <f>IF(AND($A745&gt;=VLOOKUP(YEAR($A745),'Festive dates'!$A$2:$J$5,9,FALSE),$A745&lt;=VLOOKUP(YEAR($A745),'Festive dates'!$A$2:$J$5,10,FALSE)),1,0)</f>
        <v>0</v>
      </c>
      <c r="W745" s="9">
        <f>IF($A745=VLOOKUP(YEAR($A745),'Festive dates'!$A$2:$J$5,7,FALSE),1,0)</f>
        <v>0</v>
      </c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</row>
    <row r="746" spans="1:51">
      <c r="A746" s="8">
        <v>45761</v>
      </c>
      <c r="B746" s="9">
        <v>0</v>
      </c>
      <c r="C746" s="9">
        <v>0</v>
      </c>
      <c r="D746" s="9">
        <v>0</v>
      </c>
      <c r="E746" s="9">
        <v>0</v>
      </c>
      <c r="F746" s="9">
        <v>0</v>
      </c>
      <c r="G746" s="9">
        <v>0</v>
      </c>
      <c r="H746" s="9">
        <v>0</v>
      </c>
      <c r="I746" s="9">
        <v>0</v>
      </c>
      <c r="J746" s="9">
        <v>0</v>
      </c>
      <c r="K746" s="9">
        <v>0</v>
      </c>
      <c r="L746" s="9">
        <v>0</v>
      </c>
      <c r="M746" s="9">
        <v>0</v>
      </c>
      <c r="N746" s="9">
        <v>0</v>
      </c>
      <c r="O746" s="9">
        <v>0</v>
      </c>
      <c r="P746" s="9">
        <v>1</v>
      </c>
      <c r="Q746" s="9">
        <f>MAX(-20,MIN(10,$A746-VLOOKUP(YEAR($A746),'Festive dates'!$A$2:$J$5,8,FALSE)))</f>
        <v>-20</v>
      </c>
      <c r="R746" s="9">
        <f>IF(AND($A746&gt;VLOOKUP(YEAR($A746),'Festive dates'!$A$2:$J$5,2,FALSE),$A746&lt;VLOOKUP(YEAR($A746),'Festive dates'!$A$2:$J$5,3,FALSE)),1,0)</f>
        <v>0</v>
      </c>
      <c r="S746" s="9">
        <f>IF($A746=VLOOKUP(YEAR($A746),'Festive dates'!$A$2:$J$5,2,FALSE),1,0)</f>
        <v>0</v>
      </c>
      <c r="T746" s="9">
        <f>IF($A746=VLOOKUP(YEAR($A746),'Festive dates'!$A$2:$J$5,3,FALSE),1,0)</f>
        <v>0</v>
      </c>
      <c r="U746" s="9">
        <f>IF($A746=VLOOKUP(YEAR($A746),'Festive dates'!$A$2:$J$5,4,FALSE),1,0)</f>
        <v>0</v>
      </c>
      <c r="V746" s="9">
        <f>IF(AND($A746&gt;=VLOOKUP(YEAR($A746),'Festive dates'!$A$2:$J$5,9,FALSE),$A746&lt;=VLOOKUP(YEAR($A746),'Festive dates'!$A$2:$J$5,10,FALSE)),1,0)</f>
        <v>0</v>
      </c>
      <c r="W746" s="9">
        <f>IF($A746=VLOOKUP(YEAR($A746),'Festive dates'!$A$2:$J$5,7,FALSE),1,0)</f>
        <v>0</v>
      </c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</row>
    <row r="747" spans="1:51">
      <c r="A747" s="8">
        <v>45762</v>
      </c>
      <c r="B747" s="9">
        <v>0</v>
      </c>
      <c r="C747" s="9">
        <v>0</v>
      </c>
      <c r="D747" s="9">
        <v>0</v>
      </c>
      <c r="E747" s="9">
        <v>0</v>
      </c>
      <c r="F747" s="9">
        <v>0</v>
      </c>
      <c r="G747" s="9">
        <v>0</v>
      </c>
      <c r="H747" s="9">
        <v>0</v>
      </c>
      <c r="I747" s="9">
        <v>0</v>
      </c>
      <c r="J747" s="9">
        <v>0</v>
      </c>
      <c r="K747" s="9">
        <v>0</v>
      </c>
      <c r="L747" s="9">
        <v>0</v>
      </c>
      <c r="M747" s="9">
        <v>0</v>
      </c>
      <c r="N747" s="9">
        <v>0</v>
      </c>
      <c r="O747" s="9">
        <v>0</v>
      </c>
      <c r="P747" s="9">
        <v>0</v>
      </c>
      <c r="Q747" s="9">
        <f>MAX(-20,MIN(10,$A747-VLOOKUP(YEAR($A747),'Festive dates'!$A$2:$J$5,8,FALSE)))</f>
        <v>-20</v>
      </c>
      <c r="R747" s="9">
        <f>IF(AND($A747&gt;VLOOKUP(YEAR($A747),'Festive dates'!$A$2:$J$5,2,FALSE),$A747&lt;VLOOKUP(YEAR($A747),'Festive dates'!$A$2:$J$5,3,FALSE)),1,0)</f>
        <v>0</v>
      </c>
      <c r="S747" s="9">
        <f>IF($A747=VLOOKUP(YEAR($A747),'Festive dates'!$A$2:$J$5,2,FALSE),1,0)</f>
        <v>0</v>
      </c>
      <c r="T747" s="9">
        <f>IF($A747=VLOOKUP(YEAR($A747),'Festive dates'!$A$2:$J$5,3,FALSE),1,0)</f>
        <v>0</v>
      </c>
      <c r="U747" s="9">
        <f>IF($A747=VLOOKUP(YEAR($A747),'Festive dates'!$A$2:$J$5,4,FALSE),1,0)</f>
        <v>0</v>
      </c>
      <c r="V747" s="9">
        <f>IF(AND($A747&gt;=VLOOKUP(YEAR($A747),'Festive dates'!$A$2:$J$5,9,FALSE),$A747&lt;=VLOOKUP(YEAR($A747),'Festive dates'!$A$2:$J$5,10,FALSE)),1,0)</f>
        <v>0</v>
      </c>
      <c r="W747" s="9">
        <f>IF($A747=VLOOKUP(YEAR($A747),'Festive dates'!$A$2:$J$5,7,FALSE),1,0)</f>
        <v>0</v>
      </c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</row>
    <row r="748" spans="1:51">
      <c r="A748" s="8">
        <v>45763</v>
      </c>
      <c r="B748" s="9">
        <v>0</v>
      </c>
      <c r="C748" s="9">
        <v>0</v>
      </c>
      <c r="D748" s="9">
        <v>0</v>
      </c>
      <c r="E748" s="9">
        <v>0</v>
      </c>
      <c r="F748" s="9">
        <v>0</v>
      </c>
      <c r="G748" s="9">
        <v>0</v>
      </c>
      <c r="H748" s="9">
        <v>0</v>
      </c>
      <c r="I748" s="9">
        <v>0</v>
      </c>
      <c r="J748" s="9">
        <v>0</v>
      </c>
      <c r="K748" s="9">
        <v>0</v>
      </c>
      <c r="L748" s="9">
        <v>0</v>
      </c>
      <c r="M748" s="9">
        <v>0</v>
      </c>
      <c r="N748" s="9">
        <v>0</v>
      </c>
      <c r="O748" s="9">
        <v>0</v>
      </c>
      <c r="P748" s="9">
        <v>0</v>
      </c>
      <c r="Q748" s="9">
        <f>MAX(-20,MIN(10,$A748-VLOOKUP(YEAR($A748),'Festive dates'!$A$2:$J$5,8,FALSE)))</f>
        <v>-20</v>
      </c>
      <c r="R748" s="9">
        <f>IF(AND($A748&gt;VLOOKUP(YEAR($A748),'Festive dates'!$A$2:$J$5,2,FALSE),$A748&lt;VLOOKUP(YEAR($A748),'Festive dates'!$A$2:$J$5,3,FALSE)),1,0)</f>
        <v>0</v>
      </c>
      <c r="S748" s="9">
        <f>IF($A748=VLOOKUP(YEAR($A748),'Festive dates'!$A$2:$J$5,2,FALSE),1,0)</f>
        <v>0</v>
      </c>
      <c r="T748" s="9">
        <f>IF($A748=VLOOKUP(YEAR($A748),'Festive dates'!$A$2:$J$5,3,FALSE),1,0)</f>
        <v>0</v>
      </c>
      <c r="U748" s="9">
        <f>IF($A748=VLOOKUP(YEAR($A748),'Festive dates'!$A$2:$J$5,4,FALSE),1,0)</f>
        <v>0</v>
      </c>
      <c r="V748" s="9">
        <f>IF(AND($A748&gt;=VLOOKUP(YEAR($A748),'Festive dates'!$A$2:$J$5,9,FALSE),$A748&lt;=VLOOKUP(YEAR($A748),'Festive dates'!$A$2:$J$5,10,FALSE)),1,0)</f>
        <v>0</v>
      </c>
      <c r="W748" s="9">
        <f>IF($A748=VLOOKUP(YEAR($A748),'Festive dates'!$A$2:$J$5,7,FALSE),1,0)</f>
        <v>0</v>
      </c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</row>
    <row r="749" spans="1:51">
      <c r="A749" s="8">
        <v>45764</v>
      </c>
      <c r="B749" s="9">
        <v>0</v>
      </c>
      <c r="C749" s="9">
        <v>0</v>
      </c>
      <c r="D749" s="9">
        <v>0</v>
      </c>
      <c r="E749" s="9">
        <v>0</v>
      </c>
      <c r="F749" s="9">
        <v>0</v>
      </c>
      <c r="G749" s="9">
        <v>0</v>
      </c>
      <c r="H749" s="9">
        <v>0</v>
      </c>
      <c r="I749" s="9">
        <v>0</v>
      </c>
      <c r="J749" s="9">
        <v>0</v>
      </c>
      <c r="K749" s="9">
        <v>0</v>
      </c>
      <c r="L749" s="9">
        <v>0</v>
      </c>
      <c r="M749" s="9">
        <v>0</v>
      </c>
      <c r="N749" s="9">
        <v>0</v>
      </c>
      <c r="O749" s="9">
        <v>0</v>
      </c>
      <c r="P749" s="9">
        <v>0</v>
      </c>
      <c r="Q749" s="9">
        <f>MAX(-20,MIN(10,$A749-VLOOKUP(YEAR($A749),'Festive dates'!$A$2:$J$5,8,FALSE)))</f>
        <v>-20</v>
      </c>
      <c r="R749" s="9">
        <f>IF(AND($A749&gt;VLOOKUP(YEAR($A749),'Festive dates'!$A$2:$J$5,2,FALSE),$A749&lt;VLOOKUP(YEAR($A749),'Festive dates'!$A$2:$J$5,3,FALSE)),1,0)</f>
        <v>0</v>
      </c>
      <c r="S749" s="9">
        <f>IF($A749=VLOOKUP(YEAR($A749),'Festive dates'!$A$2:$J$5,2,FALSE),1,0)</f>
        <v>0</v>
      </c>
      <c r="T749" s="9">
        <f>IF($A749=VLOOKUP(YEAR($A749),'Festive dates'!$A$2:$J$5,3,FALSE),1,0)</f>
        <v>0</v>
      </c>
      <c r="U749" s="9">
        <f>IF($A749=VLOOKUP(YEAR($A749),'Festive dates'!$A$2:$J$5,4,FALSE),1,0)</f>
        <v>0</v>
      </c>
      <c r="V749" s="9">
        <f>IF(AND($A749&gt;=VLOOKUP(YEAR($A749),'Festive dates'!$A$2:$J$5,9,FALSE),$A749&lt;=VLOOKUP(YEAR($A749),'Festive dates'!$A$2:$J$5,10,FALSE)),1,0)</f>
        <v>0</v>
      </c>
      <c r="W749" s="9">
        <f>IF($A749=VLOOKUP(YEAR($A749),'Festive dates'!$A$2:$J$5,7,FALSE),1,0)</f>
        <v>0</v>
      </c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</row>
    <row r="750" spans="1:51">
      <c r="A750" s="8">
        <v>45765</v>
      </c>
      <c r="B750" s="9">
        <v>0</v>
      </c>
      <c r="C750" s="9">
        <v>0</v>
      </c>
      <c r="D750" s="9">
        <v>0</v>
      </c>
      <c r="E750" s="9">
        <v>0</v>
      </c>
      <c r="F750" s="9">
        <v>0</v>
      </c>
      <c r="G750" s="9">
        <v>0</v>
      </c>
      <c r="H750" s="9">
        <v>0</v>
      </c>
      <c r="I750" s="9">
        <v>0</v>
      </c>
      <c r="J750" s="9">
        <v>0</v>
      </c>
      <c r="K750" s="9">
        <v>0</v>
      </c>
      <c r="L750" s="9">
        <v>0</v>
      </c>
      <c r="M750" s="9">
        <v>0</v>
      </c>
      <c r="N750" s="9">
        <v>0</v>
      </c>
      <c r="O750" s="9">
        <v>0</v>
      </c>
      <c r="P750" s="9">
        <v>1</v>
      </c>
      <c r="Q750" s="9">
        <f>MAX(-20,MIN(10,$A750-VLOOKUP(YEAR($A750),'Festive dates'!$A$2:$J$5,8,FALSE)))</f>
        <v>-20</v>
      </c>
      <c r="R750" s="9">
        <f>IF(AND($A750&gt;VLOOKUP(YEAR($A750),'Festive dates'!$A$2:$J$5,2,FALSE),$A750&lt;VLOOKUP(YEAR($A750),'Festive dates'!$A$2:$J$5,3,FALSE)),1,0)</f>
        <v>0</v>
      </c>
      <c r="S750" s="9">
        <f>IF($A750=VLOOKUP(YEAR($A750),'Festive dates'!$A$2:$J$5,2,FALSE),1,0)</f>
        <v>0</v>
      </c>
      <c r="T750" s="9">
        <f>IF($A750=VLOOKUP(YEAR($A750),'Festive dates'!$A$2:$J$5,3,FALSE),1,0)</f>
        <v>0</v>
      </c>
      <c r="U750" s="9">
        <f>IF($A750=VLOOKUP(YEAR($A750),'Festive dates'!$A$2:$J$5,4,FALSE),1,0)</f>
        <v>0</v>
      </c>
      <c r="V750" s="9">
        <f>IF(AND($A750&gt;=VLOOKUP(YEAR($A750),'Festive dates'!$A$2:$J$5,9,FALSE),$A750&lt;=VLOOKUP(YEAR($A750),'Festive dates'!$A$2:$J$5,10,FALSE)),1,0)</f>
        <v>0</v>
      </c>
      <c r="W750" s="9">
        <f>IF($A750=VLOOKUP(YEAR($A750),'Festive dates'!$A$2:$J$5,7,FALSE),1,0)</f>
        <v>0</v>
      </c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</row>
    <row r="751" spans="1:51">
      <c r="A751" s="8">
        <v>45766</v>
      </c>
      <c r="B751" s="9">
        <v>0</v>
      </c>
      <c r="C751" s="9">
        <v>0</v>
      </c>
      <c r="D751" s="9">
        <v>0</v>
      </c>
      <c r="E751" s="9">
        <v>0</v>
      </c>
      <c r="F751" s="9">
        <v>0</v>
      </c>
      <c r="G751" s="9">
        <v>0</v>
      </c>
      <c r="H751" s="9">
        <v>0</v>
      </c>
      <c r="I751" s="9">
        <v>0</v>
      </c>
      <c r="J751" s="9">
        <v>0</v>
      </c>
      <c r="K751" s="9">
        <v>0</v>
      </c>
      <c r="L751" s="9">
        <v>0</v>
      </c>
      <c r="M751" s="9">
        <v>0</v>
      </c>
      <c r="N751" s="9">
        <v>0</v>
      </c>
      <c r="O751" s="9">
        <v>0</v>
      </c>
      <c r="P751" s="9">
        <v>0</v>
      </c>
      <c r="Q751" s="9">
        <f>MAX(-20,MIN(10,$A751-VLOOKUP(YEAR($A751),'Festive dates'!$A$2:$J$5,8,FALSE)))</f>
        <v>-20</v>
      </c>
      <c r="R751" s="9">
        <f>IF(AND($A751&gt;VLOOKUP(YEAR($A751),'Festive dates'!$A$2:$J$5,2,FALSE),$A751&lt;VLOOKUP(YEAR($A751),'Festive dates'!$A$2:$J$5,3,FALSE)),1,0)</f>
        <v>0</v>
      </c>
      <c r="S751" s="9">
        <f>IF($A751=VLOOKUP(YEAR($A751),'Festive dates'!$A$2:$J$5,2,FALSE),1,0)</f>
        <v>0</v>
      </c>
      <c r="T751" s="9">
        <f>IF($A751=VLOOKUP(YEAR($A751),'Festive dates'!$A$2:$J$5,3,FALSE),1,0)</f>
        <v>0</v>
      </c>
      <c r="U751" s="9">
        <f>IF($A751=VLOOKUP(YEAR($A751),'Festive dates'!$A$2:$J$5,4,FALSE),1,0)</f>
        <v>0</v>
      </c>
      <c r="V751" s="9">
        <f>IF(AND($A751&gt;=VLOOKUP(YEAR($A751),'Festive dates'!$A$2:$J$5,9,FALSE),$A751&lt;=VLOOKUP(YEAR($A751),'Festive dates'!$A$2:$J$5,10,FALSE)),1,0)</f>
        <v>0</v>
      </c>
      <c r="W751" s="9">
        <f>IF($A751=VLOOKUP(YEAR($A751),'Festive dates'!$A$2:$J$5,7,FALSE),1,0)</f>
        <v>0</v>
      </c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</row>
    <row r="752" spans="1:51">
      <c r="A752" s="8">
        <v>45767</v>
      </c>
      <c r="B752" s="9">
        <v>0</v>
      </c>
      <c r="C752" s="9">
        <v>0</v>
      </c>
      <c r="D752" s="9">
        <v>0</v>
      </c>
      <c r="E752" s="9">
        <v>0</v>
      </c>
      <c r="F752" s="9">
        <v>0</v>
      </c>
      <c r="G752" s="9">
        <v>0</v>
      </c>
      <c r="H752" s="9">
        <v>0</v>
      </c>
      <c r="I752" s="9">
        <v>0</v>
      </c>
      <c r="J752" s="9">
        <v>0</v>
      </c>
      <c r="K752" s="9">
        <v>0</v>
      </c>
      <c r="L752" s="9">
        <v>0</v>
      </c>
      <c r="M752" s="9">
        <v>0</v>
      </c>
      <c r="N752" s="9">
        <v>0</v>
      </c>
      <c r="O752" s="9">
        <v>0</v>
      </c>
      <c r="P752" s="9">
        <v>0</v>
      </c>
      <c r="Q752" s="9">
        <f>MAX(-20,MIN(10,$A752-VLOOKUP(YEAR($A752),'Festive dates'!$A$2:$J$5,8,FALSE)))</f>
        <v>-20</v>
      </c>
      <c r="R752" s="9">
        <f>IF(AND($A752&gt;VLOOKUP(YEAR($A752),'Festive dates'!$A$2:$J$5,2,FALSE),$A752&lt;VLOOKUP(YEAR($A752),'Festive dates'!$A$2:$J$5,3,FALSE)),1,0)</f>
        <v>0</v>
      </c>
      <c r="S752" s="9">
        <f>IF($A752=VLOOKUP(YEAR($A752),'Festive dates'!$A$2:$J$5,2,FALSE),1,0)</f>
        <v>0</v>
      </c>
      <c r="T752" s="9">
        <f>IF($A752=VLOOKUP(YEAR($A752),'Festive dates'!$A$2:$J$5,3,FALSE),1,0)</f>
        <v>0</v>
      </c>
      <c r="U752" s="9">
        <f>IF($A752=VLOOKUP(YEAR($A752),'Festive dates'!$A$2:$J$5,4,FALSE),1,0)</f>
        <v>0</v>
      </c>
      <c r="V752" s="9">
        <f>IF(AND($A752&gt;=VLOOKUP(YEAR($A752),'Festive dates'!$A$2:$J$5,9,FALSE),$A752&lt;=VLOOKUP(YEAR($A752),'Festive dates'!$A$2:$J$5,10,FALSE)),1,0)</f>
        <v>0</v>
      </c>
      <c r="W752" s="9">
        <f>IF($A752=VLOOKUP(YEAR($A752),'Festive dates'!$A$2:$J$5,7,FALSE),1,0)</f>
        <v>0</v>
      </c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</row>
    <row r="753" spans="1:51">
      <c r="A753" s="8">
        <v>45768</v>
      </c>
      <c r="B753" s="9">
        <v>0</v>
      </c>
      <c r="C753" s="9">
        <v>0</v>
      </c>
      <c r="D753" s="9">
        <v>0</v>
      </c>
      <c r="E753" s="9">
        <v>0</v>
      </c>
      <c r="F753" s="9">
        <v>0</v>
      </c>
      <c r="G753" s="9">
        <v>0</v>
      </c>
      <c r="H753" s="9">
        <v>0</v>
      </c>
      <c r="I753" s="9">
        <v>0</v>
      </c>
      <c r="J753" s="9">
        <v>0</v>
      </c>
      <c r="K753" s="9">
        <v>0</v>
      </c>
      <c r="L753" s="9">
        <v>0</v>
      </c>
      <c r="M753" s="9">
        <v>0</v>
      </c>
      <c r="N753" s="9">
        <v>0</v>
      </c>
      <c r="O753" s="9">
        <v>0</v>
      </c>
      <c r="P753" s="9">
        <v>0</v>
      </c>
      <c r="Q753" s="9">
        <f>MAX(-20,MIN(10,$A753-VLOOKUP(YEAR($A753),'Festive dates'!$A$2:$J$5,8,FALSE)))</f>
        <v>-20</v>
      </c>
      <c r="R753" s="9">
        <f>IF(AND($A753&gt;VLOOKUP(YEAR($A753),'Festive dates'!$A$2:$J$5,2,FALSE),$A753&lt;VLOOKUP(YEAR($A753),'Festive dates'!$A$2:$J$5,3,FALSE)),1,0)</f>
        <v>0</v>
      </c>
      <c r="S753" s="9">
        <f>IF($A753=VLOOKUP(YEAR($A753),'Festive dates'!$A$2:$J$5,2,FALSE),1,0)</f>
        <v>0</v>
      </c>
      <c r="T753" s="9">
        <f>IF($A753=VLOOKUP(YEAR($A753),'Festive dates'!$A$2:$J$5,3,FALSE),1,0)</f>
        <v>0</v>
      </c>
      <c r="U753" s="9">
        <f>IF($A753=VLOOKUP(YEAR($A753),'Festive dates'!$A$2:$J$5,4,FALSE),1,0)</f>
        <v>0</v>
      </c>
      <c r="V753" s="9">
        <f>IF(AND($A753&gt;=VLOOKUP(YEAR($A753),'Festive dates'!$A$2:$J$5,9,FALSE),$A753&lt;=VLOOKUP(YEAR($A753),'Festive dates'!$A$2:$J$5,10,FALSE)),1,0)</f>
        <v>0</v>
      </c>
      <c r="W753" s="9">
        <f>IF($A753=VLOOKUP(YEAR($A753),'Festive dates'!$A$2:$J$5,7,FALSE),1,0)</f>
        <v>0</v>
      </c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</row>
    <row r="754" spans="1:51">
      <c r="A754" s="8">
        <v>45769</v>
      </c>
      <c r="B754" s="9">
        <v>0</v>
      </c>
      <c r="C754" s="9">
        <v>0</v>
      </c>
      <c r="D754" s="9">
        <v>0</v>
      </c>
      <c r="E754" s="9">
        <v>0</v>
      </c>
      <c r="F754" s="9">
        <v>0</v>
      </c>
      <c r="G754" s="9">
        <v>0</v>
      </c>
      <c r="H754" s="9">
        <v>0</v>
      </c>
      <c r="I754" s="9">
        <v>0</v>
      </c>
      <c r="J754" s="9">
        <v>0</v>
      </c>
      <c r="K754" s="9">
        <v>0</v>
      </c>
      <c r="L754" s="9">
        <v>0</v>
      </c>
      <c r="M754" s="9">
        <v>0</v>
      </c>
      <c r="N754" s="9">
        <v>0</v>
      </c>
      <c r="O754" s="9">
        <v>0</v>
      </c>
      <c r="P754" s="9">
        <v>1</v>
      </c>
      <c r="Q754" s="9">
        <f>MAX(-20,MIN(10,$A754-VLOOKUP(YEAR($A754),'Festive dates'!$A$2:$J$5,8,FALSE)))</f>
        <v>-20</v>
      </c>
      <c r="R754" s="9">
        <f>IF(AND($A754&gt;VLOOKUP(YEAR($A754),'Festive dates'!$A$2:$J$5,2,FALSE),$A754&lt;VLOOKUP(YEAR($A754),'Festive dates'!$A$2:$J$5,3,FALSE)),1,0)</f>
        <v>0</v>
      </c>
      <c r="S754" s="9">
        <f>IF($A754=VLOOKUP(YEAR($A754),'Festive dates'!$A$2:$J$5,2,FALSE),1,0)</f>
        <v>0</v>
      </c>
      <c r="T754" s="9">
        <f>IF($A754=VLOOKUP(YEAR($A754),'Festive dates'!$A$2:$J$5,3,FALSE),1,0)</f>
        <v>0</v>
      </c>
      <c r="U754" s="9">
        <f>IF($A754=VLOOKUP(YEAR($A754),'Festive dates'!$A$2:$J$5,4,FALSE),1,0)</f>
        <v>0</v>
      </c>
      <c r="V754" s="9">
        <f>IF(AND($A754&gt;=VLOOKUP(YEAR($A754),'Festive dates'!$A$2:$J$5,9,FALSE),$A754&lt;=VLOOKUP(YEAR($A754),'Festive dates'!$A$2:$J$5,10,FALSE)),1,0)</f>
        <v>0</v>
      </c>
      <c r="W754" s="9">
        <f>IF($A754=VLOOKUP(YEAR($A754),'Festive dates'!$A$2:$J$5,7,FALSE),1,0)</f>
        <v>0</v>
      </c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</row>
    <row r="755" spans="1:51">
      <c r="A755" s="8">
        <v>45770</v>
      </c>
      <c r="B755" s="9">
        <v>0</v>
      </c>
      <c r="C755" s="9">
        <v>0</v>
      </c>
      <c r="D755" s="9">
        <v>0</v>
      </c>
      <c r="E755" s="9">
        <v>0</v>
      </c>
      <c r="F755" s="9">
        <v>0</v>
      </c>
      <c r="G755" s="9">
        <v>0</v>
      </c>
      <c r="H755" s="9">
        <v>0</v>
      </c>
      <c r="I755" s="9">
        <v>0</v>
      </c>
      <c r="J755" s="9">
        <v>0</v>
      </c>
      <c r="K755" s="9">
        <v>0</v>
      </c>
      <c r="L755" s="9">
        <v>0</v>
      </c>
      <c r="M755" s="9">
        <v>0</v>
      </c>
      <c r="N755" s="9">
        <v>0</v>
      </c>
      <c r="O755" s="9">
        <v>0</v>
      </c>
      <c r="P755" s="9">
        <v>1</v>
      </c>
      <c r="Q755" s="9">
        <f>MAX(-20,MIN(10,$A755-VLOOKUP(YEAR($A755),'Festive dates'!$A$2:$J$5,8,FALSE)))</f>
        <v>-20</v>
      </c>
      <c r="R755" s="9">
        <f>IF(AND($A755&gt;VLOOKUP(YEAR($A755),'Festive dates'!$A$2:$J$5,2,FALSE),$A755&lt;VLOOKUP(YEAR($A755),'Festive dates'!$A$2:$J$5,3,FALSE)),1,0)</f>
        <v>0</v>
      </c>
      <c r="S755" s="9">
        <f>IF($A755=VLOOKUP(YEAR($A755),'Festive dates'!$A$2:$J$5,2,FALSE),1,0)</f>
        <v>0</v>
      </c>
      <c r="T755" s="9">
        <f>IF($A755=VLOOKUP(YEAR($A755),'Festive dates'!$A$2:$J$5,3,FALSE),1,0)</f>
        <v>0</v>
      </c>
      <c r="U755" s="9">
        <f>IF($A755=VLOOKUP(YEAR($A755),'Festive dates'!$A$2:$J$5,4,FALSE),1,0)</f>
        <v>0</v>
      </c>
      <c r="V755" s="9">
        <f>IF(AND($A755&gt;=VLOOKUP(YEAR($A755),'Festive dates'!$A$2:$J$5,9,FALSE),$A755&lt;=VLOOKUP(YEAR($A755),'Festive dates'!$A$2:$J$5,10,FALSE)),1,0)</f>
        <v>0</v>
      </c>
      <c r="W755" s="9">
        <f>IF($A755=VLOOKUP(YEAR($A755),'Festive dates'!$A$2:$J$5,7,FALSE),1,0)</f>
        <v>0</v>
      </c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</row>
    <row r="756" spans="1:51">
      <c r="A756" s="8">
        <v>45771</v>
      </c>
      <c r="B756" s="9">
        <v>0</v>
      </c>
      <c r="C756" s="9">
        <v>0</v>
      </c>
      <c r="D756" s="9">
        <v>0</v>
      </c>
      <c r="E756" s="9">
        <v>0</v>
      </c>
      <c r="F756" s="9">
        <v>0</v>
      </c>
      <c r="G756" s="9">
        <v>0</v>
      </c>
      <c r="H756" s="9">
        <v>0</v>
      </c>
      <c r="I756" s="9">
        <v>0</v>
      </c>
      <c r="J756" s="9">
        <v>0</v>
      </c>
      <c r="K756" s="9">
        <v>0</v>
      </c>
      <c r="L756" s="9">
        <v>0</v>
      </c>
      <c r="M756" s="9">
        <v>0</v>
      </c>
      <c r="N756" s="9">
        <v>0</v>
      </c>
      <c r="O756" s="9">
        <v>0</v>
      </c>
      <c r="P756" s="9">
        <v>1</v>
      </c>
      <c r="Q756" s="9">
        <f>MAX(-20,MIN(10,$A756-VLOOKUP(YEAR($A756),'Festive dates'!$A$2:$J$5,8,FALSE)))</f>
        <v>-20</v>
      </c>
      <c r="R756" s="9">
        <f>IF(AND($A756&gt;VLOOKUP(YEAR($A756),'Festive dates'!$A$2:$J$5,2,FALSE),$A756&lt;VLOOKUP(YEAR($A756),'Festive dates'!$A$2:$J$5,3,FALSE)),1,0)</f>
        <v>0</v>
      </c>
      <c r="S756" s="9">
        <f>IF($A756=VLOOKUP(YEAR($A756),'Festive dates'!$A$2:$J$5,2,FALSE),1,0)</f>
        <v>0</v>
      </c>
      <c r="T756" s="9">
        <f>IF($A756=VLOOKUP(YEAR($A756),'Festive dates'!$A$2:$J$5,3,FALSE),1,0)</f>
        <v>0</v>
      </c>
      <c r="U756" s="9">
        <f>IF($A756=VLOOKUP(YEAR($A756),'Festive dates'!$A$2:$J$5,4,FALSE),1,0)</f>
        <v>0</v>
      </c>
      <c r="V756" s="9">
        <f>IF(AND($A756&gt;=VLOOKUP(YEAR($A756),'Festive dates'!$A$2:$J$5,9,FALSE),$A756&lt;=VLOOKUP(YEAR($A756),'Festive dates'!$A$2:$J$5,10,FALSE)),1,0)</f>
        <v>0</v>
      </c>
      <c r="W756" s="9">
        <f>IF($A756=VLOOKUP(YEAR($A756),'Festive dates'!$A$2:$J$5,7,FALSE),1,0)</f>
        <v>0</v>
      </c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</row>
    <row r="757" spans="1:51">
      <c r="A757" s="8">
        <v>45772</v>
      </c>
      <c r="B757" s="9">
        <v>0</v>
      </c>
      <c r="C757" s="9">
        <v>0</v>
      </c>
      <c r="D757" s="9">
        <v>0</v>
      </c>
      <c r="E757" s="9">
        <v>0</v>
      </c>
      <c r="F757" s="9">
        <v>0</v>
      </c>
      <c r="G757" s="9">
        <v>0</v>
      </c>
      <c r="H757" s="9">
        <v>0</v>
      </c>
      <c r="I757" s="9">
        <v>0</v>
      </c>
      <c r="J757" s="9">
        <v>0</v>
      </c>
      <c r="K757" s="9">
        <v>0</v>
      </c>
      <c r="L757" s="9">
        <v>0</v>
      </c>
      <c r="M757" s="9">
        <v>0</v>
      </c>
      <c r="N757" s="9">
        <v>0</v>
      </c>
      <c r="O757" s="9">
        <v>0</v>
      </c>
      <c r="P757" s="9">
        <v>0</v>
      </c>
      <c r="Q757" s="9">
        <f>MAX(-20,MIN(10,$A757-VLOOKUP(YEAR($A757),'Festive dates'!$A$2:$J$5,8,FALSE)))</f>
        <v>-20</v>
      </c>
      <c r="R757" s="9">
        <f>IF(AND($A757&gt;VLOOKUP(YEAR($A757),'Festive dates'!$A$2:$J$5,2,FALSE),$A757&lt;VLOOKUP(YEAR($A757),'Festive dates'!$A$2:$J$5,3,FALSE)),1,0)</f>
        <v>0</v>
      </c>
      <c r="S757" s="9">
        <f>IF($A757=VLOOKUP(YEAR($A757),'Festive dates'!$A$2:$J$5,2,FALSE),1,0)</f>
        <v>0</v>
      </c>
      <c r="T757" s="9">
        <f>IF($A757=VLOOKUP(YEAR($A757),'Festive dates'!$A$2:$J$5,3,FALSE),1,0)</f>
        <v>0</v>
      </c>
      <c r="U757" s="9">
        <f>IF($A757=VLOOKUP(YEAR($A757),'Festive dates'!$A$2:$J$5,4,FALSE),1,0)</f>
        <v>0</v>
      </c>
      <c r="V757" s="9">
        <f>IF(AND($A757&gt;=VLOOKUP(YEAR($A757),'Festive dates'!$A$2:$J$5,9,FALSE),$A757&lt;=VLOOKUP(YEAR($A757),'Festive dates'!$A$2:$J$5,10,FALSE)),1,0)</f>
        <v>0</v>
      </c>
      <c r="W757" s="9">
        <f>IF($A757=VLOOKUP(YEAR($A757),'Festive dates'!$A$2:$J$5,7,FALSE),1,0)</f>
        <v>0</v>
      </c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</row>
    <row r="758" spans="1:51">
      <c r="A758" s="8">
        <v>45773</v>
      </c>
      <c r="B758" s="9">
        <v>0</v>
      </c>
      <c r="C758" s="9">
        <v>0</v>
      </c>
      <c r="D758" s="9">
        <v>0</v>
      </c>
      <c r="E758" s="9">
        <v>0</v>
      </c>
      <c r="F758" s="9">
        <v>0</v>
      </c>
      <c r="G758" s="9">
        <v>0</v>
      </c>
      <c r="H758" s="9">
        <v>0</v>
      </c>
      <c r="I758" s="9">
        <v>0</v>
      </c>
      <c r="J758" s="9">
        <v>0</v>
      </c>
      <c r="K758" s="9">
        <v>0</v>
      </c>
      <c r="L758" s="9">
        <v>0</v>
      </c>
      <c r="M758" s="9">
        <v>0</v>
      </c>
      <c r="N758" s="9">
        <v>0</v>
      </c>
      <c r="O758" s="9">
        <v>0</v>
      </c>
      <c r="P758" s="9">
        <v>0</v>
      </c>
      <c r="Q758" s="9">
        <f>MAX(-20,MIN(10,$A758-VLOOKUP(YEAR($A758),'Festive dates'!$A$2:$J$5,8,FALSE)))</f>
        <v>-20</v>
      </c>
      <c r="R758" s="9">
        <f>IF(AND($A758&gt;VLOOKUP(YEAR($A758),'Festive dates'!$A$2:$J$5,2,FALSE),$A758&lt;VLOOKUP(YEAR($A758),'Festive dates'!$A$2:$J$5,3,FALSE)),1,0)</f>
        <v>0</v>
      </c>
      <c r="S758" s="9">
        <f>IF($A758=VLOOKUP(YEAR($A758),'Festive dates'!$A$2:$J$5,2,FALSE),1,0)</f>
        <v>0</v>
      </c>
      <c r="T758" s="9">
        <f>IF($A758=VLOOKUP(YEAR($A758),'Festive dates'!$A$2:$J$5,3,FALSE),1,0)</f>
        <v>0</v>
      </c>
      <c r="U758" s="9">
        <f>IF($A758=VLOOKUP(YEAR($A758),'Festive dates'!$A$2:$J$5,4,FALSE),1,0)</f>
        <v>0</v>
      </c>
      <c r="V758" s="9">
        <f>IF(AND($A758&gt;=VLOOKUP(YEAR($A758),'Festive dates'!$A$2:$J$5,9,FALSE),$A758&lt;=VLOOKUP(YEAR($A758),'Festive dates'!$A$2:$J$5,10,FALSE)),1,0)</f>
        <v>0</v>
      </c>
      <c r="W758" s="9">
        <f>IF($A758=VLOOKUP(YEAR($A758),'Festive dates'!$A$2:$J$5,7,FALSE),1,0)</f>
        <v>0</v>
      </c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</row>
    <row r="759" spans="1:51">
      <c r="A759" s="8">
        <v>45774</v>
      </c>
      <c r="B759" s="9">
        <v>0</v>
      </c>
      <c r="C759" s="9">
        <v>0</v>
      </c>
      <c r="D759" s="9">
        <v>0</v>
      </c>
      <c r="E759" s="9">
        <v>0</v>
      </c>
      <c r="F759" s="9">
        <v>0</v>
      </c>
      <c r="G759" s="9">
        <v>0</v>
      </c>
      <c r="H759" s="9">
        <v>0</v>
      </c>
      <c r="I759" s="9">
        <v>0</v>
      </c>
      <c r="J759" s="9">
        <v>0</v>
      </c>
      <c r="K759" s="9">
        <v>0</v>
      </c>
      <c r="L759" s="9">
        <v>0</v>
      </c>
      <c r="M759" s="9">
        <v>0</v>
      </c>
      <c r="N759" s="9">
        <v>0</v>
      </c>
      <c r="O759" s="9">
        <v>0</v>
      </c>
      <c r="P759" s="9">
        <v>0</v>
      </c>
      <c r="Q759" s="9">
        <f>MAX(-20,MIN(10,$A759-VLOOKUP(YEAR($A759),'Festive dates'!$A$2:$J$5,8,FALSE)))</f>
        <v>-20</v>
      </c>
      <c r="R759" s="9">
        <f>IF(AND($A759&gt;VLOOKUP(YEAR($A759),'Festive dates'!$A$2:$J$5,2,FALSE),$A759&lt;VLOOKUP(YEAR($A759),'Festive dates'!$A$2:$J$5,3,FALSE)),1,0)</f>
        <v>0</v>
      </c>
      <c r="S759" s="9">
        <f>IF($A759=VLOOKUP(YEAR($A759),'Festive dates'!$A$2:$J$5,2,FALSE),1,0)</f>
        <v>0</v>
      </c>
      <c r="T759" s="9">
        <f>IF($A759=VLOOKUP(YEAR($A759),'Festive dates'!$A$2:$J$5,3,FALSE),1,0)</f>
        <v>0</v>
      </c>
      <c r="U759" s="9">
        <f>IF($A759=VLOOKUP(YEAR($A759),'Festive dates'!$A$2:$J$5,4,FALSE),1,0)</f>
        <v>0</v>
      </c>
      <c r="V759" s="9">
        <f>IF(AND($A759&gt;=VLOOKUP(YEAR($A759),'Festive dates'!$A$2:$J$5,9,FALSE),$A759&lt;=VLOOKUP(YEAR($A759),'Festive dates'!$A$2:$J$5,10,FALSE)),1,0)</f>
        <v>0</v>
      </c>
      <c r="W759" s="9">
        <f>IF($A759=VLOOKUP(YEAR($A759),'Festive dates'!$A$2:$J$5,7,FALSE),1,0)</f>
        <v>0</v>
      </c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</row>
    <row r="760" spans="1:51">
      <c r="A760" s="8">
        <v>45775</v>
      </c>
      <c r="B760" s="9">
        <v>0</v>
      </c>
      <c r="C760" s="9">
        <v>0</v>
      </c>
      <c r="D760" s="9">
        <v>0</v>
      </c>
      <c r="E760" s="9">
        <v>0</v>
      </c>
      <c r="F760" s="9">
        <v>0</v>
      </c>
      <c r="G760" s="9">
        <v>0</v>
      </c>
      <c r="H760" s="9">
        <v>0</v>
      </c>
      <c r="I760" s="9">
        <v>0</v>
      </c>
      <c r="J760" s="9">
        <v>0</v>
      </c>
      <c r="K760" s="9">
        <v>0</v>
      </c>
      <c r="L760" s="9">
        <v>0</v>
      </c>
      <c r="M760" s="9">
        <v>0</v>
      </c>
      <c r="N760" s="9">
        <v>0</v>
      </c>
      <c r="O760" s="9">
        <v>0</v>
      </c>
      <c r="P760" s="9">
        <v>1</v>
      </c>
      <c r="Q760" s="9">
        <f>MAX(-20,MIN(10,$A760-VLOOKUP(YEAR($A760),'Festive dates'!$A$2:$J$5,8,FALSE)))</f>
        <v>-20</v>
      </c>
      <c r="R760" s="9">
        <f>IF(AND($A760&gt;VLOOKUP(YEAR($A760),'Festive dates'!$A$2:$J$5,2,FALSE),$A760&lt;VLOOKUP(YEAR($A760),'Festive dates'!$A$2:$J$5,3,FALSE)),1,0)</f>
        <v>0</v>
      </c>
      <c r="S760" s="9">
        <f>IF($A760=VLOOKUP(YEAR($A760),'Festive dates'!$A$2:$J$5,2,FALSE),1,0)</f>
        <v>0</v>
      </c>
      <c r="T760" s="9">
        <f>IF($A760=VLOOKUP(YEAR($A760),'Festive dates'!$A$2:$J$5,3,FALSE),1,0)</f>
        <v>0</v>
      </c>
      <c r="U760" s="9">
        <f>IF($A760=VLOOKUP(YEAR($A760),'Festive dates'!$A$2:$J$5,4,FALSE),1,0)</f>
        <v>0</v>
      </c>
      <c r="V760" s="9">
        <f>IF(AND($A760&gt;=VLOOKUP(YEAR($A760),'Festive dates'!$A$2:$J$5,9,FALSE),$A760&lt;=VLOOKUP(YEAR($A760),'Festive dates'!$A$2:$J$5,10,FALSE)),1,0)</f>
        <v>0</v>
      </c>
      <c r="W760" s="9">
        <f>IF($A760=VLOOKUP(YEAR($A760),'Festive dates'!$A$2:$J$5,7,FALSE),1,0)</f>
        <v>0</v>
      </c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</row>
    <row r="761" spans="1:51">
      <c r="A761" s="8">
        <v>45776</v>
      </c>
      <c r="B761" s="9">
        <v>0</v>
      </c>
      <c r="C761" s="9">
        <v>0</v>
      </c>
      <c r="D761" s="9">
        <v>0</v>
      </c>
      <c r="E761" s="9">
        <v>0</v>
      </c>
      <c r="F761" s="9">
        <v>0</v>
      </c>
      <c r="G761" s="9">
        <v>0</v>
      </c>
      <c r="H761" s="9">
        <v>0</v>
      </c>
      <c r="I761" s="9">
        <v>0</v>
      </c>
      <c r="J761" s="9">
        <v>0</v>
      </c>
      <c r="K761" s="9">
        <v>0</v>
      </c>
      <c r="L761" s="9">
        <v>0</v>
      </c>
      <c r="M761" s="9">
        <v>0</v>
      </c>
      <c r="N761" s="9">
        <v>0</v>
      </c>
      <c r="O761" s="9">
        <v>0</v>
      </c>
      <c r="P761" s="9">
        <v>1</v>
      </c>
      <c r="Q761" s="9">
        <f>MAX(-20,MIN(10,$A761-VLOOKUP(YEAR($A761),'Festive dates'!$A$2:$J$5,8,FALSE)))</f>
        <v>-20</v>
      </c>
      <c r="R761" s="9">
        <f>IF(AND($A761&gt;VLOOKUP(YEAR($A761),'Festive dates'!$A$2:$J$5,2,FALSE),$A761&lt;VLOOKUP(YEAR($A761),'Festive dates'!$A$2:$J$5,3,FALSE)),1,0)</f>
        <v>0</v>
      </c>
      <c r="S761" s="9">
        <f>IF($A761=VLOOKUP(YEAR($A761),'Festive dates'!$A$2:$J$5,2,FALSE),1,0)</f>
        <v>0</v>
      </c>
      <c r="T761" s="9">
        <f>IF($A761=VLOOKUP(YEAR($A761),'Festive dates'!$A$2:$J$5,3,FALSE),1,0)</f>
        <v>0</v>
      </c>
      <c r="U761" s="9">
        <f>IF($A761=VLOOKUP(YEAR($A761),'Festive dates'!$A$2:$J$5,4,FALSE),1,0)</f>
        <v>0</v>
      </c>
      <c r="V761" s="9">
        <f>IF(AND($A761&gt;=VLOOKUP(YEAR($A761),'Festive dates'!$A$2:$J$5,9,FALSE),$A761&lt;=VLOOKUP(YEAR($A761),'Festive dates'!$A$2:$J$5,10,FALSE)),1,0)</f>
        <v>0</v>
      </c>
      <c r="W761" s="9">
        <f>IF($A761=VLOOKUP(YEAR($A761),'Festive dates'!$A$2:$J$5,7,FALSE),1,0)</f>
        <v>0</v>
      </c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</row>
    <row r="762" spans="1:51">
      <c r="A762" s="8">
        <v>45777</v>
      </c>
      <c r="B762" s="9">
        <v>0</v>
      </c>
      <c r="C762" s="9">
        <v>0</v>
      </c>
      <c r="D762" s="9">
        <v>0</v>
      </c>
      <c r="E762" s="9">
        <v>0</v>
      </c>
      <c r="F762" s="9">
        <v>0</v>
      </c>
      <c r="G762" s="9">
        <v>0</v>
      </c>
      <c r="H762" s="9">
        <v>0</v>
      </c>
      <c r="I762" s="9">
        <v>1</v>
      </c>
      <c r="J762" s="9">
        <v>0</v>
      </c>
      <c r="K762" s="9">
        <v>0</v>
      </c>
      <c r="L762" s="9">
        <v>0</v>
      </c>
      <c r="M762" s="9">
        <v>0</v>
      </c>
      <c r="N762" s="9">
        <v>0</v>
      </c>
      <c r="O762" s="9">
        <v>0</v>
      </c>
      <c r="P762" s="9">
        <v>0</v>
      </c>
      <c r="Q762" s="9">
        <f>MAX(-20,MIN(10,$A762-VLOOKUP(YEAR($A762),'Festive dates'!$A$2:$J$5,8,FALSE)))</f>
        <v>-20</v>
      </c>
      <c r="R762" s="9">
        <f>IF(AND($A762&gt;VLOOKUP(YEAR($A762),'Festive dates'!$A$2:$J$5,2,FALSE),$A762&lt;VLOOKUP(YEAR($A762),'Festive dates'!$A$2:$J$5,3,FALSE)),1,0)</f>
        <v>0</v>
      </c>
      <c r="S762" s="9">
        <f>IF($A762=VLOOKUP(YEAR($A762),'Festive dates'!$A$2:$J$5,2,FALSE),1,0)</f>
        <v>0</v>
      </c>
      <c r="T762" s="9">
        <f>IF($A762=VLOOKUP(YEAR($A762),'Festive dates'!$A$2:$J$5,3,FALSE),1,0)</f>
        <v>0</v>
      </c>
      <c r="U762" s="9">
        <f>IF($A762=VLOOKUP(YEAR($A762),'Festive dates'!$A$2:$J$5,4,FALSE),1,0)</f>
        <v>0</v>
      </c>
      <c r="V762" s="9">
        <f>IF(AND($A762&gt;=VLOOKUP(YEAR($A762),'Festive dates'!$A$2:$J$5,9,FALSE),$A762&lt;=VLOOKUP(YEAR($A762),'Festive dates'!$A$2:$J$5,10,FALSE)),1,0)</f>
        <v>0</v>
      </c>
      <c r="W762" s="9">
        <f>IF($A762=VLOOKUP(YEAR($A762),'Festive dates'!$A$2:$J$5,7,FALSE),1,0)</f>
        <v>0</v>
      </c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</row>
    <row r="763" spans="1:51">
      <c r="A763" s="8">
        <v>45778</v>
      </c>
      <c r="B763" s="9">
        <v>0</v>
      </c>
      <c r="C763" s="9">
        <v>0</v>
      </c>
      <c r="D763" s="9">
        <v>0</v>
      </c>
      <c r="E763" s="9">
        <v>0</v>
      </c>
      <c r="F763" s="9">
        <v>0</v>
      </c>
      <c r="G763" s="9">
        <v>0</v>
      </c>
      <c r="H763" s="9">
        <v>0</v>
      </c>
      <c r="I763" s="9">
        <v>0</v>
      </c>
      <c r="J763" s="9">
        <v>0</v>
      </c>
      <c r="K763" s="9">
        <v>0</v>
      </c>
      <c r="L763" s="9">
        <v>0</v>
      </c>
      <c r="M763" s="9">
        <v>0</v>
      </c>
      <c r="N763" s="9">
        <v>0</v>
      </c>
      <c r="O763" s="9">
        <v>0</v>
      </c>
      <c r="P763" s="9">
        <v>1</v>
      </c>
      <c r="Q763" s="9">
        <f>MAX(-20,MIN(10,$A763-VLOOKUP(YEAR($A763),'Festive dates'!$A$2:$J$5,8,FALSE)))</f>
        <v>-20</v>
      </c>
      <c r="R763" s="9">
        <f>IF(AND($A763&gt;VLOOKUP(YEAR($A763),'Festive dates'!$A$2:$J$5,2,FALSE),$A763&lt;VLOOKUP(YEAR($A763),'Festive dates'!$A$2:$J$5,3,FALSE)),1,0)</f>
        <v>0</v>
      </c>
      <c r="S763" s="9">
        <f>IF($A763=VLOOKUP(YEAR($A763),'Festive dates'!$A$2:$J$5,2,FALSE),1,0)</f>
        <v>0</v>
      </c>
      <c r="T763" s="9">
        <f>IF($A763=VLOOKUP(YEAR($A763),'Festive dates'!$A$2:$J$5,3,FALSE),1,0)</f>
        <v>0</v>
      </c>
      <c r="U763" s="9">
        <f>IF($A763=VLOOKUP(YEAR($A763),'Festive dates'!$A$2:$J$5,4,FALSE),1,0)</f>
        <v>0</v>
      </c>
      <c r="V763" s="9">
        <f>IF(AND($A763&gt;=VLOOKUP(YEAR($A763),'Festive dates'!$A$2:$J$5,9,FALSE),$A763&lt;=VLOOKUP(YEAR($A763),'Festive dates'!$A$2:$J$5,10,FALSE)),1,0)</f>
        <v>0</v>
      </c>
      <c r="W763" s="9">
        <f>IF($A763=VLOOKUP(YEAR($A763),'Festive dates'!$A$2:$J$5,7,FALSE),1,0)</f>
        <v>0</v>
      </c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</row>
    <row r="764" spans="1:51">
      <c r="A764" s="8">
        <v>45779</v>
      </c>
      <c r="B764" s="9">
        <v>0</v>
      </c>
      <c r="C764" s="9">
        <v>0</v>
      </c>
      <c r="D764" s="9">
        <v>0</v>
      </c>
      <c r="E764" s="9">
        <v>0</v>
      </c>
      <c r="F764" s="9">
        <v>0</v>
      </c>
      <c r="G764" s="9">
        <v>0</v>
      </c>
      <c r="H764" s="9">
        <v>0</v>
      </c>
      <c r="I764" s="9">
        <v>0</v>
      </c>
      <c r="J764" s="9">
        <v>0</v>
      </c>
      <c r="K764" s="9">
        <v>0</v>
      </c>
      <c r="L764" s="9">
        <v>0</v>
      </c>
      <c r="M764" s="9">
        <v>0</v>
      </c>
      <c r="N764" s="9">
        <v>0</v>
      </c>
      <c r="O764" s="9">
        <v>0</v>
      </c>
      <c r="P764" s="9">
        <v>0</v>
      </c>
      <c r="Q764" s="9">
        <f>MAX(-20,MIN(10,$A764-VLOOKUP(YEAR($A764),'Festive dates'!$A$2:$J$5,8,FALSE)))</f>
        <v>-20</v>
      </c>
      <c r="R764" s="9">
        <f>IF(AND($A764&gt;VLOOKUP(YEAR($A764),'Festive dates'!$A$2:$J$5,2,FALSE),$A764&lt;VLOOKUP(YEAR($A764),'Festive dates'!$A$2:$J$5,3,FALSE)),1,0)</f>
        <v>0</v>
      </c>
      <c r="S764" s="9">
        <f>IF($A764=VLOOKUP(YEAR($A764),'Festive dates'!$A$2:$J$5,2,FALSE),1,0)</f>
        <v>0</v>
      </c>
      <c r="T764" s="9">
        <f>IF($A764=VLOOKUP(YEAR($A764),'Festive dates'!$A$2:$J$5,3,FALSE),1,0)</f>
        <v>0</v>
      </c>
      <c r="U764" s="9">
        <f>IF($A764=VLOOKUP(YEAR($A764),'Festive dates'!$A$2:$J$5,4,FALSE),1,0)</f>
        <v>0</v>
      </c>
      <c r="V764" s="9">
        <f>IF(AND($A764&gt;=VLOOKUP(YEAR($A764),'Festive dates'!$A$2:$J$5,9,FALSE),$A764&lt;=VLOOKUP(YEAR($A764),'Festive dates'!$A$2:$J$5,10,FALSE)),1,0)</f>
        <v>0</v>
      </c>
      <c r="W764" s="9">
        <f>IF($A764=VLOOKUP(YEAR($A764),'Festive dates'!$A$2:$J$5,7,FALSE),1,0)</f>
        <v>0</v>
      </c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</row>
    <row r="765" spans="1:51">
      <c r="A765" s="8">
        <v>45780</v>
      </c>
      <c r="B765" s="9">
        <v>0</v>
      </c>
      <c r="C765" s="9">
        <v>0</v>
      </c>
      <c r="D765" s="9">
        <v>0</v>
      </c>
      <c r="E765" s="9">
        <v>0</v>
      </c>
      <c r="F765" s="9">
        <v>0</v>
      </c>
      <c r="G765" s="9">
        <v>0</v>
      </c>
      <c r="H765" s="9">
        <v>0</v>
      </c>
      <c r="I765" s="9">
        <v>0</v>
      </c>
      <c r="J765" s="9">
        <v>0</v>
      </c>
      <c r="K765" s="9">
        <v>0</v>
      </c>
      <c r="L765" s="9">
        <v>0</v>
      </c>
      <c r="M765" s="9">
        <v>0</v>
      </c>
      <c r="N765" s="9">
        <v>0</v>
      </c>
      <c r="O765" s="9">
        <v>0</v>
      </c>
      <c r="P765" s="9">
        <v>1</v>
      </c>
      <c r="Q765" s="9">
        <f>MAX(-20,MIN(10,$A765-VLOOKUP(YEAR($A765),'Festive dates'!$A$2:$J$5,8,FALSE)))</f>
        <v>-20</v>
      </c>
      <c r="R765" s="9">
        <f>IF(AND($A765&gt;VLOOKUP(YEAR($A765),'Festive dates'!$A$2:$J$5,2,FALSE),$A765&lt;VLOOKUP(YEAR($A765),'Festive dates'!$A$2:$J$5,3,FALSE)),1,0)</f>
        <v>0</v>
      </c>
      <c r="S765" s="9">
        <f>IF($A765=VLOOKUP(YEAR($A765),'Festive dates'!$A$2:$J$5,2,FALSE),1,0)</f>
        <v>0</v>
      </c>
      <c r="T765" s="9">
        <f>IF($A765=VLOOKUP(YEAR($A765),'Festive dates'!$A$2:$J$5,3,FALSE),1,0)</f>
        <v>0</v>
      </c>
      <c r="U765" s="9">
        <f>IF($A765=VLOOKUP(YEAR($A765),'Festive dates'!$A$2:$J$5,4,FALSE),1,0)</f>
        <v>0</v>
      </c>
      <c r="V765" s="9">
        <f>IF(AND($A765&gt;=VLOOKUP(YEAR($A765),'Festive dates'!$A$2:$J$5,9,FALSE),$A765&lt;=VLOOKUP(YEAR($A765),'Festive dates'!$A$2:$J$5,10,FALSE)),1,0)</f>
        <v>0</v>
      </c>
      <c r="W765" s="9">
        <f>IF($A765=VLOOKUP(YEAR($A765),'Festive dates'!$A$2:$J$5,7,FALSE),1,0)</f>
        <v>0</v>
      </c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</row>
    <row r="766" spans="1:51">
      <c r="A766" s="8">
        <v>45781</v>
      </c>
      <c r="B766" s="9">
        <v>0</v>
      </c>
      <c r="C766" s="9">
        <v>0</v>
      </c>
      <c r="D766" s="9">
        <v>0</v>
      </c>
      <c r="E766" s="9">
        <v>0</v>
      </c>
      <c r="F766" s="9">
        <v>0</v>
      </c>
      <c r="G766" s="9">
        <v>0</v>
      </c>
      <c r="H766" s="9">
        <v>0</v>
      </c>
      <c r="I766" s="9">
        <v>0</v>
      </c>
      <c r="J766" s="9">
        <v>0</v>
      </c>
      <c r="K766" s="9">
        <v>0</v>
      </c>
      <c r="L766" s="9">
        <v>0</v>
      </c>
      <c r="M766" s="9">
        <v>0</v>
      </c>
      <c r="N766" s="9">
        <v>0</v>
      </c>
      <c r="O766" s="9">
        <v>0</v>
      </c>
      <c r="P766" s="9">
        <v>0</v>
      </c>
      <c r="Q766" s="9">
        <f>MAX(-20,MIN(10,$A766-VLOOKUP(YEAR($A766),'Festive dates'!$A$2:$J$5,8,FALSE)))</f>
        <v>-20</v>
      </c>
      <c r="R766" s="9">
        <f>IF(AND($A766&gt;VLOOKUP(YEAR($A766),'Festive dates'!$A$2:$J$5,2,FALSE),$A766&lt;VLOOKUP(YEAR($A766),'Festive dates'!$A$2:$J$5,3,FALSE)),1,0)</f>
        <v>0</v>
      </c>
      <c r="S766" s="9">
        <f>IF($A766=VLOOKUP(YEAR($A766),'Festive dates'!$A$2:$J$5,2,FALSE),1,0)</f>
        <v>0</v>
      </c>
      <c r="T766" s="9">
        <f>IF($A766=VLOOKUP(YEAR($A766),'Festive dates'!$A$2:$J$5,3,FALSE),1,0)</f>
        <v>0</v>
      </c>
      <c r="U766" s="9">
        <f>IF($A766=VLOOKUP(YEAR($A766),'Festive dates'!$A$2:$J$5,4,FALSE),1,0)</f>
        <v>0</v>
      </c>
      <c r="V766" s="9">
        <f>IF(AND($A766&gt;=VLOOKUP(YEAR($A766),'Festive dates'!$A$2:$J$5,9,FALSE),$A766&lt;=VLOOKUP(YEAR($A766),'Festive dates'!$A$2:$J$5,10,FALSE)),1,0)</f>
        <v>0</v>
      </c>
      <c r="W766" s="9">
        <f>IF($A766=VLOOKUP(YEAR($A766),'Festive dates'!$A$2:$J$5,7,FALSE),1,0)</f>
        <v>0</v>
      </c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</row>
    <row r="767" spans="1:51">
      <c r="A767" s="8">
        <v>45782</v>
      </c>
      <c r="B767" s="9">
        <v>0</v>
      </c>
      <c r="C767" s="9">
        <v>0</v>
      </c>
      <c r="D767" s="9">
        <v>0</v>
      </c>
      <c r="E767" s="9">
        <v>0</v>
      </c>
      <c r="F767" s="9">
        <v>0</v>
      </c>
      <c r="G767" s="9">
        <v>0</v>
      </c>
      <c r="H767" s="9">
        <v>0</v>
      </c>
      <c r="I767" s="9">
        <v>0</v>
      </c>
      <c r="J767" s="9">
        <v>0</v>
      </c>
      <c r="K767" s="9">
        <v>0</v>
      </c>
      <c r="L767" s="9">
        <v>0</v>
      </c>
      <c r="M767" s="9">
        <v>0</v>
      </c>
      <c r="N767" s="9">
        <v>0</v>
      </c>
      <c r="O767" s="9">
        <v>0</v>
      </c>
      <c r="P767" s="9">
        <v>0</v>
      </c>
      <c r="Q767" s="9">
        <f>MAX(-20,MIN(10,$A767-VLOOKUP(YEAR($A767),'Festive dates'!$A$2:$J$5,8,FALSE)))</f>
        <v>-20</v>
      </c>
      <c r="R767" s="9">
        <f>IF(AND($A767&gt;VLOOKUP(YEAR($A767),'Festive dates'!$A$2:$J$5,2,FALSE),$A767&lt;VLOOKUP(YEAR($A767),'Festive dates'!$A$2:$J$5,3,FALSE)),1,0)</f>
        <v>0</v>
      </c>
      <c r="S767" s="9">
        <f>IF($A767=VLOOKUP(YEAR($A767),'Festive dates'!$A$2:$J$5,2,FALSE),1,0)</f>
        <v>0</v>
      </c>
      <c r="T767" s="9">
        <f>IF($A767=VLOOKUP(YEAR($A767),'Festive dates'!$A$2:$J$5,3,FALSE),1,0)</f>
        <v>0</v>
      </c>
      <c r="U767" s="9">
        <f>IF($A767=VLOOKUP(YEAR($A767),'Festive dates'!$A$2:$J$5,4,FALSE),1,0)</f>
        <v>0</v>
      </c>
      <c r="V767" s="9">
        <f>IF(AND($A767&gt;=VLOOKUP(YEAR($A767),'Festive dates'!$A$2:$J$5,9,FALSE),$A767&lt;=VLOOKUP(YEAR($A767),'Festive dates'!$A$2:$J$5,10,FALSE)),1,0)</f>
        <v>0</v>
      </c>
      <c r="W767" s="9">
        <f>IF($A767=VLOOKUP(YEAR($A767),'Festive dates'!$A$2:$J$5,7,FALSE),1,0)</f>
        <v>0</v>
      </c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</row>
    <row r="768" spans="1:51">
      <c r="A768" s="8">
        <v>45783</v>
      </c>
      <c r="B768" s="9">
        <v>0</v>
      </c>
      <c r="C768" s="9">
        <v>0</v>
      </c>
      <c r="D768" s="9">
        <v>0</v>
      </c>
      <c r="E768" s="9">
        <v>0</v>
      </c>
      <c r="F768" s="9">
        <v>0</v>
      </c>
      <c r="G768" s="9">
        <v>0</v>
      </c>
      <c r="H768" s="9">
        <v>0</v>
      </c>
      <c r="I768" s="9">
        <v>0</v>
      </c>
      <c r="J768" s="9">
        <v>0</v>
      </c>
      <c r="K768" s="9">
        <v>0</v>
      </c>
      <c r="L768" s="9">
        <v>0</v>
      </c>
      <c r="M768" s="9">
        <v>0</v>
      </c>
      <c r="N768" s="9">
        <v>0</v>
      </c>
      <c r="O768" s="9">
        <v>0</v>
      </c>
      <c r="P768" s="9">
        <v>0</v>
      </c>
      <c r="Q768" s="9">
        <f>MAX(-20,MIN(10,$A768-VLOOKUP(YEAR($A768),'Festive dates'!$A$2:$J$5,8,FALSE)))</f>
        <v>-20</v>
      </c>
      <c r="R768" s="9">
        <f>IF(AND($A768&gt;VLOOKUP(YEAR($A768),'Festive dates'!$A$2:$J$5,2,FALSE),$A768&lt;VLOOKUP(YEAR($A768),'Festive dates'!$A$2:$J$5,3,FALSE)),1,0)</f>
        <v>0</v>
      </c>
      <c r="S768" s="9">
        <f>IF($A768=VLOOKUP(YEAR($A768),'Festive dates'!$A$2:$J$5,2,FALSE),1,0)</f>
        <v>0</v>
      </c>
      <c r="T768" s="9">
        <f>IF($A768=VLOOKUP(YEAR($A768),'Festive dates'!$A$2:$J$5,3,FALSE),1,0)</f>
        <v>0</v>
      </c>
      <c r="U768" s="9">
        <f>IF($A768=VLOOKUP(YEAR($A768),'Festive dates'!$A$2:$J$5,4,FALSE),1,0)</f>
        <v>0</v>
      </c>
      <c r="V768" s="9">
        <f>IF(AND($A768&gt;=VLOOKUP(YEAR($A768),'Festive dates'!$A$2:$J$5,9,FALSE),$A768&lt;=VLOOKUP(YEAR($A768),'Festive dates'!$A$2:$J$5,10,FALSE)),1,0)</f>
        <v>0</v>
      </c>
      <c r="W768" s="9">
        <f>IF($A768=VLOOKUP(YEAR($A768),'Festive dates'!$A$2:$J$5,7,FALSE),1,0)</f>
        <v>0</v>
      </c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</row>
    <row r="769" spans="1:51">
      <c r="A769" s="8">
        <v>45784</v>
      </c>
      <c r="B769" s="9">
        <v>0</v>
      </c>
      <c r="C769" s="9">
        <v>0</v>
      </c>
      <c r="D769" s="9">
        <v>0</v>
      </c>
      <c r="E769" s="9">
        <v>0</v>
      </c>
      <c r="F769" s="9">
        <v>0</v>
      </c>
      <c r="G769" s="9">
        <v>0</v>
      </c>
      <c r="H769" s="9">
        <v>0</v>
      </c>
      <c r="I769" s="9">
        <v>0</v>
      </c>
      <c r="J769" s="9">
        <v>0</v>
      </c>
      <c r="K769" s="9">
        <v>0</v>
      </c>
      <c r="L769" s="9">
        <v>0</v>
      </c>
      <c r="M769" s="9">
        <v>0</v>
      </c>
      <c r="N769" s="9">
        <v>0</v>
      </c>
      <c r="O769" s="9">
        <v>0</v>
      </c>
      <c r="P769" s="9">
        <v>1</v>
      </c>
      <c r="Q769" s="9">
        <f>MAX(-20,MIN(10,$A769-VLOOKUP(YEAR($A769),'Festive dates'!$A$2:$J$5,8,FALSE)))</f>
        <v>-20</v>
      </c>
      <c r="R769" s="9">
        <f>IF(AND($A769&gt;VLOOKUP(YEAR($A769),'Festive dates'!$A$2:$J$5,2,FALSE),$A769&lt;VLOOKUP(YEAR($A769),'Festive dates'!$A$2:$J$5,3,FALSE)),1,0)</f>
        <v>0</v>
      </c>
      <c r="S769" s="9">
        <f>IF($A769=VLOOKUP(YEAR($A769),'Festive dates'!$A$2:$J$5,2,FALSE),1,0)</f>
        <v>0</v>
      </c>
      <c r="T769" s="9">
        <f>IF($A769=VLOOKUP(YEAR($A769),'Festive dates'!$A$2:$J$5,3,FALSE),1,0)</f>
        <v>0</v>
      </c>
      <c r="U769" s="9">
        <f>IF($A769=VLOOKUP(YEAR($A769),'Festive dates'!$A$2:$J$5,4,FALSE),1,0)</f>
        <v>0</v>
      </c>
      <c r="V769" s="9">
        <f>IF(AND($A769&gt;=VLOOKUP(YEAR($A769),'Festive dates'!$A$2:$J$5,9,FALSE),$A769&lt;=VLOOKUP(YEAR($A769),'Festive dates'!$A$2:$J$5,10,FALSE)),1,0)</f>
        <v>0</v>
      </c>
      <c r="W769" s="9">
        <f>IF($A769=VLOOKUP(YEAR($A769),'Festive dates'!$A$2:$J$5,7,FALSE),1,0)</f>
        <v>0</v>
      </c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</row>
    <row r="770" spans="1:51">
      <c r="A770" s="8">
        <v>45785</v>
      </c>
      <c r="B770" s="9">
        <v>0</v>
      </c>
      <c r="C770" s="9">
        <v>0</v>
      </c>
      <c r="D770" s="9">
        <v>0</v>
      </c>
      <c r="E770" s="9">
        <v>0</v>
      </c>
      <c r="F770" s="9">
        <v>0</v>
      </c>
      <c r="G770" s="9">
        <v>0</v>
      </c>
      <c r="H770" s="9">
        <v>0</v>
      </c>
      <c r="I770" s="9">
        <v>0</v>
      </c>
      <c r="J770" s="9">
        <v>0</v>
      </c>
      <c r="K770" s="9">
        <v>0</v>
      </c>
      <c r="L770" s="9">
        <v>0</v>
      </c>
      <c r="M770" s="9">
        <v>0</v>
      </c>
      <c r="N770" s="9">
        <v>0</v>
      </c>
      <c r="O770" s="9">
        <v>0</v>
      </c>
      <c r="P770" s="9">
        <v>1</v>
      </c>
      <c r="Q770" s="9">
        <f>MAX(-20,MIN(10,$A770-VLOOKUP(YEAR($A770),'Festive dates'!$A$2:$J$5,8,FALSE)))</f>
        <v>-20</v>
      </c>
      <c r="R770" s="9">
        <f>IF(AND($A770&gt;VLOOKUP(YEAR($A770),'Festive dates'!$A$2:$J$5,2,FALSE),$A770&lt;VLOOKUP(YEAR($A770),'Festive dates'!$A$2:$J$5,3,FALSE)),1,0)</f>
        <v>0</v>
      </c>
      <c r="S770" s="9">
        <f>IF($A770=VLOOKUP(YEAR($A770),'Festive dates'!$A$2:$J$5,2,FALSE),1,0)</f>
        <v>0</v>
      </c>
      <c r="T770" s="9">
        <f>IF($A770=VLOOKUP(YEAR($A770),'Festive dates'!$A$2:$J$5,3,FALSE),1,0)</f>
        <v>0</v>
      </c>
      <c r="U770" s="9">
        <f>IF($A770=VLOOKUP(YEAR($A770),'Festive dates'!$A$2:$J$5,4,FALSE),1,0)</f>
        <v>0</v>
      </c>
      <c r="V770" s="9">
        <f>IF(AND($A770&gt;=VLOOKUP(YEAR($A770),'Festive dates'!$A$2:$J$5,9,FALSE),$A770&lt;=VLOOKUP(YEAR($A770),'Festive dates'!$A$2:$J$5,10,FALSE)),1,0)</f>
        <v>0</v>
      </c>
      <c r="W770" s="9">
        <f>IF($A770=VLOOKUP(YEAR($A770),'Festive dates'!$A$2:$J$5,7,FALSE),1,0)</f>
        <v>0</v>
      </c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</row>
    <row r="771" spans="1:51">
      <c r="A771" s="8">
        <v>45786</v>
      </c>
      <c r="B771" s="9">
        <v>0</v>
      </c>
      <c r="C771" s="9">
        <v>0</v>
      </c>
      <c r="D771" s="9">
        <v>0</v>
      </c>
      <c r="E771" s="9">
        <v>0</v>
      </c>
      <c r="F771" s="9">
        <v>0</v>
      </c>
      <c r="G771" s="9">
        <v>0</v>
      </c>
      <c r="H771" s="9">
        <v>0</v>
      </c>
      <c r="I771" s="9">
        <v>0</v>
      </c>
      <c r="J771" s="9">
        <v>0</v>
      </c>
      <c r="K771" s="9">
        <v>0</v>
      </c>
      <c r="L771" s="9">
        <v>0</v>
      </c>
      <c r="M771" s="9">
        <v>0</v>
      </c>
      <c r="N771" s="9">
        <v>0</v>
      </c>
      <c r="O771" s="9">
        <v>0</v>
      </c>
      <c r="P771" s="9">
        <v>1</v>
      </c>
      <c r="Q771" s="9">
        <f>MAX(-20,MIN(10,$A771-VLOOKUP(YEAR($A771),'Festive dates'!$A$2:$J$5,8,FALSE)))</f>
        <v>-20</v>
      </c>
      <c r="R771" s="9">
        <f>IF(AND($A771&gt;VLOOKUP(YEAR($A771),'Festive dates'!$A$2:$J$5,2,FALSE),$A771&lt;VLOOKUP(YEAR($A771),'Festive dates'!$A$2:$J$5,3,FALSE)),1,0)</f>
        <v>0</v>
      </c>
      <c r="S771" s="9">
        <f>IF($A771=VLOOKUP(YEAR($A771),'Festive dates'!$A$2:$J$5,2,FALSE),1,0)</f>
        <v>0</v>
      </c>
      <c r="T771" s="9">
        <f>IF($A771=VLOOKUP(YEAR($A771),'Festive dates'!$A$2:$J$5,3,FALSE),1,0)</f>
        <v>0</v>
      </c>
      <c r="U771" s="9">
        <f>IF($A771=VLOOKUP(YEAR($A771),'Festive dates'!$A$2:$J$5,4,FALSE),1,0)</f>
        <v>0</v>
      </c>
      <c r="V771" s="9">
        <f>IF(AND($A771&gt;=VLOOKUP(YEAR($A771),'Festive dates'!$A$2:$J$5,9,FALSE),$A771&lt;=VLOOKUP(YEAR($A771),'Festive dates'!$A$2:$J$5,10,FALSE)),1,0)</f>
        <v>0</v>
      </c>
      <c r="W771" s="9">
        <f>IF($A771=VLOOKUP(YEAR($A771),'Festive dates'!$A$2:$J$5,7,FALSE),1,0)</f>
        <v>0</v>
      </c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</row>
    <row r="772" spans="1:51">
      <c r="A772" s="8">
        <v>45787</v>
      </c>
      <c r="B772" s="9">
        <v>0</v>
      </c>
      <c r="C772" s="9">
        <v>0</v>
      </c>
      <c r="D772" s="9">
        <v>0</v>
      </c>
      <c r="E772" s="9">
        <v>0</v>
      </c>
      <c r="F772" s="9">
        <v>0</v>
      </c>
      <c r="G772" s="9">
        <v>0</v>
      </c>
      <c r="H772" s="9">
        <v>0</v>
      </c>
      <c r="I772" s="9">
        <v>0</v>
      </c>
      <c r="J772" s="9">
        <v>0</v>
      </c>
      <c r="K772" s="9">
        <v>0</v>
      </c>
      <c r="L772" s="9">
        <v>0</v>
      </c>
      <c r="M772" s="9">
        <v>0</v>
      </c>
      <c r="N772" s="9">
        <v>0</v>
      </c>
      <c r="O772" s="9">
        <v>0</v>
      </c>
      <c r="P772" s="9">
        <v>1</v>
      </c>
      <c r="Q772" s="9">
        <f>MAX(-20,MIN(10,$A772-VLOOKUP(YEAR($A772),'Festive dates'!$A$2:$J$5,8,FALSE)))</f>
        <v>-20</v>
      </c>
      <c r="R772" s="9">
        <f>IF(AND($A772&gt;VLOOKUP(YEAR($A772),'Festive dates'!$A$2:$J$5,2,FALSE),$A772&lt;VLOOKUP(YEAR($A772),'Festive dates'!$A$2:$J$5,3,FALSE)),1,0)</f>
        <v>0</v>
      </c>
      <c r="S772" s="9">
        <f>IF($A772=VLOOKUP(YEAR($A772),'Festive dates'!$A$2:$J$5,2,FALSE),1,0)</f>
        <v>0</v>
      </c>
      <c r="T772" s="9">
        <f>IF($A772=VLOOKUP(YEAR($A772),'Festive dates'!$A$2:$J$5,3,FALSE),1,0)</f>
        <v>0</v>
      </c>
      <c r="U772" s="9">
        <f>IF($A772=VLOOKUP(YEAR($A772),'Festive dates'!$A$2:$J$5,4,FALSE),1,0)</f>
        <v>0</v>
      </c>
      <c r="V772" s="9">
        <f>IF(AND($A772&gt;=VLOOKUP(YEAR($A772),'Festive dates'!$A$2:$J$5,9,FALSE),$A772&lt;=VLOOKUP(YEAR($A772),'Festive dates'!$A$2:$J$5,10,FALSE)),1,0)</f>
        <v>0</v>
      </c>
      <c r="W772" s="9">
        <f>IF($A772=VLOOKUP(YEAR($A772),'Festive dates'!$A$2:$J$5,7,FALSE),1,0)</f>
        <v>0</v>
      </c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</row>
    <row r="773" spans="1:51">
      <c r="A773" s="8">
        <v>45788</v>
      </c>
      <c r="B773" s="9">
        <v>0</v>
      </c>
      <c r="C773" s="9">
        <v>0</v>
      </c>
      <c r="D773" s="9">
        <v>0</v>
      </c>
      <c r="E773" s="9">
        <v>0</v>
      </c>
      <c r="F773" s="9">
        <v>0</v>
      </c>
      <c r="G773" s="9">
        <v>0</v>
      </c>
      <c r="H773" s="9">
        <v>0</v>
      </c>
      <c r="I773" s="9">
        <v>0</v>
      </c>
      <c r="J773" s="9">
        <v>0</v>
      </c>
      <c r="K773" s="9">
        <v>0</v>
      </c>
      <c r="L773" s="9">
        <v>0</v>
      </c>
      <c r="M773" s="9">
        <v>0</v>
      </c>
      <c r="N773" s="9">
        <v>0</v>
      </c>
      <c r="O773" s="9">
        <v>0</v>
      </c>
      <c r="P773" s="9">
        <v>1</v>
      </c>
      <c r="Q773" s="9">
        <f>MAX(-20,MIN(10,$A773-VLOOKUP(YEAR($A773),'Festive dates'!$A$2:$J$5,8,FALSE)))</f>
        <v>-20</v>
      </c>
      <c r="R773" s="9">
        <f>IF(AND($A773&gt;VLOOKUP(YEAR($A773),'Festive dates'!$A$2:$J$5,2,FALSE),$A773&lt;VLOOKUP(YEAR($A773),'Festive dates'!$A$2:$J$5,3,FALSE)),1,0)</f>
        <v>0</v>
      </c>
      <c r="S773" s="9">
        <f>IF($A773=VLOOKUP(YEAR($A773),'Festive dates'!$A$2:$J$5,2,FALSE),1,0)</f>
        <v>0</v>
      </c>
      <c r="T773" s="9">
        <f>IF($A773=VLOOKUP(YEAR($A773),'Festive dates'!$A$2:$J$5,3,FALSE),1,0)</f>
        <v>0</v>
      </c>
      <c r="U773" s="9">
        <f>IF($A773=VLOOKUP(YEAR($A773),'Festive dates'!$A$2:$J$5,4,FALSE),1,0)</f>
        <v>0</v>
      </c>
      <c r="V773" s="9">
        <f>IF(AND($A773&gt;=VLOOKUP(YEAR($A773),'Festive dates'!$A$2:$J$5,9,FALSE),$A773&lt;=VLOOKUP(YEAR($A773),'Festive dates'!$A$2:$J$5,10,FALSE)),1,0)</f>
        <v>0</v>
      </c>
      <c r="W773" s="9">
        <f>IF($A773=VLOOKUP(YEAR($A773),'Festive dates'!$A$2:$J$5,7,FALSE),1,0)</f>
        <v>0</v>
      </c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</row>
    <row r="774" spans="1:51">
      <c r="A774" s="8">
        <v>45789</v>
      </c>
      <c r="B774" s="9">
        <v>0</v>
      </c>
      <c r="C774" s="9">
        <v>0</v>
      </c>
      <c r="D774" s="9">
        <v>0</v>
      </c>
      <c r="E774" s="9">
        <v>0</v>
      </c>
      <c r="F774" s="9">
        <v>0</v>
      </c>
      <c r="G774" s="9">
        <v>0</v>
      </c>
      <c r="H774" s="9">
        <v>0</v>
      </c>
      <c r="I774" s="9">
        <v>0</v>
      </c>
      <c r="J774" s="9">
        <v>1</v>
      </c>
      <c r="K774" s="9">
        <v>0</v>
      </c>
      <c r="L774" s="9">
        <v>0</v>
      </c>
      <c r="M774" s="9">
        <v>0</v>
      </c>
      <c r="N774" s="9">
        <v>0</v>
      </c>
      <c r="O774" s="9">
        <v>0</v>
      </c>
      <c r="P774" s="9">
        <v>0</v>
      </c>
      <c r="Q774" s="9">
        <f>MAX(-20,MIN(10,$A774-VLOOKUP(YEAR($A774),'Festive dates'!$A$2:$J$5,8,FALSE)))</f>
        <v>-20</v>
      </c>
      <c r="R774" s="9">
        <f>IF(AND($A774&gt;VLOOKUP(YEAR($A774),'Festive dates'!$A$2:$J$5,2,FALSE),$A774&lt;VLOOKUP(YEAR($A774),'Festive dates'!$A$2:$J$5,3,FALSE)),1,0)</f>
        <v>0</v>
      </c>
      <c r="S774" s="9">
        <f>IF($A774=VLOOKUP(YEAR($A774),'Festive dates'!$A$2:$J$5,2,FALSE),1,0)</f>
        <v>0</v>
      </c>
      <c r="T774" s="9">
        <f>IF($A774=VLOOKUP(YEAR($A774),'Festive dates'!$A$2:$J$5,3,FALSE),1,0)</f>
        <v>0</v>
      </c>
      <c r="U774" s="9">
        <f>IF($A774=VLOOKUP(YEAR($A774),'Festive dates'!$A$2:$J$5,4,FALSE),1,0)</f>
        <v>0</v>
      </c>
      <c r="V774" s="9">
        <f>IF(AND($A774&gt;=VLOOKUP(YEAR($A774),'Festive dates'!$A$2:$J$5,9,FALSE),$A774&lt;=VLOOKUP(YEAR($A774),'Festive dates'!$A$2:$J$5,10,FALSE)),1,0)</f>
        <v>0</v>
      </c>
      <c r="W774" s="9">
        <f>IF($A774=VLOOKUP(YEAR($A774),'Festive dates'!$A$2:$J$5,7,FALSE),1,0)</f>
        <v>0</v>
      </c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</row>
    <row r="775" spans="1:51">
      <c r="A775" s="8">
        <v>45790</v>
      </c>
      <c r="B775" s="9">
        <v>0</v>
      </c>
      <c r="C775" s="9">
        <v>0</v>
      </c>
      <c r="D775" s="9">
        <v>0</v>
      </c>
      <c r="E775" s="9">
        <v>0</v>
      </c>
      <c r="F775" s="9">
        <v>0</v>
      </c>
      <c r="G775" s="9">
        <v>0</v>
      </c>
      <c r="H775" s="9">
        <v>0</v>
      </c>
      <c r="I775" s="9">
        <v>0</v>
      </c>
      <c r="J775" s="9">
        <v>0</v>
      </c>
      <c r="K775" s="9">
        <v>0</v>
      </c>
      <c r="L775" s="9">
        <v>0</v>
      </c>
      <c r="M775" s="9">
        <v>0</v>
      </c>
      <c r="N775" s="9">
        <v>0</v>
      </c>
      <c r="O775" s="9">
        <v>0</v>
      </c>
      <c r="P775" s="9">
        <v>0</v>
      </c>
      <c r="Q775" s="9">
        <f>MAX(-20,MIN(10,$A775-VLOOKUP(YEAR($A775),'Festive dates'!$A$2:$J$5,8,FALSE)))</f>
        <v>-20</v>
      </c>
      <c r="R775" s="9">
        <f>IF(AND($A775&gt;VLOOKUP(YEAR($A775),'Festive dates'!$A$2:$J$5,2,FALSE),$A775&lt;VLOOKUP(YEAR($A775),'Festive dates'!$A$2:$J$5,3,FALSE)),1,0)</f>
        <v>0</v>
      </c>
      <c r="S775" s="9">
        <f>IF($A775=VLOOKUP(YEAR($A775),'Festive dates'!$A$2:$J$5,2,FALSE),1,0)</f>
        <v>0</v>
      </c>
      <c r="T775" s="9">
        <f>IF($A775=VLOOKUP(YEAR($A775),'Festive dates'!$A$2:$J$5,3,FALSE),1,0)</f>
        <v>0</v>
      </c>
      <c r="U775" s="9">
        <f>IF($A775=VLOOKUP(YEAR($A775),'Festive dates'!$A$2:$J$5,4,FALSE),1,0)</f>
        <v>0</v>
      </c>
      <c r="V775" s="9">
        <f>IF(AND($A775&gt;=VLOOKUP(YEAR($A775),'Festive dates'!$A$2:$J$5,9,FALSE),$A775&lt;=VLOOKUP(YEAR($A775),'Festive dates'!$A$2:$J$5,10,FALSE)),1,0)</f>
        <v>0</v>
      </c>
      <c r="W775" s="9">
        <f>IF($A775=VLOOKUP(YEAR($A775),'Festive dates'!$A$2:$J$5,7,FALSE),1,0)</f>
        <v>0</v>
      </c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</row>
    <row r="776" spans="1:51">
      <c r="A776" s="8">
        <v>45791</v>
      </c>
      <c r="B776" s="9">
        <v>0</v>
      </c>
      <c r="C776" s="9">
        <v>0</v>
      </c>
      <c r="D776" s="9">
        <v>0</v>
      </c>
      <c r="E776" s="9">
        <v>0</v>
      </c>
      <c r="F776" s="9">
        <v>0</v>
      </c>
      <c r="G776" s="9">
        <v>0</v>
      </c>
      <c r="H776" s="9">
        <v>0</v>
      </c>
      <c r="I776" s="9">
        <v>0</v>
      </c>
      <c r="J776" s="9">
        <v>0</v>
      </c>
      <c r="K776" s="9">
        <v>0</v>
      </c>
      <c r="L776" s="9">
        <v>0</v>
      </c>
      <c r="M776" s="9">
        <v>0</v>
      </c>
      <c r="N776" s="9">
        <v>0</v>
      </c>
      <c r="O776" s="9">
        <v>0</v>
      </c>
      <c r="P776" s="9">
        <v>0</v>
      </c>
      <c r="Q776" s="9">
        <f>MAX(-20,MIN(10,$A776-VLOOKUP(YEAR($A776),'Festive dates'!$A$2:$J$5,8,FALSE)))</f>
        <v>-20</v>
      </c>
      <c r="R776" s="9">
        <f>IF(AND($A776&gt;VLOOKUP(YEAR($A776),'Festive dates'!$A$2:$J$5,2,FALSE),$A776&lt;VLOOKUP(YEAR($A776),'Festive dates'!$A$2:$J$5,3,FALSE)),1,0)</f>
        <v>0</v>
      </c>
      <c r="S776" s="9">
        <f>IF($A776=VLOOKUP(YEAR($A776),'Festive dates'!$A$2:$J$5,2,FALSE),1,0)</f>
        <v>0</v>
      </c>
      <c r="T776" s="9">
        <f>IF($A776=VLOOKUP(YEAR($A776),'Festive dates'!$A$2:$J$5,3,FALSE),1,0)</f>
        <v>0</v>
      </c>
      <c r="U776" s="9">
        <f>IF($A776=VLOOKUP(YEAR($A776),'Festive dates'!$A$2:$J$5,4,FALSE),1,0)</f>
        <v>0</v>
      </c>
      <c r="V776" s="9">
        <f>IF(AND($A776&gt;=VLOOKUP(YEAR($A776),'Festive dates'!$A$2:$J$5,9,FALSE),$A776&lt;=VLOOKUP(YEAR($A776),'Festive dates'!$A$2:$J$5,10,FALSE)),1,0)</f>
        <v>0</v>
      </c>
      <c r="W776" s="9">
        <f>IF($A776=VLOOKUP(YEAR($A776),'Festive dates'!$A$2:$J$5,7,FALSE),1,0)</f>
        <v>0</v>
      </c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</row>
    <row r="777" spans="1:51">
      <c r="A777" s="8">
        <v>45792</v>
      </c>
      <c r="B777" s="9">
        <v>0</v>
      </c>
      <c r="C777" s="9">
        <v>0</v>
      </c>
      <c r="D777" s="9">
        <v>0</v>
      </c>
      <c r="E777" s="9">
        <v>0</v>
      </c>
      <c r="F777" s="9">
        <v>0</v>
      </c>
      <c r="G777" s="9">
        <v>0</v>
      </c>
      <c r="H777" s="9">
        <v>0</v>
      </c>
      <c r="I777" s="9">
        <v>0</v>
      </c>
      <c r="J777" s="9">
        <v>0</v>
      </c>
      <c r="K777" s="9">
        <v>0</v>
      </c>
      <c r="L777" s="9">
        <v>0</v>
      </c>
      <c r="M777" s="9">
        <v>0</v>
      </c>
      <c r="N777" s="9">
        <v>0</v>
      </c>
      <c r="O777" s="9">
        <v>0</v>
      </c>
      <c r="P777" s="9">
        <v>1</v>
      </c>
      <c r="Q777" s="9">
        <f>MAX(-20,MIN(10,$A777-VLOOKUP(YEAR($A777),'Festive dates'!$A$2:$J$5,8,FALSE)))</f>
        <v>-20</v>
      </c>
      <c r="R777" s="9">
        <f>IF(AND($A777&gt;VLOOKUP(YEAR($A777),'Festive dates'!$A$2:$J$5,2,FALSE),$A777&lt;VLOOKUP(YEAR($A777),'Festive dates'!$A$2:$J$5,3,FALSE)),1,0)</f>
        <v>0</v>
      </c>
      <c r="S777" s="9">
        <f>IF($A777=VLOOKUP(YEAR($A777),'Festive dates'!$A$2:$J$5,2,FALSE),1,0)</f>
        <v>0</v>
      </c>
      <c r="T777" s="9">
        <f>IF($A777=VLOOKUP(YEAR($A777),'Festive dates'!$A$2:$J$5,3,FALSE),1,0)</f>
        <v>0</v>
      </c>
      <c r="U777" s="9">
        <f>IF($A777=VLOOKUP(YEAR($A777),'Festive dates'!$A$2:$J$5,4,FALSE),1,0)</f>
        <v>0</v>
      </c>
      <c r="V777" s="9">
        <f>IF(AND($A777&gt;=VLOOKUP(YEAR($A777),'Festive dates'!$A$2:$J$5,9,FALSE),$A777&lt;=VLOOKUP(YEAR($A777),'Festive dates'!$A$2:$J$5,10,FALSE)),1,0)</f>
        <v>0</v>
      </c>
      <c r="W777" s="9">
        <f>IF($A777=VLOOKUP(YEAR($A777),'Festive dates'!$A$2:$J$5,7,FALSE),1,0)</f>
        <v>0</v>
      </c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</row>
    <row r="778" spans="1:51">
      <c r="A778" s="8">
        <v>45793</v>
      </c>
      <c r="B778" s="9">
        <v>0</v>
      </c>
      <c r="C778" s="9">
        <v>0</v>
      </c>
      <c r="D778" s="9">
        <v>0</v>
      </c>
      <c r="E778" s="9">
        <v>0</v>
      </c>
      <c r="F778" s="9">
        <v>0</v>
      </c>
      <c r="G778" s="9">
        <v>0</v>
      </c>
      <c r="H778" s="9">
        <v>0</v>
      </c>
      <c r="I778" s="9">
        <v>0</v>
      </c>
      <c r="J778" s="9">
        <v>0</v>
      </c>
      <c r="K778" s="9">
        <v>0</v>
      </c>
      <c r="L778" s="9">
        <v>0</v>
      </c>
      <c r="M778" s="9">
        <v>0</v>
      </c>
      <c r="N778" s="9">
        <v>0</v>
      </c>
      <c r="O778" s="9">
        <v>0</v>
      </c>
      <c r="P778" s="9">
        <v>1</v>
      </c>
      <c r="Q778" s="9">
        <f>MAX(-20,MIN(10,$A778-VLOOKUP(YEAR($A778),'Festive dates'!$A$2:$J$5,8,FALSE)))</f>
        <v>-20</v>
      </c>
      <c r="R778" s="9">
        <f>IF(AND($A778&gt;VLOOKUP(YEAR($A778),'Festive dates'!$A$2:$J$5,2,FALSE),$A778&lt;VLOOKUP(YEAR($A778),'Festive dates'!$A$2:$J$5,3,FALSE)),1,0)</f>
        <v>0</v>
      </c>
      <c r="S778" s="9">
        <f>IF($A778=VLOOKUP(YEAR($A778),'Festive dates'!$A$2:$J$5,2,FALSE),1,0)</f>
        <v>0</v>
      </c>
      <c r="T778" s="9">
        <f>IF($A778=VLOOKUP(YEAR($A778),'Festive dates'!$A$2:$J$5,3,FALSE),1,0)</f>
        <v>0</v>
      </c>
      <c r="U778" s="9">
        <f>IF($A778=VLOOKUP(YEAR($A778),'Festive dates'!$A$2:$J$5,4,FALSE),1,0)</f>
        <v>0</v>
      </c>
      <c r="V778" s="9">
        <f>IF(AND($A778&gt;=VLOOKUP(YEAR($A778),'Festive dates'!$A$2:$J$5,9,FALSE),$A778&lt;=VLOOKUP(YEAR($A778),'Festive dates'!$A$2:$J$5,10,FALSE)),1,0)</f>
        <v>0</v>
      </c>
      <c r="W778" s="9">
        <f>IF($A778=VLOOKUP(YEAR($A778),'Festive dates'!$A$2:$J$5,7,FALSE),1,0)</f>
        <v>0</v>
      </c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</row>
    <row r="779" spans="1:51">
      <c r="A779" s="8">
        <v>45794</v>
      </c>
      <c r="B779" s="9">
        <v>0</v>
      </c>
      <c r="C779" s="9">
        <v>0</v>
      </c>
      <c r="D779" s="9">
        <v>0</v>
      </c>
      <c r="E779" s="9">
        <v>0</v>
      </c>
      <c r="F779" s="9">
        <v>0</v>
      </c>
      <c r="G779" s="9">
        <v>0</v>
      </c>
      <c r="H779" s="9">
        <v>0</v>
      </c>
      <c r="I779" s="9">
        <v>0</v>
      </c>
      <c r="J779" s="9">
        <v>0</v>
      </c>
      <c r="K779" s="9">
        <v>0</v>
      </c>
      <c r="L779" s="9">
        <v>0</v>
      </c>
      <c r="M779" s="9">
        <v>0</v>
      </c>
      <c r="N779" s="9">
        <v>0</v>
      </c>
      <c r="O779" s="9">
        <v>0</v>
      </c>
      <c r="P779" s="9">
        <v>1</v>
      </c>
      <c r="Q779" s="9">
        <f>MAX(-20,MIN(10,$A779-VLOOKUP(YEAR($A779),'Festive dates'!$A$2:$J$5,8,FALSE)))</f>
        <v>-20</v>
      </c>
      <c r="R779" s="9">
        <f>IF(AND($A779&gt;VLOOKUP(YEAR($A779),'Festive dates'!$A$2:$J$5,2,FALSE),$A779&lt;VLOOKUP(YEAR($A779),'Festive dates'!$A$2:$J$5,3,FALSE)),1,0)</f>
        <v>0</v>
      </c>
      <c r="S779" s="9">
        <f>IF($A779=VLOOKUP(YEAR($A779),'Festive dates'!$A$2:$J$5,2,FALSE),1,0)</f>
        <v>0</v>
      </c>
      <c r="T779" s="9">
        <f>IF($A779=VLOOKUP(YEAR($A779),'Festive dates'!$A$2:$J$5,3,FALSE),1,0)</f>
        <v>0</v>
      </c>
      <c r="U779" s="9">
        <f>IF($A779=VLOOKUP(YEAR($A779),'Festive dates'!$A$2:$J$5,4,FALSE),1,0)</f>
        <v>0</v>
      </c>
      <c r="V779" s="9">
        <f>IF(AND($A779&gt;=VLOOKUP(YEAR($A779),'Festive dates'!$A$2:$J$5,9,FALSE),$A779&lt;=VLOOKUP(YEAR($A779),'Festive dates'!$A$2:$J$5,10,FALSE)),1,0)</f>
        <v>0</v>
      </c>
      <c r="W779" s="9">
        <f>IF($A779=VLOOKUP(YEAR($A779),'Festive dates'!$A$2:$J$5,7,FALSE),1,0)</f>
        <v>0</v>
      </c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</row>
    <row r="780" spans="1:51">
      <c r="A780" s="8">
        <v>45795</v>
      </c>
      <c r="B780" s="9">
        <v>0</v>
      </c>
      <c r="C780" s="9">
        <v>0</v>
      </c>
      <c r="D780" s="9">
        <v>0</v>
      </c>
      <c r="E780" s="9">
        <v>0</v>
      </c>
      <c r="F780" s="9">
        <v>0</v>
      </c>
      <c r="G780" s="9">
        <v>0</v>
      </c>
      <c r="H780" s="9">
        <v>0</v>
      </c>
      <c r="I780" s="9">
        <v>0</v>
      </c>
      <c r="J780" s="9">
        <v>0</v>
      </c>
      <c r="K780" s="9">
        <v>0</v>
      </c>
      <c r="L780" s="9">
        <v>0</v>
      </c>
      <c r="M780" s="9">
        <v>0</v>
      </c>
      <c r="N780" s="9">
        <v>0</v>
      </c>
      <c r="O780" s="9">
        <v>0</v>
      </c>
      <c r="P780" s="9">
        <v>0</v>
      </c>
      <c r="Q780" s="9">
        <f>MAX(-20,MIN(10,$A780-VLOOKUP(YEAR($A780),'Festive dates'!$A$2:$J$5,8,FALSE)))</f>
        <v>-20</v>
      </c>
      <c r="R780" s="9">
        <f>IF(AND($A780&gt;VLOOKUP(YEAR($A780),'Festive dates'!$A$2:$J$5,2,FALSE),$A780&lt;VLOOKUP(YEAR($A780),'Festive dates'!$A$2:$J$5,3,FALSE)),1,0)</f>
        <v>0</v>
      </c>
      <c r="S780" s="9">
        <f>IF($A780=VLOOKUP(YEAR($A780),'Festive dates'!$A$2:$J$5,2,FALSE),1,0)</f>
        <v>0</v>
      </c>
      <c r="T780" s="9">
        <f>IF($A780=VLOOKUP(YEAR($A780),'Festive dates'!$A$2:$J$5,3,FALSE),1,0)</f>
        <v>0</v>
      </c>
      <c r="U780" s="9">
        <f>IF($A780=VLOOKUP(YEAR($A780),'Festive dates'!$A$2:$J$5,4,FALSE),1,0)</f>
        <v>0</v>
      </c>
      <c r="V780" s="9">
        <f>IF(AND($A780&gt;=VLOOKUP(YEAR($A780),'Festive dates'!$A$2:$J$5,9,FALSE),$A780&lt;=VLOOKUP(YEAR($A780),'Festive dates'!$A$2:$J$5,10,FALSE)),1,0)</f>
        <v>0</v>
      </c>
      <c r="W780" s="9">
        <f>IF($A780=VLOOKUP(YEAR($A780),'Festive dates'!$A$2:$J$5,7,FALSE),1,0)</f>
        <v>0</v>
      </c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</row>
    <row r="781" spans="1:51">
      <c r="A781" s="8">
        <v>45796</v>
      </c>
      <c r="B781" s="9">
        <v>0</v>
      </c>
      <c r="C781" s="9">
        <v>0</v>
      </c>
      <c r="D781" s="9">
        <v>0</v>
      </c>
      <c r="E781" s="9">
        <v>0</v>
      </c>
      <c r="F781" s="9">
        <v>0</v>
      </c>
      <c r="G781" s="9">
        <v>0</v>
      </c>
      <c r="H781" s="9">
        <v>0</v>
      </c>
      <c r="I781" s="9">
        <v>0</v>
      </c>
      <c r="J781" s="9">
        <v>0</v>
      </c>
      <c r="K781" s="9">
        <v>0</v>
      </c>
      <c r="L781" s="9">
        <v>0</v>
      </c>
      <c r="M781" s="9">
        <v>0</v>
      </c>
      <c r="N781" s="9">
        <v>0</v>
      </c>
      <c r="O781" s="9">
        <v>0</v>
      </c>
      <c r="P781" s="9">
        <v>0</v>
      </c>
      <c r="Q781" s="9">
        <f>MAX(-20,MIN(10,$A781-VLOOKUP(YEAR($A781),'Festive dates'!$A$2:$J$5,8,FALSE)))</f>
        <v>-20</v>
      </c>
      <c r="R781" s="9">
        <f>IF(AND($A781&gt;VLOOKUP(YEAR($A781),'Festive dates'!$A$2:$J$5,2,FALSE),$A781&lt;VLOOKUP(YEAR($A781),'Festive dates'!$A$2:$J$5,3,FALSE)),1,0)</f>
        <v>0</v>
      </c>
      <c r="S781" s="9">
        <f>IF($A781=VLOOKUP(YEAR($A781),'Festive dates'!$A$2:$J$5,2,FALSE),1,0)</f>
        <v>0</v>
      </c>
      <c r="T781" s="9">
        <f>IF($A781=VLOOKUP(YEAR($A781),'Festive dates'!$A$2:$J$5,3,FALSE),1,0)</f>
        <v>0</v>
      </c>
      <c r="U781" s="9">
        <f>IF($A781=VLOOKUP(YEAR($A781),'Festive dates'!$A$2:$J$5,4,FALSE),1,0)</f>
        <v>0</v>
      </c>
      <c r="V781" s="9">
        <f>IF(AND($A781&gt;=VLOOKUP(YEAR($A781),'Festive dates'!$A$2:$J$5,9,FALSE),$A781&lt;=VLOOKUP(YEAR($A781),'Festive dates'!$A$2:$J$5,10,FALSE)),1,0)</f>
        <v>0</v>
      </c>
      <c r="W781" s="9">
        <f>IF($A781=VLOOKUP(YEAR($A781),'Festive dates'!$A$2:$J$5,7,FALSE),1,0)</f>
        <v>0</v>
      </c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</row>
    <row r="782" spans="1:51">
      <c r="A782" s="8">
        <v>45797</v>
      </c>
      <c r="B782" s="9">
        <v>0</v>
      </c>
      <c r="C782" s="9">
        <v>0</v>
      </c>
      <c r="D782" s="9">
        <v>0</v>
      </c>
      <c r="E782" s="9">
        <v>0</v>
      </c>
      <c r="F782" s="9">
        <v>0</v>
      </c>
      <c r="G782" s="9">
        <v>0</v>
      </c>
      <c r="H782" s="9">
        <v>0</v>
      </c>
      <c r="I782" s="9">
        <v>0</v>
      </c>
      <c r="J782" s="9">
        <v>0</v>
      </c>
      <c r="K782" s="9">
        <v>0</v>
      </c>
      <c r="L782" s="9">
        <v>0</v>
      </c>
      <c r="M782" s="9">
        <v>0</v>
      </c>
      <c r="N782" s="9">
        <v>0</v>
      </c>
      <c r="O782" s="9">
        <v>0</v>
      </c>
      <c r="P782" s="9">
        <v>1</v>
      </c>
      <c r="Q782" s="9">
        <f>MAX(-20,MIN(10,$A782-VLOOKUP(YEAR($A782),'Festive dates'!$A$2:$J$5,8,FALSE)))</f>
        <v>-20</v>
      </c>
      <c r="R782" s="9">
        <f>IF(AND($A782&gt;VLOOKUP(YEAR($A782),'Festive dates'!$A$2:$J$5,2,FALSE),$A782&lt;VLOOKUP(YEAR($A782),'Festive dates'!$A$2:$J$5,3,FALSE)),1,0)</f>
        <v>0</v>
      </c>
      <c r="S782" s="9">
        <f>IF($A782=VLOOKUP(YEAR($A782),'Festive dates'!$A$2:$J$5,2,FALSE),1,0)</f>
        <v>0</v>
      </c>
      <c r="T782" s="9">
        <f>IF($A782=VLOOKUP(YEAR($A782),'Festive dates'!$A$2:$J$5,3,FALSE),1,0)</f>
        <v>0</v>
      </c>
      <c r="U782" s="9">
        <f>IF($A782=VLOOKUP(YEAR($A782),'Festive dates'!$A$2:$J$5,4,FALSE),1,0)</f>
        <v>0</v>
      </c>
      <c r="V782" s="9">
        <f>IF(AND($A782&gt;=VLOOKUP(YEAR($A782),'Festive dates'!$A$2:$J$5,9,FALSE),$A782&lt;=VLOOKUP(YEAR($A782),'Festive dates'!$A$2:$J$5,10,FALSE)),1,0)</f>
        <v>0</v>
      </c>
      <c r="W782" s="9">
        <f>IF($A782=VLOOKUP(YEAR($A782),'Festive dates'!$A$2:$J$5,7,FALSE),1,0)</f>
        <v>0</v>
      </c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</row>
    <row r="783" spans="1:51">
      <c r="A783" s="8">
        <v>45798</v>
      </c>
      <c r="B783" s="9">
        <v>0</v>
      </c>
      <c r="C783" s="9">
        <v>0</v>
      </c>
      <c r="D783" s="9">
        <v>0</v>
      </c>
      <c r="E783" s="9">
        <v>0</v>
      </c>
      <c r="F783" s="9">
        <v>0</v>
      </c>
      <c r="G783" s="9">
        <v>0</v>
      </c>
      <c r="H783" s="9">
        <v>0</v>
      </c>
      <c r="I783" s="9">
        <v>0</v>
      </c>
      <c r="J783" s="9">
        <v>0</v>
      </c>
      <c r="K783" s="9">
        <v>0</v>
      </c>
      <c r="L783" s="9">
        <v>0</v>
      </c>
      <c r="M783" s="9">
        <v>0</v>
      </c>
      <c r="N783" s="9">
        <v>0</v>
      </c>
      <c r="O783" s="9">
        <v>0</v>
      </c>
      <c r="P783" s="9">
        <v>1</v>
      </c>
      <c r="Q783" s="9">
        <f>MAX(-20,MIN(10,$A783-VLOOKUP(YEAR($A783),'Festive dates'!$A$2:$J$5,8,FALSE)))</f>
        <v>-20</v>
      </c>
      <c r="R783" s="9">
        <f>IF(AND($A783&gt;VLOOKUP(YEAR($A783),'Festive dates'!$A$2:$J$5,2,FALSE),$A783&lt;VLOOKUP(YEAR($A783),'Festive dates'!$A$2:$J$5,3,FALSE)),1,0)</f>
        <v>0</v>
      </c>
      <c r="S783" s="9">
        <f>IF($A783=VLOOKUP(YEAR($A783),'Festive dates'!$A$2:$J$5,2,FALSE),1,0)</f>
        <v>0</v>
      </c>
      <c r="T783" s="9">
        <f>IF($A783=VLOOKUP(YEAR($A783),'Festive dates'!$A$2:$J$5,3,FALSE),1,0)</f>
        <v>0</v>
      </c>
      <c r="U783" s="9">
        <f>IF($A783=VLOOKUP(YEAR($A783),'Festive dates'!$A$2:$J$5,4,FALSE),1,0)</f>
        <v>0</v>
      </c>
      <c r="V783" s="9">
        <f>IF(AND($A783&gt;=VLOOKUP(YEAR($A783),'Festive dates'!$A$2:$J$5,9,FALSE),$A783&lt;=VLOOKUP(YEAR($A783),'Festive dates'!$A$2:$J$5,10,FALSE)),1,0)</f>
        <v>0</v>
      </c>
      <c r="W783" s="9">
        <f>IF($A783=VLOOKUP(YEAR($A783),'Festive dates'!$A$2:$J$5,7,FALSE),1,0)</f>
        <v>0</v>
      </c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</row>
    <row r="784" spans="1:51">
      <c r="A784" s="8">
        <v>45799</v>
      </c>
      <c r="B784" s="9">
        <v>0</v>
      </c>
      <c r="C784" s="9">
        <v>0</v>
      </c>
      <c r="D784" s="9">
        <v>0</v>
      </c>
      <c r="E784" s="9">
        <v>0</v>
      </c>
      <c r="F784" s="9">
        <v>0</v>
      </c>
      <c r="G784" s="9">
        <v>0</v>
      </c>
      <c r="H784" s="9">
        <v>0</v>
      </c>
      <c r="I784" s="9">
        <v>0</v>
      </c>
      <c r="J784" s="9">
        <v>0</v>
      </c>
      <c r="K784" s="9">
        <v>0</v>
      </c>
      <c r="L784" s="9">
        <v>0</v>
      </c>
      <c r="M784" s="9">
        <v>0</v>
      </c>
      <c r="N784" s="9">
        <v>0</v>
      </c>
      <c r="O784" s="9">
        <v>0</v>
      </c>
      <c r="P784" s="9">
        <v>0</v>
      </c>
      <c r="Q784" s="9">
        <f>MAX(-20,MIN(10,$A784-VLOOKUP(YEAR($A784),'Festive dates'!$A$2:$J$5,8,FALSE)))</f>
        <v>-20</v>
      </c>
      <c r="R784" s="9">
        <f>IF(AND($A784&gt;VLOOKUP(YEAR($A784),'Festive dates'!$A$2:$J$5,2,FALSE),$A784&lt;VLOOKUP(YEAR($A784),'Festive dates'!$A$2:$J$5,3,FALSE)),1,0)</f>
        <v>0</v>
      </c>
      <c r="S784" s="9">
        <f>IF($A784=VLOOKUP(YEAR($A784),'Festive dates'!$A$2:$J$5,2,FALSE),1,0)</f>
        <v>0</v>
      </c>
      <c r="T784" s="9">
        <f>IF($A784=VLOOKUP(YEAR($A784),'Festive dates'!$A$2:$J$5,3,FALSE),1,0)</f>
        <v>0</v>
      </c>
      <c r="U784" s="9">
        <f>IF($A784=VLOOKUP(YEAR($A784),'Festive dates'!$A$2:$J$5,4,FALSE),1,0)</f>
        <v>0</v>
      </c>
      <c r="V784" s="9">
        <f>IF(AND($A784&gt;=VLOOKUP(YEAR($A784),'Festive dates'!$A$2:$J$5,9,FALSE),$A784&lt;=VLOOKUP(YEAR($A784),'Festive dates'!$A$2:$J$5,10,FALSE)),1,0)</f>
        <v>0</v>
      </c>
      <c r="W784" s="9">
        <f>IF($A784=VLOOKUP(YEAR($A784),'Festive dates'!$A$2:$J$5,7,FALSE),1,0)</f>
        <v>0</v>
      </c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</row>
    <row r="785" spans="1:51">
      <c r="A785" s="8">
        <v>45800</v>
      </c>
      <c r="B785" s="9">
        <v>0</v>
      </c>
      <c r="C785" s="9">
        <v>0</v>
      </c>
      <c r="D785" s="9">
        <v>0</v>
      </c>
      <c r="E785" s="9">
        <v>0</v>
      </c>
      <c r="F785" s="9">
        <v>0</v>
      </c>
      <c r="G785" s="9">
        <v>0</v>
      </c>
      <c r="H785" s="9">
        <v>0</v>
      </c>
      <c r="I785" s="9">
        <v>0</v>
      </c>
      <c r="J785" s="9">
        <v>0</v>
      </c>
      <c r="K785" s="9">
        <v>0</v>
      </c>
      <c r="L785" s="9">
        <v>0</v>
      </c>
      <c r="M785" s="9">
        <v>0</v>
      </c>
      <c r="N785" s="9">
        <v>0</v>
      </c>
      <c r="O785" s="9">
        <v>0</v>
      </c>
      <c r="P785" s="9">
        <v>0</v>
      </c>
      <c r="Q785" s="9">
        <f>MAX(-20,MIN(10,$A785-VLOOKUP(YEAR($A785),'Festive dates'!$A$2:$J$5,8,FALSE)))</f>
        <v>-20</v>
      </c>
      <c r="R785" s="9">
        <f>IF(AND($A785&gt;VLOOKUP(YEAR($A785),'Festive dates'!$A$2:$J$5,2,FALSE),$A785&lt;VLOOKUP(YEAR($A785),'Festive dates'!$A$2:$J$5,3,FALSE)),1,0)</f>
        <v>0</v>
      </c>
      <c r="S785" s="9">
        <f>IF($A785=VLOOKUP(YEAR($A785),'Festive dates'!$A$2:$J$5,2,FALSE),1,0)</f>
        <v>0</v>
      </c>
      <c r="T785" s="9">
        <f>IF($A785=VLOOKUP(YEAR($A785),'Festive dates'!$A$2:$J$5,3,FALSE),1,0)</f>
        <v>0</v>
      </c>
      <c r="U785" s="9">
        <f>IF($A785=VLOOKUP(YEAR($A785),'Festive dates'!$A$2:$J$5,4,FALSE),1,0)</f>
        <v>0</v>
      </c>
      <c r="V785" s="9">
        <f>IF(AND($A785&gt;=VLOOKUP(YEAR($A785),'Festive dates'!$A$2:$J$5,9,FALSE),$A785&lt;=VLOOKUP(YEAR($A785),'Festive dates'!$A$2:$J$5,10,FALSE)),1,0)</f>
        <v>0</v>
      </c>
      <c r="W785" s="9">
        <f>IF($A785=VLOOKUP(YEAR($A785),'Festive dates'!$A$2:$J$5,7,FALSE),1,0)</f>
        <v>0</v>
      </c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</row>
    <row r="786" spans="1:51">
      <c r="A786" s="8">
        <v>45801</v>
      </c>
      <c r="B786" s="9">
        <v>0</v>
      </c>
      <c r="C786" s="9">
        <v>0</v>
      </c>
      <c r="D786" s="9">
        <v>0</v>
      </c>
      <c r="E786" s="9">
        <v>0</v>
      </c>
      <c r="F786" s="9">
        <v>0</v>
      </c>
      <c r="G786" s="9">
        <v>0</v>
      </c>
      <c r="H786" s="9">
        <v>0</v>
      </c>
      <c r="I786" s="9">
        <v>0</v>
      </c>
      <c r="J786" s="9">
        <v>0</v>
      </c>
      <c r="K786" s="9">
        <v>0</v>
      </c>
      <c r="L786" s="9">
        <v>0</v>
      </c>
      <c r="M786" s="9">
        <v>0</v>
      </c>
      <c r="N786" s="9">
        <v>0</v>
      </c>
      <c r="O786" s="9">
        <v>0</v>
      </c>
      <c r="P786" s="9">
        <v>0</v>
      </c>
      <c r="Q786" s="9">
        <f>MAX(-20,MIN(10,$A786-VLOOKUP(YEAR($A786),'Festive dates'!$A$2:$J$5,8,FALSE)))</f>
        <v>-20</v>
      </c>
      <c r="R786" s="9">
        <f>IF(AND($A786&gt;VLOOKUP(YEAR($A786),'Festive dates'!$A$2:$J$5,2,FALSE),$A786&lt;VLOOKUP(YEAR($A786),'Festive dates'!$A$2:$J$5,3,FALSE)),1,0)</f>
        <v>0</v>
      </c>
      <c r="S786" s="9">
        <f>IF($A786=VLOOKUP(YEAR($A786),'Festive dates'!$A$2:$J$5,2,FALSE),1,0)</f>
        <v>0</v>
      </c>
      <c r="T786" s="9">
        <f>IF($A786=VLOOKUP(YEAR($A786),'Festive dates'!$A$2:$J$5,3,FALSE),1,0)</f>
        <v>0</v>
      </c>
      <c r="U786" s="9">
        <f>IF($A786=VLOOKUP(YEAR($A786),'Festive dates'!$A$2:$J$5,4,FALSE),1,0)</f>
        <v>0</v>
      </c>
      <c r="V786" s="9">
        <f>IF(AND($A786&gt;=VLOOKUP(YEAR($A786),'Festive dates'!$A$2:$J$5,9,FALSE),$A786&lt;=VLOOKUP(YEAR($A786),'Festive dates'!$A$2:$J$5,10,FALSE)),1,0)</f>
        <v>0</v>
      </c>
      <c r="W786" s="9">
        <f>IF($A786=VLOOKUP(YEAR($A786),'Festive dates'!$A$2:$J$5,7,FALSE),1,0)</f>
        <v>0</v>
      </c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</row>
    <row r="787" spans="1:51">
      <c r="A787" s="8">
        <v>45802</v>
      </c>
      <c r="B787" s="9">
        <v>0</v>
      </c>
      <c r="C787" s="9">
        <v>0</v>
      </c>
      <c r="D787" s="9">
        <v>0</v>
      </c>
      <c r="E787" s="9">
        <v>0</v>
      </c>
      <c r="F787" s="9">
        <v>0</v>
      </c>
      <c r="G787" s="9">
        <v>0</v>
      </c>
      <c r="H787" s="9">
        <v>0</v>
      </c>
      <c r="I787" s="9">
        <v>0</v>
      </c>
      <c r="J787" s="9">
        <v>0</v>
      </c>
      <c r="K787" s="9">
        <v>0</v>
      </c>
      <c r="L787" s="9">
        <v>0</v>
      </c>
      <c r="M787" s="9">
        <v>0</v>
      </c>
      <c r="N787" s="9">
        <v>0</v>
      </c>
      <c r="O787" s="9">
        <v>0</v>
      </c>
      <c r="P787" s="9">
        <v>0</v>
      </c>
      <c r="Q787" s="9">
        <f>MAX(-20,MIN(10,$A787-VLOOKUP(YEAR($A787),'Festive dates'!$A$2:$J$5,8,FALSE)))</f>
        <v>-20</v>
      </c>
      <c r="R787" s="9">
        <f>IF(AND($A787&gt;VLOOKUP(YEAR($A787),'Festive dates'!$A$2:$J$5,2,FALSE),$A787&lt;VLOOKUP(YEAR($A787),'Festive dates'!$A$2:$J$5,3,FALSE)),1,0)</f>
        <v>0</v>
      </c>
      <c r="S787" s="9">
        <f>IF($A787=VLOOKUP(YEAR($A787),'Festive dates'!$A$2:$J$5,2,FALSE),1,0)</f>
        <v>0</v>
      </c>
      <c r="T787" s="9">
        <f>IF($A787=VLOOKUP(YEAR($A787),'Festive dates'!$A$2:$J$5,3,FALSE),1,0)</f>
        <v>0</v>
      </c>
      <c r="U787" s="9">
        <f>IF($A787=VLOOKUP(YEAR($A787),'Festive dates'!$A$2:$J$5,4,FALSE),1,0)</f>
        <v>0</v>
      </c>
      <c r="V787" s="9">
        <f>IF(AND($A787&gt;=VLOOKUP(YEAR($A787),'Festive dates'!$A$2:$J$5,9,FALSE),$A787&lt;=VLOOKUP(YEAR($A787),'Festive dates'!$A$2:$J$5,10,FALSE)),1,0)</f>
        <v>0</v>
      </c>
      <c r="W787" s="9">
        <f>IF($A787=VLOOKUP(YEAR($A787),'Festive dates'!$A$2:$J$5,7,FALSE),1,0)</f>
        <v>0</v>
      </c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</row>
    <row r="788" spans="1:51">
      <c r="A788" s="8">
        <v>45803</v>
      </c>
      <c r="B788" s="9">
        <v>0</v>
      </c>
      <c r="C788" s="9">
        <v>0</v>
      </c>
      <c r="D788" s="9">
        <v>0</v>
      </c>
      <c r="E788" s="9">
        <v>0</v>
      </c>
      <c r="F788" s="9">
        <v>0</v>
      </c>
      <c r="G788" s="9">
        <v>0</v>
      </c>
      <c r="H788" s="9">
        <v>0</v>
      </c>
      <c r="I788" s="9">
        <v>0</v>
      </c>
      <c r="J788" s="9">
        <v>0</v>
      </c>
      <c r="K788" s="9">
        <v>0</v>
      </c>
      <c r="L788" s="9">
        <v>0</v>
      </c>
      <c r="M788" s="9">
        <v>0</v>
      </c>
      <c r="N788" s="9">
        <v>0</v>
      </c>
      <c r="O788" s="9">
        <v>0</v>
      </c>
      <c r="P788" s="9">
        <v>1</v>
      </c>
      <c r="Q788" s="9">
        <f>MAX(-20,MIN(10,$A788-VLOOKUP(YEAR($A788),'Festive dates'!$A$2:$J$5,8,FALSE)))</f>
        <v>-20</v>
      </c>
      <c r="R788" s="9">
        <f>IF(AND($A788&gt;VLOOKUP(YEAR($A788),'Festive dates'!$A$2:$J$5,2,FALSE),$A788&lt;VLOOKUP(YEAR($A788),'Festive dates'!$A$2:$J$5,3,FALSE)),1,0)</f>
        <v>0</v>
      </c>
      <c r="S788" s="9">
        <f>IF($A788=VLOOKUP(YEAR($A788),'Festive dates'!$A$2:$J$5,2,FALSE),1,0)</f>
        <v>0</v>
      </c>
      <c r="T788" s="9">
        <f>IF($A788=VLOOKUP(YEAR($A788),'Festive dates'!$A$2:$J$5,3,FALSE),1,0)</f>
        <v>0</v>
      </c>
      <c r="U788" s="9">
        <f>IF($A788=VLOOKUP(YEAR($A788),'Festive dates'!$A$2:$J$5,4,FALSE),1,0)</f>
        <v>0</v>
      </c>
      <c r="V788" s="9">
        <f>IF(AND($A788&gt;=VLOOKUP(YEAR($A788),'Festive dates'!$A$2:$J$5,9,FALSE),$A788&lt;=VLOOKUP(YEAR($A788),'Festive dates'!$A$2:$J$5,10,FALSE)),1,0)</f>
        <v>0</v>
      </c>
      <c r="W788" s="9">
        <f>IF($A788=VLOOKUP(YEAR($A788),'Festive dates'!$A$2:$J$5,7,FALSE),1,0)</f>
        <v>0</v>
      </c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</row>
    <row r="789" spans="1:51">
      <c r="A789" s="8">
        <v>45804</v>
      </c>
      <c r="B789" s="9">
        <v>0</v>
      </c>
      <c r="C789" s="9">
        <v>0</v>
      </c>
      <c r="D789" s="9">
        <v>0</v>
      </c>
      <c r="E789" s="9">
        <v>0</v>
      </c>
      <c r="F789" s="9">
        <v>0</v>
      </c>
      <c r="G789" s="9">
        <v>0</v>
      </c>
      <c r="H789" s="9">
        <v>0</v>
      </c>
      <c r="I789" s="9">
        <v>0</v>
      </c>
      <c r="J789" s="9">
        <v>0</v>
      </c>
      <c r="K789" s="9">
        <v>0</v>
      </c>
      <c r="L789" s="9">
        <v>0</v>
      </c>
      <c r="M789" s="9">
        <v>0</v>
      </c>
      <c r="N789" s="9">
        <v>0</v>
      </c>
      <c r="O789" s="9">
        <v>0</v>
      </c>
      <c r="P789" s="9">
        <v>0</v>
      </c>
      <c r="Q789" s="9">
        <f>MAX(-20,MIN(10,$A789-VLOOKUP(YEAR($A789),'Festive dates'!$A$2:$J$5,8,FALSE)))</f>
        <v>-20</v>
      </c>
      <c r="R789" s="9">
        <f>IF(AND($A789&gt;VLOOKUP(YEAR($A789),'Festive dates'!$A$2:$J$5,2,FALSE),$A789&lt;VLOOKUP(YEAR($A789),'Festive dates'!$A$2:$J$5,3,FALSE)),1,0)</f>
        <v>0</v>
      </c>
      <c r="S789" s="9">
        <f>IF($A789=VLOOKUP(YEAR($A789),'Festive dates'!$A$2:$J$5,2,FALSE),1,0)</f>
        <v>0</v>
      </c>
      <c r="T789" s="9">
        <f>IF($A789=VLOOKUP(YEAR($A789),'Festive dates'!$A$2:$J$5,3,FALSE),1,0)</f>
        <v>0</v>
      </c>
      <c r="U789" s="9">
        <f>IF($A789=VLOOKUP(YEAR($A789),'Festive dates'!$A$2:$J$5,4,FALSE),1,0)</f>
        <v>0</v>
      </c>
      <c r="V789" s="9">
        <f>IF(AND($A789&gt;=VLOOKUP(YEAR($A789),'Festive dates'!$A$2:$J$5,9,FALSE),$A789&lt;=VLOOKUP(YEAR($A789),'Festive dates'!$A$2:$J$5,10,FALSE)),1,0)</f>
        <v>0</v>
      </c>
      <c r="W789" s="9">
        <f>IF($A789=VLOOKUP(YEAR($A789),'Festive dates'!$A$2:$J$5,7,FALSE),1,0)</f>
        <v>0</v>
      </c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</row>
    <row r="790" spans="1:51">
      <c r="A790" s="8">
        <v>45805</v>
      </c>
      <c r="B790" s="9">
        <v>0</v>
      </c>
      <c r="C790" s="9">
        <v>0</v>
      </c>
      <c r="D790" s="9">
        <v>0</v>
      </c>
      <c r="E790" s="9">
        <v>0</v>
      </c>
      <c r="F790" s="9">
        <v>0</v>
      </c>
      <c r="G790" s="9">
        <v>0</v>
      </c>
      <c r="H790" s="9">
        <v>0</v>
      </c>
      <c r="I790" s="9">
        <v>0</v>
      </c>
      <c r="J790" s="9">
        <v>0</v>
      </c>
      <c r="K790" s="9">
        <v>0</v>
      </c>
      <c r="L790" s="9">
        <v>0</v>
      </c>
      <c r="M790" s="9">
        <v>0</v>
      </c>
      <c r="N790" s="9">
        <v>0</v>
      </c>
      <c r="O790" s="9">
        <v>0</v>
      </c>
      <c r="P790" s="9">
        <v>1</v>
      </c>
      <c r="Q790" s="9">
        <f>MAX(-20,MIN(10,$A790-VLOOKUP(YEAR($A790),'Festive dates'!$A$2:$J$5,8,FALSE)))</f>
        <v>-20</v>
      </c>
      <c r="R790" s="9">
        <f>IF(AND($A790&gt;VLOOKUP(YEAR($A790),'Festive dates'!$A$2:$J$5,2,FALSE),$A790&lt;VLOOKUP(YEAR($A790),'Festive dates'!$A$2:$J$5,3,FALSE)),1,0)</f>
        <v>0</v>
      </c>
      <c r="S790" s="9">
        <f>IF($A790=VLOOKUP(YEAR($A790),'Festive dates'!$A$2:$J$5,2,FALSE),1,0)</f>
        <v>0</v>
      </c>
      <c r="T790" s="9">
        <f>IF($A790=VLOOKUP(YEAR($A790),'Festive dates'!$A$2:$J$5,3,FALSE),1,0)</f>
        <v>0</v>
      </c>
      <c r="U790" s="9">
        <f>IF($A790=VLOOKUP(YEAR($A790),'Festive dates'!$A$2:$J$5,4,FALSE),1,0)</f>
        <v>0</v>
      </c>
      <c r="V790" s="9">
        <f>IF(AND($A790&gt;=VLOOKUP(YEAR($A790),'Festive dates'!$A$2:$J$5,9,FALSE),$A790&lt;=VLOOKUP(YEAR($A790),'Festive dates'!$A$2:$J$5,10,FALSE)),1,0)</f>
        <v>0</v>
      </c>
      <c r="W790" s="9">
        <f>IF($A790=VLOOKUP(YEAR($A790),'Festive dates'!$A$2:$J$5,7,FALSE),1,0)</f>
        <v>0</v>
      </c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</row>
    <row r="791" spans="1:51">
      <c r="A791" s="8">
        <v>45806</v>
      </c>
      <c r="B791" s="9">
        <v>0</v>
      </c>
      <c r="C791" s="9">
        <v>0</v>
      </c>
      <c r="D791" s="9">
        <v>0</v>
      </c>
      <c r="E791" s="9">
        <v>0</v>
      </c>
      <c r="F791" s="9">
        <v>0</v>
      </c>
      <c r="G791" s="9">
        <v>0</v>
      </c>
      <c r="H791" s="9">
        <v>0</v>
      </c>
      <c r="I791" s="9">
        <v>0</v>
      </c>
      <c r="J791" s="9">
        <v>0</v>
      </c>
      <c r="K791" s="9">
        <v>0</v>
      </c>
      <c r="L791" s="9">
        <v>0</v>
      </c>
      <c r="M791" s="9">
        <v>0</v>
      </c>
      <c r="N791" s="9">
        <v>0</v>
      </c>
      <c r="O791" s="9">
        <v>0</v>
      </c>
      <c r="P791" s="9">
        <v>1</v>
      </c>
      <c r="Q791" s="9">
        <f>MAX(-20,MIN(10,$A791-VLOOKUP(YEAR($A791),'Festive dates'!$A$2:$J$5,8,FALSE)))</f>
        <v>-20</v>
      </c>
      <c r="R791" s="9">
        <f>IF(AND($A791&gt;VLOOKUP(YEAR($A791),'Festive dates'!$A$2:$J$5,2,FALSE),$A791&lt;VLOOKUP(YEAR($A791),'Festive dates'!$A$2:$J$5,3,FALSE)),1,0)</f>
        <v>0</v>
      </c>
      <c r="S791" s="9">
        <f>IF($A791=VLOOKUP(YEAR($A791),'Festive dates'!$A$2:$J$5,2,FALSE),1,0)</f>
        <v>0</v>
      </c>
      <c r="T791" s="9">
        <f>IF($A791=VLOOKUP(YEAR($A791),'Festive dates'!$A$2:$J$5,3,FALSE),1,0)</f>
        <v>0</v>
      </c>
      <c r="U791" s="9">
        <f>IF($A791=VLOOKUP(YEAR($A791),'Festive dates'!$A$2:$J$5,4,FALSE),1,0)</f>
        <v>0</v>
      </c>
      <c r="V791" s="9">
        <f>IF(AND($A791&gt;=VLOOKUP(YEAR($A791),'Festive dates'!$A$2:$J$5,9,FALSE),$A791&lt;=VLOOKUP(YEAR($A791),'Festive dates'!$A$2:$J$5,10,FALSE)),1,0)</f>
        <v>0</v>
      </c>
      <c r="W791" s="9">
        <f>IF($A791=VLOOKUP(YEAR($A791),'Festive dates'!$A$2:$J$5,7,FALSE),1,0)</f>
        <v>0</v>
      </c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</row>
    <row r="792" spans="1:51">
      <c r="A792" s="8">
        <v>45807</v>
      </c>
      <c r="B792" s="9">
        <v>0</v>
      </c>
      <c r="C792" s="9">
        <v>0</v>
      </c>
      <c r="D792" s="9">
        <v>0</v>
      </c>
      <c r="E792" s="9">
        <v>0</v>
      </c>
      <c r="F792" s="9">
        <v>0</v>
      </c>
      <c r="G792" s="9">
        <v>0</v>
      </c>
      <c r="H792" s="9">
        <v>0</v>
      </c>
      <c r="I792" s="9">
        <v>0</v>
      </c>
      <c r="J792" s="9">
        <v>0</v>
      </c>
      <c r="K792" s="9">
        <v>0</v>
      </c>
      <c r="L792" s="9">
        <v>0</v>
      </c>
      <c r="M792" s="9">
        <v>0</v>
      </c>
      <c r="N792" s="9">
        <v>0</v>
      </c>
      <c r="O792" s="9">
        <v>0</v>
      </c>
      <c r="P792" s="9">
        <v>0</v>
      </c>
      <c r="Q792" s="9">
        <f>MAX(-20,MIN(10,$A792-VLOOKUP(YEAR($A792),'Festive dates'!$A$2:$J$5,8,FALSE)))</f>
        <v>-20</v>
      </c>
      <c r="R792" s="9">
        <f>IF(AND($A792&gt;VLOOKUP(YEAR($A792),'Festive dates'!$A$2:$J$5,2,FALSE),$A792&lt;VLOOKUP(YEAR($A792),'Festive dates'!$A$2:$J$5,3,FALSE)),1,0)</f>
        <v>0</v>
      </c>
      <c r="S792" s="9">
        <f>IF($A792=VLOOKUP(YEAR($A792),'Festive dates'!$A$2:$J$5,2,FALSE),1,0)</f>
        <v>0</v>
      </c>
      <c r="T792" s="9">
        <f>IF($A792=VLOOKUP(YEAR($A792),'Festive dates'!$A$2:$J$5,3,FALSE),1,0)</f>
        <v>0</v>
      </c>
      <c r="U792" s="9">
        <f>IF($A792=VLOOKUP(YEAR($A792),'Festive dates'!$A$2:$J$5,4,FALSE),1,0)</f>
        <v>0</v>
      </c>
      <c r="V792" s="9">
        <f>IF(AND($A792&gt;=VLOOKUP(YEAR($A792),'Festive dates'!$A$2:$J$5,9,FALSE),$A792&lt;=VLOOKUP(YEAR($A792),'Festive dates'!$A$2:$J$5,10,FALSE)),1,0)</f>
        <v>0</v>
      </c>
      <c r="W792" s="9">
        <f>IF($A792=VLOOKUP(YEAR($A792),'Festive dates'!$A$2:$J$5,7,FALSE),1,0)</f>
        <v>0</v>
      </c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</row>
    <row r="793" spans="1:51">
      <c r="A793" s="8">
        <v>45808</v>
      </c>
      <c r="B793" s="9">
        <v>0</v>
      </c>
      <c r="C793" s="9">
        <v>0</v>
      </c>
      <c r="D793" s="9">
        <v>0</v>
      </c>
      <c r="E793" s="9">
        <v>0</v>
      </c>
      <c r="F793" s="9">
        <v>0</v>
      </c>
      <c r="G793" s="9">
        <v>0</v>
      </c>
      <c r="H793" s="9">
        <v>0</v>
      </c>
      <c r="I793" s="9">
        <v>0</v>
      </c>
      <c r="J793" s="9">
        <v>0</v>
      </c>
      <c r="K793" s="9">
        <v>0</v>
      </c>
      <c r="L793" s="9">
        <v>0</v>
      </c>
      <c r="M793" s="9">
        <v>0</v>
      </c>
      <c r="N793" s="9">
        <v>0</v>
      </c>
      <c r="O793" s="9">
        <v>0</v>
      </c>
      <c r="P793" s="9">
        <v>1</v>
      </c>
      <c r="Q793" s="9">
        <f>MAX(-20,MIN(10,$A793-VLOOKUP(YEAR($A793),'Festive dates'!$A$2:$J$5,8,FALSE)))</f>
        <v>-20</v>
      </c>
      <c r="R793" s="9">
        <f>IF(AND($A793&gt;VLOOKUP(YEAR($A793),'Festive dates'!$A$2:$J$5,2,FALSE),$A793&lt;VLOOKUP(YEAR($A793),'Festive dates'!$A$2:$J$5,3,FALSE)),1,0)</f>
        <v>0</v>
      </c>
      <c r="S793" s="9">
        <f>IF($A793=VLOOKUP(YEAR($A793),'Festive dates'!$A$2:$J$5,2,FALSE),1,0)</f>
        <v>0</v>
      </c>
      <c r="T793" s="9">
        <f>IF($A793=VLOOKUP(YEAR($A793),'Festive dates'!$A$2:$J$5,3,FALSE),1,0)</f>
        <v>0</v>
      </c>
      <c r="U793" s="9">
        <f>IF($A793=VLOOKUP(YEAR($A793),'Festive dates'!$A$2:$J$5,4,FALSE),1,0)</f>
        <v>0</v>
      </c>
      <c r="V793" s="9">
        <f>IF(AND($A793&gt;=VLOOKUP(YEAR($A793),'Festive dates'!$A$2:$J$5,9,FALSE),$A793&lt;=VLOOKUP(YEAR($A793),'Festive dates'!$A$2:$J$5,10,FALSE)),1,0)</f>
        <v>0</v>
      </c>
      <c r="W793" s="9">
        <f>IF($A793=VLOOKUP(YEAR($A793),'Festive dates'!$A$2:$J$5,7,FALSE),1,0)</f>
        <v>0</v>
      </c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</row>
    <row r="794" spans="1:51">
      <c r="A794" s="8">
        <v>45809</v>
      </c>
      <c r="B794" s="9">
        <v>0</v>
      </c>
      <c r="C794" s="9">
        <v>0</v>
      </c>
      <c r="D794" s="9">
        <v>0</v>
      </c>
      <c r="E794" s="9">
        <v>0</v>
      </c>
      <c r="F794" s="9">
        <v>0</v>
      </c>
      <c r="G794" s="9">
        <v>0</v>
      </c>
      <c r="H794" s="9">
        <v>0</v>
      </c>
      <c r="I794" s="9">
        <v>0</v>
      </c>
      <c r="J794" s="9">
        <v>0</v>
      </c>
      <c r="K794" s="9">
        <v>0</v>
      </c>
      <c r="L794" s="9">
        <v>0</v>
      </c>
      <c r="M794" s="9">
        <v>0</v>
      </c>
      <c r="N794" s="9">
        <v>0</v>
      </c>
      <c r="O794" s="9">
        <v>0</v>
      </c>
      <c r="P794" s="9">
        <v>1</v>
      </c>
      <c r="Q794" s="9">
        <f>MAX(-20,MIN(10,$A794-VLOOKUP(YEAR($A794),'Festive dates'!$A$2:$J$5,8,FALSE)))</f>
        <v>-20</v>
      </c>
      <c r="R794" s="9">
        <f>IF(AND($A794&gt;VLOOKUP(YEAR($A794),'Festive dates'!$A$2:$J$5,2,FALSE),$A794&lt;VLOOKUP(YEAR($A794),'Festive dates'!$A$2:$J$5,3,FALSE)),1,0)</f>
        <v>0</v>
      </c>
      <c r="S794" s="9">
        <f>IF($A794=VLOOKUP(YEAR($A794),'Festive dates'!$A$2:$J$5,2,FALSE),1,0)</f>
        <v>0</v>
      </c>
      <c r="T794" s="9">
        <f>IF($A794=VLOOKUP(YEAR($A794),'Festive dates'!$A$2:$J$5,3,FALSE),1,0)</f>
        <v>0</v>
      </c>
      <c r="U794" s="9">
        <f>IF($A794=VLOOKUP(YEAR($A794),'Festive dates'!$A$2:$J$5,4,FALSE),1,0)</f>
        <v>0</v>
      </c>
      <c r="V794" s="9">
        <f>IF(AND($A794&gt;=VLOOKUP(YEAR($A794),'Festive dates'!$A$2:$J$5,9,FALSE),$A794&lt;=VLOOKUP(YEAR($A794),'Festive dates'!$A$2:$J$5,10,FALSE)),1,0)</f>
        <v>0</v>
      </c>
      <c r="W794" s="9">
        <f>IF($A794=VLOOKUP(YEAR($A794),'Festive dates'!$A$2:$J$5,7,FALSE),1,0)</f>
        <v>0</v>
      </c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</row>
    <row r="795" spans="1:51">
      <c r="A795" s="8">
        <v>45810</v>
      </c>
      <c r="B795" s="9">
        <v>0</v>
      </c>
      <c r="C795" s="9">
        <v>0</v>
      </c>
      <c r="D795" s="9">
        <v>0</v>
      </c>
      <c r="E795" s="9">
        <v>0</v>
      </c>
      <c r="F795" s="9">
        <v>0</v>
      </c>
      <c r="G795" s="9">
        <v>0</v>
      </c>
      <c r="H795" s="9">
        <v>0</v>
      </c>
      <c r="I795" s="9">
        <v>0</v>
      </c>
      <c r="J795" s="9">
        <v>0</v>
      </c>
      <c r="K795" s="9">
        <v>0</v>
      </c>
      <c r="L795" s="9">
        <v>0</v>
      </c>
      <c r="M795" s="9">
        <v>0</v>
      </c>
      <c r="N795" s="9">
        <v>0</v>
      </c>
      <c r="O795" s="9">
        <v>0</v>
      </c>
      <c r="P795" s="9">
        <v>0</v>
      </c>
      <c r="Q795" s="9">
        <f>MAX(-20,MIN(10,$A795-VLOOKUP(YEAR($A795),'Festive dates'!$A$2:$J$5,8,FALSE)))</f>
        <v>-20</v>
      </c>
      <c r="R795" s="9">
        <f>IF(AND($A795&gt;VLOOKUP(YEAR($A795),'Festive dates'!$A$2:$J$5,2,FALSE),$A795&lt;VLOOKUP(YEAR($A795),'Festive dates'!$A$2:$J$5,3,FALSE)),1,0)</f>
        <v>0</v>
      </c>
      <c r="S795" s="9">
        <f>IF($A795=VLOOKUP(YEAR($A795),'Festive dates'!$A$2:$J$5,2,FALSE),1,0)</f>
        <v>0</v>
      </c>
      <c r="T795" s="9">
        <f>IF($A795=VLOOKUP(YEAR($A795),'Festive dates'!$A$2:$J$5,3,FALSE),1,0)</f>
        <v>0</v>
      </c>
      <c r="U795" s="9">
        <f>IF($A795=VLOOKUP(YEAR($A795),'Festive dates'!$A$2:$J$5,4,FALSE),1,0)</f>
        <v>0</v>
      </c>
      <c r="V795" s="9">
        <f>IF(AND($A795&gt;=VLOOKUP(YEAR($A795),'Festive dates'!$A$2:$J$5,9,FALSE),$A795&lt;=VLOOKUP(YEAR($A795),'Festive dates'!$A$2:$J$5,10,FALSE)),1,0)</f>
        <v>0</v>
      </c>
      <c r="W795" s="9">
        <f>IF($A795=VLOOKUP(YEAR($A795),'Festive dates'!$A$2:$J$5,7,FALSE),1,0)</f>
        <v>0</v>
      </c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</row>
    <row r="796" spans="1:51">
      <c r="A796" s="8">
        <v>45811</v>
      </c>
      <c r="B796" s="9">
        <v>0</v>
      </c>
      <c r="C796" s="9">
        <v>0</v>
      </c>
      <c r="D796" s="9">
        <v>0</v>
      </c>
      <c r="E796" s="9">
        <v>0</v>
      </c>
      <c r="F796" s="9">
        <v>0</v>
      </c>
      <c r="G796" s="9">
        <v>0</v>
      </c>
      <c r="H796" s="9">
        <v>0</v>
      </c>
      <c r="I796" s="9">
        <v>0</v>
      </c>
      <c r="J796" s="9">
        <v>0</v>
      </c>
      <c r="K796" s="9">
        <v>0</v>
      </c>
      <c r="L796" s="9">
        <v>0</v>
      </c>
      <c r="M796" s="9">
        <v>0</v>
      </c>
      <c r="N796" s="9">
        <v>0</v>
      </c>
      <c r="O796" s="9">
        <v>0</v>
      </c>
      <c r="P796" s="9">
        <v>0</v>
      </c>
      <c r="Q796" s="9">
        <f>MAX(-20,MIN(10,$A796-VLOOKUP(YEAR($A796),'Festive dates'!$A$2:$J$5,8,FALSE)))</f>
        <v>-20</v>
      </c>
      <c r="R796" s="9">
        <f>IF(AND($A796&gt;VLOOKUP(YEAR($A796),'Festive dates'!$A$2:$J$5,2,FALSE),$A796&lt;VLOOKUP(YEAR($A796),'Festive dates'!$A$2:$J$5,3,FALSE)),1,0)</f>
        <v>0</v>
      </c>
      <c r="S796" s="9">
        <f>IF($A796=VLOOKUP(YEAR($A796),'Festive dates'!$A$2:$J$5,2,FALSE),1,0)</f>
        <v>0</v>
      </c>
      <c r="T796" s="9">
        <f>IF($A796=VLOOKUP(YEAR($A796),'Festive dates'!$A$2:$J$5,3,FALSE),1,0)</f>
        <v>0</v>
      </c>
      <c r="U796" s="9">
        <f>IF($A796=VLOOKUP(YEAR($A796),'Festive dates'!$A$2:$J$5,4,FALSE),1,0)</f>
        <v>0</v>
      </c>
      <c r="V796" s="9">
        <f>IF(AND($A796&gt;=VLOOKUP(YEAR($A796),'Festive dates'!$A$2:$J$5,9,FALSE),$A796&lt;=VLOOKUP(YEAR($A796),'Festive dates'!$A$2:$J$5,10,FALSE)),1,0)</f>
        <v>0</v>
      </c>
      <c r="W796" s="9">
        <f>IF($A796=VLOOKUP(YEAR($A796),'Festive dates'!$A$2:$J$5,7,FALSE),1,0)</f>
        <v>0</v>
      </c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</row>
    <row r="797" spans="1:51">
      <c r="A797" s="8">
        <v>45812</v>
      </c>
      <c r="B797" s="9">
        <v>0</v>
      </c>
      <c r="C797" s="9">
        <v>0</v>
      </c>
      <c r="D797" s="9">
        <v>0</v>
      </c>
      <c r="E797" s="9">
        <v>0</v>
      </c>
      <c r="F797" s="9">
        <v>0</v>
      </c>
      <c r="G797" s="9">
        <v>0</v>
      </c>
      <c r="H797" s="9">
        <v>0</v>
      </c>
      <c r="I797" s="9">
        <v>0</v>
      </c>
      <c r="J797" s="9">
        <v>0</v>
      </c>
      <c r="K797" s="9">
        <v>0</v>
      </c>
      <c r="L797" s="9">
        <v>0</v>
      </c>
      <c r="M797" s="9">
        <v>0</v>
      </c>
      <c r="N797" s="9">
        <v>0</v>
      </c>
      <c r="O797" s="9">
        <v>0</v>
      </c>
      <c r="P797" s="9">
        <v>0</v>
      </c>
      <c r="Q797" s="9">
        <f>MAX(-20,MIN(10,$A797-VLOOKUP(YEAR($A797),'Festive dates'!$A$2:$J$5,8,FALSE)))</f>
        <v>-20</v>
      </c>
      <c r="R797" s="9">
        <f>IF(AND($A797&gt;VLOOKUP(YEAR($A797),'Festive dates'!$A$2:$J$5,2,FALSE),$A797&lt;VLOOKUP(YEAR($A797),'Festive dates'!$A$2:$J$5,3,FALSE)),1,0)</f>
        <v>0</v>
      </c>
      <c r="S797" s="9">
        <f>IF($A797=VLOOKUP(YEAR($A797),'Festive dates'!$A$2:$J$5,2,FALSE),1,0)</f>
        <v>0</v>
      </c>
      <c r="T797" s="9">
        <f>IF($A797=VLOOKUP(YEAR($A797),'Festive dates'!$A$2:$J$5,3,FALSE),1,0)</f>
        <v>0</v>
      </c>
      <c r="U797" s="9">
        <f>IF($A797=VLOOKUP(YEAR($A797),'Festive dates'!$A$2:$J$5,4,FALSE),1,0)</f>
        <v>0</v>
      </c>
      <c r="V797" s="9">
        <f>IF(AND($A797&gt;=VLOOKUP(YEAR($A797),'Festive dates'!$A$2:$J$5,9,FALSE),$A797&lt;=VLOOKUP(YEAR($A797),'Festive dates'!$A$2:$J$5,10,FALSE)),1,0)</f>
        <v>0</v>
      </c>
      <c r="W797" s="9">
        <f>IF($A797=VLOOKUP(YEAR($A797),'Festive dates'!$A$2:$J$5,7,FALSE),1,0)</f>
        <v>0</v>
      </c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</row>
    <row r="798" spans="1:51">
      <c r="A798" s="8">
        <v>45813</v>
      </c>
      <c r="B798" s="9">
        <v>0</v>
      </c>
      <c r="C798" s="9">
        <v>0</v>
      </c>
      <c r="D798" s="9">
        <v>0</v>
      </c>
      <c r="E798" s="9">
        <v>0</v>
      </c>
      <c r="F798" s="9">
        <v>0</v>
      </c>
      <c r="G798" s="9">
        <v>0</v>
      </c>
      <c r="H798" s="9">
        <v>0</v>
      </c>
      <c r="I798" s="9">
        <v>0</v>
      </c>
      <c r="J798" s="9">
        <v>0</v>
      </c>
      <c r="K798" s="9">
        <v>0</v>
      </c>
      <c r="L798" s="9">
        <v>0</v>
      </c>
      <c r="M798" s="9">
        <v>0</v>
      </c>
      <c r="N798" s="9">
        <v>0</v>
      </c>
      <c r="O798" s="9">
        <v>0</v>
      </c>
      <c r="P798" s="9">
        <v>0</v>
      </c>
      <c r="Q798" s="9">
        <f>MAX(-20,MIN(10,$A798-VLOOKUP(YEAR($A798),'Festive dates'!$A$2:$J$5,8,FALSE)))</f>
        <v>-20</v>
      </c>
      <c r="R798" s="9">
        <f>IF(AND($A798&gt;VLOOKUP(YEAR($A798),'Festive dates'!$A$2:$J$5,2,FALSE),$A798&lt;VLOOKUP(YEAR($A798),'Festive dates'!$A$2:$J$5,3,FALSE)),1,0)</f>
        <v>0</v>
      </c>
      <c r="S798" s="9">
        <f>IF($A798=VLOOKUP(YEAR($A798),'Festive dates'!$A$2:$J$5,2,FALSE),1,0)</f>
        <v>0</v>
      </c>
      <c r="T798" s="9">
        <f>IF($A798=VLOOKUP(YEAR($A798),'Festive dates'!$A$2:$J$5,3,FALSE),1,0)</f>
        <v>0</v>
      </c>
      <c r="U798" s="9">
        <f>IF($A798=VLOOKUP(YEAR($A798),'Festive dates'!$A$2:$J$5,4,FALSE),1,0)</f>
        <v>0</v>
      </c>
      <c r="V798" s="9">
        <f>IF(AND($A798&gt;=VLOOKUP(YEAR($A798),'Festive dates'!$A$2:$J$5,9,FALSE),$A798&lt;=VLOOKUP(YEAR($A798),'Festive dates'!$A$2:$J$5,10,FALSE)),1,0)</f>
        <v>0</v>
      </c>
      <c r="W798" s="9">
        <f>IF($A798=VLOOKUP(YEAR($A798),'Festive dates'!$A$2:$J$5,7,FALSE),1,0)</f>
        <v>0</v>
      </c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</row>
    <row r="799" spans="1:51">
      <c r="A799" s="8">
        <v>45814</v>
      </c>
      <c r="B799" s="9">
        <v>0</v>
      </c>
      <c r="C799" s="9">
        <v>0</v>
      </c>
      <c r="D799" s="9">
        <v>0</v>
      </c>
      <c r="E799" s="9">
        <v>0</v>
      </c>
      <c r="F799" s="9">
        <v>0</v>
      </c>
      <c r="G799" s="9">
        <v>0</v>
      </c>
      <c r="H799" s="9">
        <v>0</v>
      </c>
      <c r="I799" s="9">
        <v>0</v>
      </c>
      <c r="J799" s="9">
        <v>0</v>
      </c>
      <c r="K799" s="9">
        <v>1</v>
      </c>
      <c r="L799" s="9">
        <v>0</v>
      </c>
      <c r="M799" s="9">
        <v>0</v>
      </c>
      <c r="N799" s="9">
        <v>0</v>
      </c>
      <c r="O799" s="9">
        <v>0</v>
      </c>
      <c r="P799" s="9">
        <v>0</v>
      </c>
      <c r="Q799" s="9">
        <f>MAX(-20,MIN(10,$A799-VLOOKUP(YEAR($A799),'Festive dates'!$A$2:$J$5,8,FALSE)))</f>
        <v>-20</v>
      </c>
      <c r="R799" s="9">
        <f>IF(AND($A799&gt;VLOOKUP(YEAR($A799),'Festive dates'!$A$2:$J$5,2,FALSE),$A799&lt;VLOOKUP(YEAR($A799),'Festive dates'!$A$2:$J$5,3,FALSE)),1,0)</f>
        <v>0</v>
      </c>
      <c r="S799" s="9">
        <f>IF($A799=VLOOKUP(YEAR($A799),'Festive dates'!$A$2:$J$5,2,FALSE),1,0)</f>
        <v>0</v>
      </c>
      <c r="T799" s="9">
        <f>IF($A799=VLOOKUP(YEAR($A799),'Festive dates'!$A$2:$J$5,3,FALSE),1,0)</f>
        <v>0</v>
      </c>
      <c r="U799" s="9">
        <f>IF($A799=VLOOKUP(YEAR($A799),'Festive dates'!$A$2:$J$5,4,FALSE),1,0)</f>
        <v>0</v>
      </c>
      <c r="V799" s="9">
        <f>IF(AND($A799&gt;=VLOOKUP(YEAR($A799),'Festive dates'!$A$2:$J$5,9,FALSE),$A799&lt;=VLOOKUP(YEAR($A799),'Festive dates'!$A$2:$J$5,10,FALSE)),1,0)</f>
        <v>0</v>
      </c>
      <c r="W799" s="9">
        <f>IF($A799=VLOOKUP(YEAR($A799),'Festive dates'!$A$2:$J$5,7,FALSE),1,0)</f>
        <v>0</v>
      </c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</row>
    <row r="800" spans="1:51">
      <c r="A800" s="8">
        <v>45815</v>
      </c>
      <c r="B800" s="9">
        <v>0</v>
      </c>
      <c r="C800" s="9">
        <v>0</v>
      </c>
      <c r="D800" s="9">
        <v>0</v>
      </c>
      <c r="E800" s="9">
        <v>0</v>
      </c>
      <c r="F800" s="9">
        <v>0</v>
      </c>
      <c r="G800" s="9">
        <v>0</v>
      </c>
      <c r="H800" s="9">
        <v>0</v>
      </c>
      <c r="I800" s="9">
        <v>0</v>
      </c>
      <c r="J800" s="9">
        <v>0</v>
      </c>
      <c r="K800" s="9">
        <v>0</v>
      </c>
      <c r="L800" s="9">
        <v>0</v>
      </c>
      <c r="M800" s="9">
        <v>0</v>
      </c>
      <c r="N800" s="9">
        <v>0</v>
      </c>
      <c r="O800" s="9">
        <v>0</v>
      </c>
      <c r="P800" s="9">
        <v>0</v>
      </c>
      <c r="Q800" s="9">
        <f>MAX(-20,MIN(10,$A800-VLOOKUP(YEAR($A800),'Festive dates'!$A$2:$J$5,8,FALSE)))</f>
        <v>-20</v>
      </c>
      <c r="R800" s="9">
        <f>IF(AND($A800&gt;VLOOKUP(YEAR($A800),'Festive dates'!$A$2:$J$5,2,FALSE),$A800&lt;VLOOKUP(YEAR($A800),'Festive dates'!$A$2:$J$5,3,FALSE)),1,0)</f>
        <v>0</v>
      </c>
      <c r="S800" s="9">
        <f>IF($A800=VLOOKUP(YEAR($A800),'Festive dates'!$A$2:$J$5,2,FALSE),1,0)</f>
        <v>0</v>
      </c>
      <c r="T800" s="9">
        <f>IF($A800=VLOOKUP(YEAR($A800),'Festive dates'!$A$2:$J$5,3,FALSE),1,0)</f>
        <v>0</v>
      </c>
      <c r="U800" s="9">
        <f>IF($A800=VLOOKUP(YEAR($A800),'Festive dates'!$A$2:$J$5,4,FALSE),1,0)</f>
        <v>0</v>
      </c>
      <c r="V800" s="9">
        <f>IF(AND($A800&gt;=VLOOKUP(YEAR($A800),'Festive dates'!$A$2:$J$5,9,FALSE),$A800&lt;=VLOOKUP(YEAR($A800),'Festive dates'!$A$2:$J$5,10,FALSE)),1,0)</f>
        <v>0</v>
      </c>
      <c r="W800" s="9">
        <f>IF($A800=VLOOKUP(YEAR($A800),'Festive dates'!$A$2:$J$5,7,FALSE),1,0)</f>
        <v>0</v>
      </c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</row>
    <row r="801" spans="1:51">
      <c r="A801" s="8">
        <v>45816</v>
      </c>
      <c r="B801" s="9">
        <v>0</v>
      </c>
      <c r="C801" s="9">
        <v>0</v>
      </c>
      <c r="D801" s="9">
        <v>0</v>
      </c>
      <c r="E801" s="9">
        <v>0</v>
      </c>
      <c r="F801" s="9">
        <v>0</v>
      </c>
      <c r="G801" s="9">
        <v>0</v>
      </c>
      <c r="H801" s="9">
        <v>0</v>
      </c>
      <c r="I801" s="9">
        <v>0</v>
      </c>
      <c r="J801" s="9">
        <v>0</v>
      </c>
      <c r="K801" s="9">
        <v>0</v>
      </c>
      <c r="L801" s="9">
        <v>0</v>
      </c>
      <c r="M801" s="9">
        <v>0</v>
      </c>
      <c r="N801" s="9">
        <v>0</v>
      </c>
      <c r="O801" s="9">
        <v>0</v>
      </c>
      <c r="P801" s="9">
        <v>0</v>
      </c>
      <c r="Q801" s="9">
        <f>MAX(-20,MIN(10,$A801-VLOOKUP(YEAR($A801),'Festive dates'!$A$2:$J$5,8,FALSE)))</f>
        <v>-20</v>
      </c>
      <c r="R801" s="9">
        <f>IF(AND($A801&gt;VLOOKUP(YEAR($A801),'Festive dates'!$A$2:$J$5,2,FALSE),$A801&lt;VLOOKUP(YEAR($A801),'Festive dates'!$A$2:$J$5,3,FALSE)),1,0)</f>
        <v>0</v>
      </c>
      <c r="S801" s="9">
        <f>IF($A801=VLOOKUP(YEAR($A801),'Festive dates'!$A$2:$J$5,2,FALSE),1,0)</f>
        <v>0</v>
      </c>
      <c r="T801" s="9">
        <f>IF($A801=VLOOKUP(YEAR($A801),'Festive dates'!$A$2:$J$5,3,FALSE),1,0)</f>
        <v>0</v>
      </c>
      <c r="U801" s="9">
        <f>IF($A801=VLOOKUP(YEAR($A801),'Festive dates'!$A$2:$J$5,4,FALSE),1,0)</f>
        <v>0</v>
      </c>
      <c r="V801" s="9">
        <f>IF(AND($A801&gt;=VLOOKUP(YEAR($A801),'Festive dates'!$A$2:$J$5,9,FALSE),$A801&lt;=VLOOKUP(YEAR($A801),'Festive dates'!$A$2:$J$5,10,FALSE)),1,0)</f>
        <v>0</v>
      </c>
      <c r="W801" s="9">
        <f>IF($A801=VLOOKUP(YEAR($A801),'Festive dates'!$A$2:$J$5,7,FALSE),1,0)</f>
        <v>0</v>
      </c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</row>
    <row r="802" spans="1:51">
      <c r="A802" s="8">
        <v>45817</v>
      </c>
      <c r="B802" s="9">
        <v>0</v>
      </c>
      <c r="C802" s="9">
        <v>0</v>
      </c>
      <c r="D802" s="9">
        <v>0</v>
      </c>
      <c r="E802" s="9">
        <v>0</v>
      </c>
      <c r="F802" s="9">
        <v>0</v>
      </c>
      <c r="G802" s="9">
        <v>0</v>
      </c>
      <c r="H802" s="9">
        <v>0</v>
      </c>
      <c r="I802" s="9">
        <v>0</v>
      </c>
      <c r="J802" s="9">
        <v>0</v>
      </c>
      <c r="K802" s="9">
        <v>0</v>
      </c>
      <c r="L802" s="9">
        <v>0</v>
      </c>
      <c r="M802" s="9">
        <v>0</v>
      </c>
      <c r="N802" s="9">
        <v>0</v>
      </c>
      <c r="O802" s="9">
        <v>0</v>
      </c>
      <c r="P802" s="9">
        <v>0</v>
      </c>
      <c r="Q802" s="9">
        <f>MAX(-20,MIN(10,$A802-VLOOKUP(YEAR($A802),'Festive dates'!$A$2:$J$5,8,FALSE)))</f>
        <v>-20</v>
      </c>
      <c r="R802" s="9">
        <f>IF(AND($A802&gt;VLOOKUP(YEAR($A802),'Festive dates'!$A$2:$J$5,2,FALSE),$A802&lt;VLOOKUP(YEAR($A802),'Festive dates'!$A$2:$J$5,3,FALSE)),1,0)</f>
        <v>0</v>
      </c>
      <c r="S802" s="9">
        <f>IF($A802=VLOOKUP(YEAR($A802),'Festive dates'!$A$2:$J$5,2,FALSE),1,0)</f>
        <v>0</v>
      </c>
      <c r="T802" s="9">
        <f>IF($A802=VLOOKUP(YEAR($A802),'Festive dates'!$A$2:$J$5,3,FALSE),1,0)</f>
        <v>0</v>
      </c>
      <c r="U802" s="9">
        <f>IF($A802=VLOOKUP(YEAR($A802),'Festive dates'!$A$2:$J$5,4,FALSE),1,0)</f>
        <v>0</v>
      </c>
      <c r="V802" s="9">
        <f>IF(AND($A802&gt;=VLOOKUP(YEAR($A802),'Festive dates'!$A$2:$J$5,9,FALSE),$A802&lt;=VLOOKUP(YEAR($A802),'Festive dates'!$A$2:$J$5,10,FALSE)),1,0)</f>
        <v>0</v>
      </c>
      <c r="W802" s="9">
        <f>IF($A802=VLOOKUP(YEAR($A802),'Festive dates'!$A$2:$J$5,7,FALSE),1,0)</f>
        <v>0</v>
      </c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</row>
    <row r="803" spans="1:51">
      <c r="A803" s="8">
        <v>45818</v>
      </c>
      <c r="B803" s="9">
        <v>0</v>
      </c>
      <c r="C803" s="9">
        <v>0</v>
      </c>
      <c r="D803" s="9">
        <v>0</v>
      </c>
      <c r="E803" s="9">
        <v>0</v>
      </c>
      <c r="F803" s="9">
        <v>0</v>
      </c>
      <c r="G803" s="9">
        <v>0</v>
      </c>
      <c r="H803" s="9">
        <v>0</v>
      </c>
      <c r="I803" s="9">
        <v>0</v>
      </c>
      <c r="J803" s="9">
        <v>0</v>
      </c>
      <c r="K803" s="9">
        <v>0</v>
      </c>
      <c r="L803" s="9">
        <v>0</v>
      </c>
      <c r="M803" s="9">
        <v>0</v>
      </c>
      <c r="N803" s="9">
        <v>0</v>
      </c>
      <c r="O803" s="9">
        <v>0</v>
      </c>
      <c r="P803" s="9">
        <v>0</v>
      </c>
      <c r="Q803" s="9">
        <f>MAX(-20,MIN(10,$A803-VLOOKUP(YEAR($A803),'Festive dates'!$A$2:$J$5,8,FALSE)))</f>
        <v>-20</v>
      </c>
      <c r="R803" s="9">
        <f>IF(AND($A803&gt;VLOOKUP(YEAR($A803),'Festive dates'!$A$2:$J$5,2,FALSE),$A803&lt;VLOOKUP(YEAR($A803),'Festive dates'!$A$2:$J$5,3,FALSE)),1,0)</f>
        <v>0</v>
      </c>
      <c r="S803" s="9">
        <f>IF($A803=VLOOKUP(YEAR($A803),'Festive dates'!$A$2:$J$5,2,FALSE),1,0)</f>
        <v>0</v>
      </c>
      <c r="T803" s="9">
        <f>IF($A803=VLOOKUP(YEAR($A803),'Festive dates'!$A$2:$J$5,3,FALSE),1,0)</f>
        <v>0</v>
      </c>
      <c r="U803" s="9">
        <f>IF($A803=VLOOKUP(YEAR($A803),'Festive dates'!$A$2:$J$5,4,FALSE),1,0)</f>
        <v>0</v>
      </c>
      <c r="V803" s="9">
        <f>IF(AND($A803&gt;=VLOOKUP(YEAR($A803),'Festive dates'!$A$2:$J$5,9,FALSE),$A803&lt;=VLOOKUP(YEAR($A803),'Festive dates'!$A$2:$J$5,10,FALSE)),1,0)</f>
        <v>0</v>
      </c>
      <c r="W803" s="9">
        <f>IF($A803=VLOOKUP(YEAR($A803),'Festive dates'!$A$2:$J$5,7,FALSE),1,0)</f>
        <v>0</v>
      </c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</row>
    <row r="804" spans="1:51">
      <c r="A804" s="8">
        <v>45819</v>
      </c>
      <c r="B804" s="9">
        <v>0</v>
      </c>
      <c r="C804" s="9">
        <v>0</v>
      </c>
      <c r="D804" s="9">
        <v>0</v>
      </c>
      <c r="E804" s="9">
        <v>0</v>
      </c>
      <c r="F804" s="9">
        <v>0</v>
      </c>
      <c r="G804" s="9">
        <v>0</v>
      </c>
      <c r="H804" s="9">
        <v>0</v>
      </c>
      <c r="I804" s="9">
        <v>0</v>
      </c>
      <c r="J804" s="9">
        <v>0</v>
      </c>
      <c r="K804" s="9">
        <v>0</v>
      </c>
      <c r="L804" s="9">
        <v>0</v>
      </c>
      <c r="M804" s="9">
        <v>0</v>
      </c>
      <c r="N804" s="9">
        <v>0</v>
      </c>
      <c r="O804" s="9">
        <v>0</v>
      </c>
      <c r="P804" s="9">
        <v>0</v>
      </c>
      <c r="Q804" s="9">
        <f>MAX(-20,MIN(10,$A804-VLOOKUP(YEAR($A804),'Festive dates'!$A$2:$J$5,8,FALSE)))</f>
        <v>-20</v>
      </c>
      <c r="R804" s="9">
        <f>IF(AND($A804&gt;VLOOKUP(YEAR($A804),'Festive dates'!$A$2:$J$5,2,FALSE),$A804&lt;VLOOKUP(YEAR($A804),'Festive dates'!$A$2:$J$5,3,FALSE)),1,0)</f>
        <v>0</v>
      </c>
      <c r="S804" s="9">
        <f>IF($A804=VLOOKUP(YEAR($A804),'Festive dates'!$A$2:$J$5,2,FALSE),1,0)</f>
        <v>0</v>
      </c>
      <c r="T804" s="9">
        <f>IF($A804=VLOOKUP(YEAR($A804),'Festive dates'!$A$2:$J$5,3,FALSE),1,0)</f>
        <v>0</v>
      </c>
      <c r="U804" s="9">
        <f>IF($A804=VLOOKUP(YEAR($A804),'Festive dates'!$A$2:$J$5,4,FALSE),1,0)</f>
        <v>0</v>
      </c>
      <c r="V804" s="9">
        <f>IF(AND($A804&gt;=VLOOKUP(YEAR($A804),'Festive dates'!$A$2:$J$5,9,FALSE),$A804&lt;=VLOOKUP(YEAR($A804),'Festive dates'!$A$2:$J$5,10,FALSE)),1,0)</f>
        <v>0</v>
      </c>
      <c r="W804" s="9">
        <f>IF($A804=VLOOKUP(YEAR($A804),'Festive dates'!$A$2:$J$5,7,FALSE),1,0)</f>
        <v>0</v>
      </c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</row>
    <row r="805" spans="1:51">
      <c r="A805" s="8">
        <v>45820</v>
      </c>
      <c r="B805" s="9">
        <v>0</v>
      </c>
      <c r="C805" s="9">
        <v>0</v>
      </c>
      <c r="D805" s="9">
        <v>0</v>
      </c>
      <c r="E805" s="9">
        <v>0</v>
      </c>
      <c r="F805" s="9">
        <v>0</v>
      </c>
      <c r="G805" s="9">
        <v>0</v>
      </c>
      <c r="H805" s="9">
        <v>0</v>
      </c>
      <c r="I805" s="9">
        <v>0</v>
      </c>
      <c r="J805" s="9">
        <v>0</v>
      </c>
      <c r="K805" s="9">
        <v>0</v>
      </c>
      <c r="L805" s="9">
        <v>0</v>
      </c>
      <c r="M805" s="9">
        <v>0</v>
      </c>
      <c r="N805" s="9">
        <v>0</v>
      </c>
      <c r="O805" s="9">
        <v>0</v>
      </c>
      <c r="P805" s="9">
        <v>0</v>
      </c>
      <c r="Q805" s="9">
        <f>MAX(-20,MIN(10,$A805-VLOOKUP(YEAR($A805),'Festive dates'!$A$2:$J$5,8,FALSE)))</f>
        <v>-20</v>
      </c>
      <c r="R805" s="9">
        <f>IF(AND($A805&gt;VLOOKUP(YEAR($A805),'Festive dates'!$A$2:$J$5,2,FALSE),$A805&lt;VLOOKUP(YEAR($A805),'Festive dates'!$A$2:$J$5,3,FALSE)),1,0)</f>
        <v>0</v>
      </c>
      <c r="S805" s="9">
        <f>IF($A805=VLOOKUP(YEAR($A805),'Festive dates'!$A$2:$J$5,2,FALSE),1,0)</f>
        <v>0</v>
      </c>
      <c r="T805" s="9">
        <f>IF($A805=VLOOKUP(YEAR($A805),'Festive dates'!$A$2:$J$5,3,FALSE),1,0)</f>
        <v>0</v>
      </c>
      <c r="U805" s="9">
        <f>IF($A805=VLOOKUP(YEAR($A805),'Festive dates'!$A$2:$J$5,4,FALSE),1,0)</f>
        <v>0</v>
      </c>
      <c r="V805" s="9">
        <f>IF(AND($A805&gt;=VLOOKUP(YEAR($A805),'Festive dates'!$A$2:$J$5,9,FALSE),$A805&lt;=VLOOKUP(YEAR($A805),'Festive dates'!$A$2:$J$5,10,FALSE)),1,0)</f>
        <v>0</v>
      </c>
      <c r="W805" s="9">
        <f>IF($A805=VLOOKUP(YEAR($A805),'Festive dates'!$A$2:$J$5,7,FALSE),1,0)</f>
        <v>0</v>
      </c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</row>
    <row r="806" spans="1:51">
      <c r="A806" s="8">
        <v>45821</v>
      </c>
      <c r="B806" s="9">
        <v>0</v>
      </c>
      <c r="C806" s="9">
        <v>0</v>
      </c>
      <c r="D806" s="9">
        <v>0</v>
      </c>
      <c r="E806" s="9">
        <v>0</v>
      </c>
      <c r="F806" s="9">
        <v>0</v>
      </c>
      <c r="G806" s="9">
        <v>0</v>
      </c>
      <c r="H806" s="9">
        <v>0</v>
      </c>
      <c r="I806" s="9">
        <v>0</v>
      </c>
      <c r="J806" s="9">
        <v>0</v>
      </c>
      <c r="K806" s="9">
        <v>0</v>
      </c>
      <c r="L806" s="9">
        <v>0</v>
      </c>
      <c r="M806" s="9">
        <v>0</v>
      </c>
      <c r="N806" s="9">
        <v>0</v>
      </c>
      <c r="O806" s="9">
        <v>0</v>
      </c>
      <c r="P806" s="9">
        <v>0</v>
      </c>
      <c r="Q806" s="9">
        <f>MAX(-20,MIN(10,$A806-VLOOKUP(YEAR($A806),'Festive dates'!$A$2:$J$5,8,FALSE)))</f>
        <v>-20</v>
      </c>
      <c r="R806" s="9">
        <f>IF(AND($A806&gt;VLOOKUP(YEAR($A806),'Festive dates'!$A$2:$J$5,2,FALSE),$A806&lt;VLOOKUP(YEAR($A806),'Festive dates'!$A$2:$J$5,3,FALSE)),1,0)</f>
        <v>0</v>
      </c>
      <c r="S806" s="9">
        <f>IF($A806=VLOOKUP(YEAR($A806),'Festive dates'!$A$2:$J$5,2,FALSE),1,0)</f>
        <v>0</v>
      </c>
      <c r="T806" s="9">
        <f>IF($A806=VLOOKUP(YEAR($A806),'Festive dates'!$A$2:$J$5,3,FALSE),1,0)</f>
        <v>0</v>
      </c>
      <c r="U806" s="9">
        <f>IF($A806=VLOOKUP(YEAR($A806),'Festive dates'!$A$2:$J$5,4,FALSE),1,0)</f>
        <v>0</v>
      </c>
      <c r="V806" s="9">
        <f>IF(AND($A806&gt;=VLOOKUP(YEAR($A806),'Festive dates'!$A$2:$J$5,9,FALSE),$A806&lt;=VLOOKUP(YEAR($A806),'Festive dates'!$A$2:$J$5,10,FALSE)),1,0)</f>
        <v>0</v>
      </c>
      <c r="W806" s="9">
        <f>IF($A806=VLOOKUP(YEAR($A806),'Festive dates'!$A$2:$J$5,7,FALSE),1,0)</f>
        <v>0</v>
      </c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</row>
    <row r="807" spans="1:51">
      <c r="A807" s="8">
        <v>45822</v>
      </c>
      <c r="B807" s="9">
        <v>0</v>
      </c>
      <c r="C807" s="9">
        <v>0</v>
      </c>
      <c r="D807" s="9">
        <v>0</v>
      </c>
      <c r="E807" s="9">
        <v>0</v>
      </c>
      <c r="F807" s="9">
        <v>0</v>
      </c>
      <c r="G807" s="9">
        <v>0</v>
      </c>
      <c r="H807" s="9">
        <v>0</v>
      </c>
      <c r="I807" s="9">
        <v>0</v>
      </c>
      <c r="J807" s="9">
        <v>0</v>
      </c>
      <c r="K807" s="9">
        <v>0</v>
      </c>
      <c r="L807" s="9">
        <v>0</v>
      </c>
      <c r="M807" s="9">
        <v>0</v>
      </c>
      <c r="N807" s="9">
        <v>0</v>
      </c>
      <c r="O807" s="9">
        <v>0</v>
      </c>
      <c r="P807" s="9">
        <v>0</v>
      </c>
      <c r="Q807" s="9">
        <f>MAX(-20,MIN(10,$A807-VLOOKUP(YEAR($A807),'Festive dates'!$A$2:$J$5,8,FALSE)))</f>
        <v>-20</v>
      </c>
      <c r="R807" s="9">
        <f>IF(AND($A807&gt;VLOOKUP(YEAR($A807),'Festive dates'!$A$2:$J$5,2,FALSE),$A807&lt;VLOOKUP(YEAR($A807),'Festive dates'!$A$2:$J$5,3,FALSE)),1,0)</f>
        <v>0</v>
      </c>
      <c r="S807" s="9">
        <f>IF($A807=VLOOKUP(YEAR($A807),'Festive dates'!$A$2:$J$5,2,FALSE),1,0)</f>
        <v>0</v>
      </c>
      <c r="T807" s="9">
        <f>IF($A807=VLOOKUP(YEAR($A807),'Festive dates'!$A$2:$J$5,3,FALSE),1,0)</f>
        <v>0</v>
      </c>
      <c r="U807" s="9">
        <f>IF($A807=VLOOKUP(YEAR($A807),'Festive dates'!$A$2:$J$5,4,FALSE),1,0)</f>
        <v>0</v>
      </c>
      <c r="V807" s="9">
        <f>IF(AND($A807&gt;=VLOOKUP(YEAR($A807),'Festive dates'!$A$2:$J$5,9,FALSE),$A807&lt;=VLOOKUP(YEAR($A807),'Festive dates'!$A$2:$J$5,10,FALSE)),1,0)</f>
        <v>0</v>
      </c>
      <c r="W807" s="9">
        <f>IF($A807=VLOOKUP(YEAR($A807),'Festive dates'!$A$2:$J$5,7,FALSE),1,0)</f>
        <v>0</v>
      </c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</row>
    <row r="808" spans="1:51">
      <c r="A808" s="8">
        <v>45823</v>
      </c>
      <c r="B808" s="9">
        <v>0</v>
      </c>
      <c r="C808" s="9">
        <v>0</v>
      </c>
      <c r="D808" s="9">
        <v>0</v>
      </c>
      <c r="E808" s="9">
        <v>0</v>
      </c>
      <c r="F808" s="9">
        <v>0</v>
      </c>
      <c r="G808" s="9">
        <v>0</v>
      </c>
      <c r="H808" s="9">
        <v>0</v>
      </c>
      <c r="I808" s="9">
        <v>0</v>
      </c>
      <c r="J808" s="9">
        <v>0</v>
      </c>
      <c r="K808" s="9">
        <v>0</v>
      </c>
      <c r="L808" s="9">
        <v>0</v>
      </c>
      <c r="M808" s="9">
        <v>0</v>
      </c>
      <c r="N808" s="9">
        <v>0</v>
      </c>
      <c r="O808" s="9">
        <v>0</v>
      </c>
      <c r="P808" s="9">
        <v>0</v>
      </c>
      <c r="Q808" s="9">
        <f>MAX(-20,MIN(10,$A808-VLOOKUP(YEAR($A808),'Festive dates'!$A$2:$J$5,8,FALSE)))</f>
        <v>-20</v>
      </c>
      <c r="R808" s="9">
        <f>IF(AND($A808&gt;VLOOKUP(YEAR($A808),'Festive dates'!$A$2:$J$5,2,FALSE),$A808&lt;VLOOKUP(YEAR($A808),'Festive dates'!$A$2:$J$5,3,FALSE)),1,0)</f>
        <v>0</v>
      </c>
      <c r="S808" s="9">
        <f>IF($A808=VLOOKUP(YEAR($A808),'Festive dates'!$A$2:$J$5,2,FALSE),1,0)</f>
        <v>0</v>
      </c>
      <c r="T808" s="9">
        <f>IF($A808=VLOOKUP(YEAR($A808),'Festive dates'!$A$2:$J$5,3,FALSE),1,0)</f>
        <v>0</v>
      </c>
      <c r="U808" s="9">
        <f>IF($A808=VLOOKUP(YEAR($A808),'Festive dates'!$A$2:$J$5,4,FALSE),1,0)</f>
        <v>0</v>
      </c>
      <c r="V808" s="9">
        <f>IF(AND($A808&gt;=VLOOKUP(YEAR($A808),'Festive dates'!$A$2:$J$5,9,FALSE),$A808&lt;=VLOOKUP(YEAR($A808),'Festive dates'!$A$2:$J$5,10,FALSE)),1,0)</f>
        <v>0</v>
      </c>
      <c r="W808" s="9">
        <f>IF($A808=VLOOKUP(YEAR($A808),'Festive dates'!$A$2:$J$5,7,FALSE),1,0)</f>
        <v>0</v>
      </c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</row>
    <row r="809" spans="1:51">
      <c r="A809" s="8">
        <v>45824</v>
      </c>
      <c r="B809" s="9">
        <v>0</v>
      </c>
      <c r="C809" s="9">
        <v>0</v>
      </c>
      <c r="D809" s="9">
        <v>0</v>
      </c>
      <c r="E809" s="9">
        <v>0</v>
      </c>
      <c r="F809" s="9">
        <v>0</v>
      </c>
      <c r="G809" s="9">
        <v>0</v>
      </c>
      <c r="H809" s="9">
        <v>0</v>
      </c>
      <c r="I809" s="9">
        <v>0</v>
      </c>
      <c r="J809" s="9">
        <v>0</v>
      </c>
      <c r="K809" s="9">
        <v>0</v>
      </c>
      <c r="L809" s="9">
        <v>0</v>
      </c>
      <c r="M809" s="9">
        <v>0</v>
      </c>
      <c r="N809" s="9">
        <v>0</v>
      </c>
      <c r="O809" s="9">
        <v>0</v>
      </c>
      <c r="P809" s="9">
        <v>0</v>
      </c>
      <c r="Q809" s="9">
        <f>MAX(-20,MIN(10,$A809-VLOOKUP(YEAR($A809),'Festive dates'!$A$2:$J$5,8,FALSE)))</f>
        <v>-20</v>
      </c>
      <c r="R809" s="9">
        <f>IF(AND($A809&gt;VLOOKUP(YEAR($A809),'Festive dates'!$A$2:$J$5,2,FALSE),$A809&lt;VLOOKUP(YEAR($A809),'Festive dates'!$A$2:$J$5,3,FALSE)),1,0)</f>
        <v>0</v>
      </c>
      <c r="S809" s="9">
        <f>IF($A809=VLOOKUP(YEAR($A809),'Festive dates'!$A$2:$J$5,2,FALSE),1,0)</f>
        <v>0</v>
      </c>
      <c r="T809" s="9">
        <f>IF($A809=VLOOKUP(YEAR($A809),'Festive dates'!$A$2:$J$5,3,FALSE),1,0)</f>
        <v>0</v>
      </c>
      <c r="U809" s="9">
        <f>IF($A809=VLOOKUP(YEAR($A809),'Festive dates'!$A$2:$J$5,4,FALSE),1,0)</f>
        <v>0</v>
      </c>
      <c r="V809" s="9">
        <f>IF(AND($A809&gt;=VLOOKUP(YEAR($A809),'Festive dates'!$A$2:$J$5,9,FALSE),$A809&lt;=VLOOKUP(YEAR($A809),'Festive dates'!$A$2:$J$5,10,FALSE)),1,0)</f>
        <v>0</v>
      </c>
      <c r="W809" s="9">
        <f>IF($A809=VLOOKUP(YEAR($A809),'Festive dates'!$A$2:$J$5,7,FALSE),1,0)</f>
        <v>0</v>
      </c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</row>
    <row r="810" spans="1:51">
      <c r="A810" s="8">
        <v>45825</v>
      </c>
      <c r="B810" s="9">
        <v>0</v>
      </c>
      <c r="C810" s="9">
        <v>0</v>
      </c>
      <c r="D810" s="9">
        <v>0</v>
      </c>
      <c r="E810" s="9">
        <v>0</v>
      </c>
      <c r="F810" s="9">
        <v>0</v>
      </c>
      <c r="G810" s="9">
        <v>0</v>
      </c>
      <c r="H810" s="9">
        <v>0</v>
      </c>
      <c r="I810" s="9">
        <v>0</v>
      </c>
      <c r="J810" s="9">
        <v>0</v>
      </c>
      <c r="K810" s="9">
        <v>0</v>
      </c>
      <c r="L810" s="9">
        <v>0</v>
      </c>
      <c r="M810" s="9">
        <v>0</v>
      </c>
      <c r="N810" s="9">
        <v>0</v>
      </c>
      <c r="O810" s="9">
        <v>0</v>
      </c>
      <c r="P810" s="9">
        <v>0</v>
      </c>
      <c r="Q810" s="9">
        <f>MAX(-20,MIN(10,$A810-VLOOKUP(YEAR($A810),'Festive dates'!$A$2:$J$5,8,FALSE)))</f>
        <v>-20</v>
      </c>
      <c r="R810" s="9">
        <f>IF(AND($A810&gt;VLOOKUP(YEAR($A810),'Festive dates'!$A$2:$J$5,2,FALSE),$A810&lt;VLOOKUP(YEAR($A810),'Festive dates'!$A$2:$J$5,3,FALSE)),1,0)</f>
        <v>0</v>
      </c>
      <c r="S810" s="9">
        <f>IF($A810=VLOOKUP(YEAR($A810),'Festive dates'!$A$2:$J$5,2,FALSE),1,0)</f>
        <v>0</v>
      </c>
      <c r="T810" s="9">
        <f>IF($A810=VLOOKUP(YEAR($A810),'Festive dates'!$A$2:$J$5,3,FALSE),1,0)</f>
        <v>0</v>
      </c>
      <c r="U810" s="9">
        <f>IF($A810=VLOOKUP(YEAR($A810),'Festive dates'!$A$2:$J$5,4,FALSE),1,0)</f>
        <v>0</v>
      </c>
      <c r="V810" s="9">
        <f>IF(AND($A810&gt;=VLOOKUP(YEAR($A810),'Festive dates'!$A$2:$J$5,9,FALSE),$A810&lt;=VLOOKUP(YEAR($A810),'Festive dates'!$A$2:$J$5,10,FALSE)),1,0)</f>
        <v>0</v>
      </c>
      <c r="W810" s="9">
        <f>IF($A810=VLOOKUP(YEAR($A810),'Festive dates'!$A$2:$J$5,7,FALSE),1,0)</f>
        <v>0</v>
      </c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</row>
    <row r="811" spans="1:51">
      <c r="A811" s="8">
        <v>45826</v>
      </c>
      <c r="B811" s="9">
        <v>0</v>
      </c>
      <c r="C811" s="9">
        <v>0</v>
      </c>
      <c r="D811" s="9">
        <v>0</v>
      </c>
      <c r="E811" s="9">
        <v>0</v>
      </c>
      <c r="F811" s="9">
        <v>0</v>
      </c>
      <c r="G811" s="9">
        <v>0</v>
      </c>
      <c r="H811" s="9">
        <v>0</v>
      </c>
      <c r="I811" s="9">
        <v>0</v>
      </c>
      <c r="J811" s="9">
        <v>0</v>
      </c>
      <c r="K811" s="9">
        <v>0</v>
      </c>
      <c r="L811" s="9">
        <v>0</v>
      </c>
      <c r="M811" s="9">
        <v>0</v>
      </c>
      <c r="N811" s="9">
        <v>0</v>
      </c>
      <c r="O811" s="9">
        <v>0</v>
      </c>
      <c r="P811" s="9">
        <v>0</v>
      </c>
      <c r="Q811" s="9">
        <f>MAX(-20,MIN(10,$A811-VLOOKUP(YEAR($A811),'Festive dates'!$A$2:$J$5,8,FALSE)))</f>
        <v>-20</v>
      </c>
      <c r="R811" s="9">
        <f>IF(AND($A811&gt;VLOOKUP(YEAR($A811),'Festive dates'!$A$2:$J$5,2,FALSE),$A811&lt;VLOOKUP(YEAR($A811),'Festive dates'!$A$2:$J$5,3,FALSE)),1,0)</f>
        <v>0</v>
      </c>
      <c r="S811" s="9">
        <f>IF($A811=VLOOKUP(YEAR($A811),'Festive dates'!$A$2:$J$5,2,FALSE),1,0)</f>
        <v>0</v>
      </c>
      <c r="T811" s="9">
        <f>IF($A811=VLOOKUP(YEAR($A811),'Festive dates'!$A$2:$J$5,3,FALSE),1,0)</f>
        <v>0</v>
      </c>
      <c r="U811" s="9">
        <f>IF($A811=VLOOKUP(YEAR($A811),'Festive dates'!$A$2:$J$5,4,FALSE),1,0)</f>
        <v>0</v>
      </c>
      <c r="V811" s="9">
        <f>IF(AND($A811&gt;=VLOOKUP(YEAR($A811),'Festive dates'!$A$2:$J$5,9,FALSE),$A811&lt;=VLOOKUP(YEAR($A811),'Festive dates'!$A$2:$J$5,10,FALSE)),1,0)</f>
        <v>0</v>
      </c>
      <c r="W811" s="9">
        <f>IF($A811=VLOOKUP(YEAR($A811),'Festive dates'!$A$2:$J$5,7,FALSE),1,0)</f>
        <v>0</v>
      </c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</row>
    <row r="812" spans="1:51">
      <c r="A812" s="8">
        <v>45827</v>
      </c>
      <c r="B812" s="9">
        <v>0</v>
      </c>
      <c r="C812" s="9">
        <v>0</v>
      </c>
      <c r="D812" s="9">
        <v>0</v>
      </c>
      <c r="E812" s="9">
        <v>0</v>
      </c>
      <c r="F812" s="9">
        <v>0</v>
      </c>
      <c r="G812" s="9">
        <v>0</v>
      </c>
      <c r="H812" s="9">
        <v>0</v>
      </c>
      <c r="I812" s="9">
        <v>0</v>
      </c>
      <c r="J812" s="9">
        <v>0</v>
      </c>
      <c r="K812" s="9">
        <v>0</v>
      </c>
      <c r="L812" s="9">
        <v>0</v>
      </c>
      <c r="M812" s="9">
        <v>0</v>
      </c>
      <c r="N812" s="9">
        <v>0</v>
      </c>
      <c r="O812" s="9">
        <v>0</v>
      </c>
      <c r="P812" s="9">
        <v>0</v>
      </c>
      <c r="Q812" s="9">
        <f>MAX(-20,MIN(10,$A812-VLOOKUP(YEAR($A812),'Festive dates'!$A$2:$J$5,8,FALSE)))</f>
        <v>-20</v>
      </c>
      <c r="R812" s="9">
        <f>IF(AND($A812&gt;VLOOKUP(YEAR($A812),'Festive dates'!$A$2:$J$5,2,FALSE),$A812&lt;VLOOKUP(YEAR($A812),'Festive dates'!$A$2:$J$5,3,FALSE)),1,0)</f>
        <v>0</v>
      </c>
      <c r="S812" s="9">
        <f>IF($A812=VLOOKUP(YEAR($A812),'Festive dates'!$A$2:$J$5,2,FALSE),1,0)</f>
        <v>0</v>
      </c>
      <c r="T812" s="9">
        <f>IF($A812=VLOOKUP(YEAR($A812),'Festive dates'!$A$2:$J$5,3,FALSE),1,0)</f>
        <v>0</v>
      </c>
      <c r="U812" s="9">
        <f>IF($A812=VLOOKUP(YEAR($A812),'Festive dates'!$A$2:$J$5,4,FALSE),1,0)</f>
        <v>0</v>
      </c>
      <c r="V812" s="9">
        <f>IF(AND($A812&gt;=VLOOKUP(YEAR($A812),'Festive dates'!$A$2:$J$5,9,FALSE),$A812&lt;=VLOOKUP(YEAR($A812),'Festive dates'!$A$2:$J$5,10,FALSE)),1,0)</f>
        <v>0</v>
      </c>
      <c r="W812" s="9">
        <f>IF($A812=VLOOKUP(YEAR($A812),'Festive dates'!$A$2:$J$5,7,FALSE),1,0)</f>
        <v>0</v>
      </c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</row>
    <row r="813" spans="1:51">
      <c r="A813" s="8">
        <v>45828</v>
      </c>
      <c r="B813" s="9">
        <v>0</v>
      </c>
      <c r="C813" s="9">
        <v>0</v>
      </c>
      <c r="D813" s="9">
        <v>0</v>
      </c>
      <c r="E813" s="9">
        <v>0</v>
      </c>
      <c r="F813" s="9">
        <v>0</v>
      </c>
      <c r="G813" s="9">
        <v>0</v>
      </c>
      <c r="H813" s="9">
        <v>0</v>
      </c>
      <c r="I813" s="9">
        <v>0</v>
      </c>
      <c r="J813" s="9">
        <v>0</v>
      </c>
      <c r="K813" s="9">
        <v>0</v>
      </c>
      <c r="L813" s="9">
        <v>0</v>
      </c>
      <c r="M813" s="9">
        <v>0</v>
      </c>
      <c r="N813" s="9">
        <v>0</v>
      </c>
      <c r="O813" s="9">
        <v>0</v>
      </c>
      <c r="P813" s="9">
        <v>0</v>
      </c>
      <c r="Q813" s="9">
        <f>MAX(-20,MIN(10,$A813-VLOOKUP(YEAR($A813),'Festive dates'!$A$2:$J$5,8,FALSE)))</f>
        <v>-20</v>
      </c>
      <c r="R813" s="9">
        <f>IF(AND($A813&gt;VLOOKUP(YEAR($A813),'Festive dates'!$A$2:$J$5,2,FALSE),$A813&lt;VLOOKUP(YEAR($A813),'Festive dates'!$A$2:$J$5,3,FALSE)),1,0)</f>
        <v>0</v>
      </c>
      <c r="S813" s="9">
        <f>IF($A813=VLOOKUP(YEAR($A813),'Festive dates'!$A$2:$J$5,2,FALSE),1,0)</f>
        <v>0</v>
      </c>
      <c r="T813" s="9">
        <f>IF($A813=VLOOKUP(YEAR($A813),'Festive dates'!$A$2:$J$5,3,FALSE),1,0)</f>
        <v>0</v>
      </c>
      <c r="U813" s="9">
        <f>IF($A813=VLOOKUP(YEAR($A813),'Festive dates'!$A$2:$J$5,4,FALSE),1,0)</f>
        <v>0</v>
      </c>
      <c r="V813" s="9">
        <f>IF(AND($A813&gt;=VLOOKUP(YEAR($A813),'Festive dates'!$A$2:$J$5,9,FALSE),$A813&lt;=VLOOKUP(YEAR($A813),'Festive dates'!$A$2:$J$5,10,FALSE)),1,0)</f>
        <v>0</v>
      </c>
      <c r="W813" s="9">
        <f>IF($A813=VLOOKUP(YEAR($A813),'Festive dates'!$A$2:$J$5,7,FALSE),1,0)</f>
        <v>0</v>
      </c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</row>
    <row r="814" spans="1:51">
      <c r="A814" s="8">
        <v>45829</v>
      </c>
      <c r="B814" s="9">
        <v>0</v>
      </c>
      <c r="C814" s="9">
        <v>0</v>
      </c>
      <c r="D814" s="9">
        <v>0</v>
      </c>
      <c r="E814" s="9">
        <v>0</v>
      </c>
      <c r="F814" s="9">
        <v>0</v>
      </c>
      <c r="G814" s="9">
        <v>0</v>
      </c>
      <c r="H814" s="9">
        <v>0</v>
      </c>
      <c r="I814" s="9">
        <v>0</v>
      </c>
      <c r="J814" s="9">
        <v>0</v>
      </c>
      <c r="K814" s="9">
        <v>0</v>
      </c>
      <c r="L814" s="9">
        <v>0</v>
      </c>
      <c r="M814" s="9">
        <v>0</v>
      </c>
      <c r="N814" s="9">
        <v>0</v>
      </c>
      <c r="O814" s="9">
        <v>0</v>
      </c>
      <c r="P814" s="9">
        <v>0</v>
      </c>
      <c r="Q814" s="9">
        <f>MAX(-20,MIN(10,$A814-VLOOKUP(YEAR($A814),'Festive dates'!$A$2:$J$5,8,FALSE)))</f>
        <v>-20</v>
      </c>
      <c r="R814" s="9">
        <f>IF(AND($A814&gt;VLOOKUP(YEAR($A814),'Festive dates'!$A$2:$J$5,2,FALSE),$A814&lt;VLOOKUP(YEAR($A814),'Festive dates'!$A$2:$J$5,3,FALSE)),1,0)</f>
        <v>0</v>
      </c>
      <c r="S814" s="9">
        <f>IF($A814=VLOOKUP(YEAR($A814),'Festive dates'!$A$2:$J$5,2,FALSE),1,0)</f>
        <v>0</v>
      </c>
      <c r="T814" s="9">
        <f>IF($A814=VLOOKUP(YEAR($A814),'Festive dates'!$A$2:$J$5,3,FALSE),1,0)</f>
        <v>0</v>
      </c>
      <c r="U814" s="9">
        <f>IF($A814=VLOOKUP(YEAR($A814),'Festive dates'!$A$2:$J$5,4,FALSE),1,0)</f>
        <v>0</v>
      </c>
      <c r="V814" s="9">
        <f>IF(AND($A814&gt;=VLOOKUP(YEAR($A814),'Festive dates'!$A$2:$J$5,9,FALSE),$A814&lt;=VLOOKUP(YEAR($A814),'Festive dates'!$A$2:$J$5,10,FALSE)),1,0)</f>
        <v>0</v>
      </c>
      <c r="W814" s="9">
        <f>IF($A814=VLOOKUP(YEAR($A814),'Festive dates'!$A$2:$J$5,7,FALSE),1,0)</f>
        <v>0</v>
      </c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</row>
    <row r="815" spans="1:51">
      <c r="A815" s="8">
        <v>45830</v>
      </c>
      <c r="B815" s="9">
        <v>0</v>
      </c>
      <c r="C815" s="9">
        <v>0</v>
      </c>
      <c r="D815" s="9">
        <v>0</v>
      </c>
      <c r="E815" s="9">
        <v>0</v>
      </c>
      <c r="F815" s="9">
        <v>0</v>
      </c>
      <c r="G815" s="9">
        <v>0</v>
      </c>
      <c r="H815" s="9">
        <v>0</v>
      </c>
      <c r="I815" s="9">
        <v>0</v>
      </c>
      <c r="J815" s="9">
        <v>0</v>
      </c>
      <c r="K815" s="9">
        <v>0</v>
      </c>
      <c r="L815" s="9">
        <v>0</v>
      </c>
      <c r="M815" s="9">
        <v>0</v>
      </c>
      <c r="N815" s="9">
        <v>0</v>
      </c>
      <c r="O815" s="9">
        <v>0</v>
      </c>
      <c r="P815" s="9">
        <v>0</v>
      </c>
      <c r="Q815" s="9">
        <f>MAX(-20,MIN(10,$A815-VLOOKUP(YEAR($A815),'Festive dates'!$A$2:$J$5,8,FALSE)))</f>
        <v>-20</v>
      </c>
      <c r="R815" s="9">
        <f>IF(AND($A815&gt;VLOOKUP(YEAR($A815),'Festive dates'!$A$2:$J$5,2,FALSE),$A815&lt;VLOOKUP(YEAR($A815),'Festive dates'!$A$2:$J$5,3,FALSE)),1,0)</f>
        <v>0</v>
      </c>
      <c r="S815" s="9">
        <f>IF($A815=VLOOKUP(YEAR($A815),'Festive dates'!$A$2:$J$5,2,FALSE),1,0)</f>
        <v>0</v>
      </c>
      <c r="T815" s="9">
        <f>IF($A815=VLOOKUP(YEAR($A815),'Festive dates'!$A$2:$J$5,3,FALSE),1,0)</f>
        <v>0</v>
      </c>
      <c r="U815" s="9">
        <f>IF($A815=VLOOKUP(YEAR($A815),'Festive dates'!$A$2:$J$5,4,FALSE),1,0)</f>
        <v>0</v>
      </c>
      <c r="V815" s="9">
        <f>IF(AND($A815&gt;=VLOOKUP(YEAR($A815),'Festive dates'!$A$2:$J$5,9,FALSE),$A815&lt;=VLOOKUP(YEAR($A815),'Festive dates'!$A$2:$J$5,10,FALSE)),1,0)</f>
        <v>0</v>
      </c>
      <c r="W815" s="9">
        <f>IF($A815=VLOOKUP(YEAR($A815),'Festive dates'!$A$2:$J$5,7,FALSE),1,0)</f>
        <v>0</v>
      </c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</row>
    <row r="816" spans="1:51">
      <c r="A816" s="8">
        <v>45831</v>
      </c>
      <c r="B816" s="9">
        <v>0</v>
      </c>
      <c r="C816" s="9">
        <v>0</v>
      </c>
      <c r="D816" s="9">
        <v>0</v>
      </c>
      <c r="E816" s="9">
        <v>0</v>
      </c>
      <c r="F816" s="9">
        <v>0</v>
      </c>
      <c r="G816" s="9">
        <v>0</v>
      </c>
      <c r="H816" s="9">
        <v>0</v>
      </c>
      <c r="I816" s="9">
        <v>0</v>
      </c>
      <c r="J816" s="9">
        <v>0</v>
      </c>
      <c r="K816" s="9">
        <v>0</v>
      </c>
      <c r="L816" s="9">
        <v>0</v>
      </c>
      <c r="M816" s="9">
        <v>0</v>
      </c>
      <c r="N816" s="9">
        <v>0</v>
      </c>
      <c r="O816" s="9">
        <v>0</v>
      </c>
      <c r="P816" s="9">
        <v>0</v>
      </c>
      <c r="Q816" s="9">
        <f>MAX(-20,MIN(10,$A816-VLOOKUP(YEAR($A816),'Festive dates'!$A$2:$J$5,8,FALSE)))</f>
        <v>-20</v>
      </c>
      <c r="R816" s="9">
        <f>IF(AND($A816&gt;VLOOKUP(YEAR($A816),'Festive dates'!$A$2:$J$5,2,FALSE),$A816&lt;VLOOKUP(YEAR($A816),'Festive dates'!$A$2:$J$5,3,FALSE)),1,0)</f>
        <v>0</v>
      </c>
      <c r="S816" s="9">
        <f>IF($A816=VLOOKUP(YEAR($A816),'Festive dates'!$A$2:$J$5,2,FALSE),1,0)</f>
        <v>0</v>
      </c>
      <c r="T816" s="9">
        <f>IF($A816=VLOOKUP(YEAR($A816),'Festive dates'!$A$2:$J$5,3,FALSE),1,0)</f>
        <v>0</v>
      </c>
      <c r="U816" s="9">
        <f>IF($A816=VLOOKUP(YEAR($A816),'Festive dates'!$A$2:$J$5,4,FALSE),1,0)</f>
        <v>0</v>
      </c>
      <c r="V816" s="9">
        <f>IF(AND($A816&gt;=VLOOKUP(YEAR($A816),'Festive dates'!$A$2:$J$5,9,FALSE),$A816&lt;=VLOOKUP(YEAR($A816),'Festive dates'!$A$2:$J$5,10,FALSE)),1,0)</f>
        <v>0</v>
      </c>
      <c r="W816" s="9">
        <f>IF($A816=VLOOKUP(YEAR($A816),'Festive dates'!$A$2:$J$5,7,FALSE),1,0)</f>
        <v>0</v>
      </c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</row>
    <row r="817" spans="1:51">
      <c r="A817" s="8">
        <v>45832</v>
      </c>
      <c r="B817" s="9">
        <v>0</v>
      </c>
      <c r="C817" s="9">
        <v>0</v>
      </c>
      <c r="D817" s="9">
        <v>0</v>
      </c>
      <c r="E817" s="9">
        <v>0</v>
      </c>
      <c r="F817" s="9">
        <v>0</v>
      </c>
      <c r="G817" s="9">
        <v>0</v>
      </c>
      <c r="H817" s="9">
        <v>0</v>
      </c>
      <c r="I817" s="9">
        <v>0</v>
      </c>
      <c r="J817" s="9">
        <v>0</v>
      </c>
      <c r="K817" s="9">
        <v>0</v>
      </c>
      <c r="L817" s="9">
        <v>0</v>
      </c>
      <c r="M817" s="9">
        <v>0</v>
      </c>
      <c r="N817" s="9">
        <v>0</v>
      </c>
      <c r="O817" s="9">
        <v>0</v>
      </c>
      <c r="P817" s="9">
        <v>0</v>
      </c>
      <c r="Q817" s="9">
        <f>MAX(-20,MIN(10,$A817-VLOOKUP(YEAR($A817),'Festive dates'!$A$2:$J$5,8,FALSE)))</f>
        <v>-20</v>
      </c>
      <c r="R817" s="9">
        <f>IF(AND($A817&gt;VLOOKUP(YEAR($A817),'Festive dates'!$A$2:$J$5,2,FALSE),$A817&lt;VLOOKUP(YEAR($A817),'Festive dates'!$A$2:$J$5,3,FALSE)),1,0)</f>
        <v>0</v>
      </c>
      <c r="S817" s="9">
        <f>IF($A817=VLOOKUP(YEAR($A817),'Festive dates'!$A$2:$J$5,2,FALSE),1,0)</f>
        <v>0</v>
      </c>
      <c r="T817" s="9">
        <f>IF($A817=VLOOKUP(YEAR($A817),'Festive dates'!$A$2:$J$5,3,FALSE),1,0)</f>
        <v>0</v>
      </c>
      <c r="U817" s="9">
        <f>IF($A817=VLOOKUP(YEAR($A817),'Festive dates'!$A$2:$J$5,4,FALSE),1,0)</f>
        <v>0</v>
      </c>
      <c r="V817" s="9">
        <f>IF(AND($A817&gt;=VLOOKUP(YEAR($A817),'Festive dates'!$A$2:$J$5,9,FALSE),$A817&lt;=VLOOKUP(YEAR($A817),'Festive dates'!$A$2:$J$5,10,FALSE)),1,0)</f>
        <v>0</v>
      </c>
      <c r="W817" s="9">
        <f>IF($A817=VLOOKUP(YEAR($A817),'Festive dates'!$A$2:$J$5,7,FALSE),1,0)</f>
        <v>0</v>
      </c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</row>
    <row r="818" spans="1:51">
      <c r="A818" s="8">
        <v>45833</v>
      </c>
      <c r="B818" s="9">
        <v>0</v>
      </c>
      <c r="C818" s="9">
        <v>0</v>
      </c>
      <c r="D818" s="9">
        <v>0</v>
      </c>
      <c r="E818" s="9">
        <v>0</v>
      </c>
      <c r="F818" s="9">
        <v>0</v>
      </c>
      <c r="G818" s="9">
        <v>0</v>
      </c>
      <c r="H818" s="9">
        <v>0</v>
      </c>
      <c r="I818" s="9">
        <v>0</v>
      </c>
      <c r="J818" s="9">
        <v>0</v>
      </c>
      <c r="K818" s="9">
        <v>0</v>
      </c>
      <c r="L818" s="9">
        <v>0</v>
      </c>
      <c r="M818" s="9">
        <v>0</v>
      </c>
      <c r="N818" s="9">
        <v>0</v>
      </c>
      <c r="O818" s="9">
        <v>0</v>
      </c>
      <c r="P818" s="9">
        <v>0</v>
      </c>
      <c r="Q818" s="9">
        <f>MAX(-20,MIN(10,$A818-VLOOKUP(YEAR($A818),'Festive dates'!$A$2:$J$5,8,FALSE)))</f>
        <v>-20</v>
      </c>
      <c r="R818" s="9">
        <f>IF(AND($A818&gt;VLOOKUP(YEAR($A818),'Festive dates'!$A$2:$J$5,2,FALSE),$A818&lt;VLOOKUP(YEAR($A818),'Festive dates'!$A$2:$J$5,3,FALSE)),1,0)</f>
        <v>0</v>
      </c>
      <c r="S818" s="9">
        <f>IF($A818=VLOOKUP(YEAR($A818),'Festive dates'!$A$2:$J$5,2,FALSE),1,0)</f>
        <v>0</v>
      </c>
      <c r="T818" s="9">
        <f>IF($A818=VLOOKUP(YEAR($A818),'Festive dates'!$A$2:$J$5,3,FALSE),1,0)</f>
        <v>0</v>
      </c>
      <c r="U818" s="9">
        <f>IF($A818=VLOOKUP(YEAR($A818),'Festive dates'!$A$2:$J$5,4,FALSE),1,0)</f>
        <v>0</v>
      </c>
      <c r="V818" s="9">
        <f>IF(AND($A818&gt;=VLOOKUP(YEAR($A818),'Festive dates'!$A$2:$J$5,9,FALSE),$A818&lt;=VLOOKUP(YEAR($A818),'Festive dates'!$A$2:$J$5,10,FALSE)),1,0)</f>
        <v>0</v>
      </c>
      <c r="W818" s="9">
        <f>IF($A818=VLOOKUP(YEAR($A818),'Festive dates'!$A$2:$J$5,7,FALSE),1,0)</f>
        <v>0</v>
      </c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</row>
    <row r="819" spans="1:51">
      <c r="A819" s="8">
        <v>45834</v>
      </c>
      <c r="B819" s="9">
        <v>0</v>
      </c>
      <c r="C819" s="9">
        <v>0</v>
      </c>
      <c r="D819" s="9">
        <v>0</v>
      </c>
      <c r="E819" s="9">
        <v>0</v>
      </c>
      <c r="F819" s="9">
        <v>0</v>
      </c>
      <c r="G819" s="9">
        <v>0</v>
      </c>
      <c r="H819" s="9">
        <v>0</v>
      </c>
      <c r="I819" s="9">
        <v>0</v>
      </c>
      <c r="J819" s="9">
        <v>0</v>
      </c>
      <c r="K819" s="9">
        <v>0</v>
      </c>
      <c r="L819" s="9">
        <v>0</v>
      </c>
      <c r="M819" s="9">
        <v>0</v>
      </c>
      <c r="N819" s="9">
        <v>0</v>
      </c>
      <c r="O819" s="9">
        <v>0</v>
      </c>
      <c r="P819" s="9">
        <v>0</v>
      </c>
      <c r="Q819" s="9">
        <f>MAX(-20,MIN(10,$A819-VLOOKUP(YEAR($A819),'Festive dates'!$A$2:$J$5,8,FALSE)))</f>
        <v>-20</v>
      </c>
      <c r="R819" s="9">
        <f>IF(AND($A819&gt;VLOOKUP(YEAR($A819),'Festive dates'!$A$2:$J$5,2,FALSE),$A819&lt;VLOOKUP(YEAR($A819),'Festive dates'!$A$2:$J$5,3,FALSE)),1,0)</f>
        <v>0</v>
      </c>
      <c r="S819" s="9">
        <f>IF($A819=VLOOKUP(YEAR($A819),'Festive dates'!$A$2:$J$5,2,FALSE),1,0)</f>
        <v>0</v>
      </c>
      <c r="T819" s="9">
        <f>IF($A819=VLOOKUP(YEAR($A819),'Festive dates'!$A$2:$J$5,3,FALSE),1,0)</f>
        <v>0</v>
      </c>
      <c r="U819" s="9">
        <f>IF($A819=VLOOKUP(YEAR($A819),'Festive dates'!$A$2:$J$5,4,FALSE),1,0)</f>
        <v>0</v>
      </c>
      <c r="V819" s="9">
        <f>IF(AND($A819&gt;=VLOOKUP(YEAR($A819),'Festive dates'!$A$2:$J$5,9,FALSE),$A819&lt;=VLOOKUP(YEAR($A819),'Festive dates'!$A$2:$J$5,10,FALSE)),1,0)</f>
        <v>0</v>
      </c>
      <c r="W819" s="9">
        <f>IF($A819=VLOOKUP(YEAR($A819),'Festive dates'!$A$2:$J$5,7,FALSE),1,0)</f>
        <v>0</v>
      </c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</row>
    <row r="820" spans="1:51">
      <c r="A820" s="8">
        <v>45835</v>
      </c>
      <c r="B820" s="9">
        <v>0</v>
      </c>
      <c r="C820" s="9">
        <v>0</v>
      </c>
      <c r="D820" s="9">
        <v>0</v>
      </c>
      <c r="E820" s="9">
        <v>0</v>
      </c>
      <c r="F820" s="9">
        <v>0</v>
      </c>
      <c r="G820" s="9">
        <v>0</v>
      </c>
      <c r="H820" s="9">
        <v>0</v>
      </c>
      <c r="I820" s="9">
        <v>0</v>
      </c>
      <c r="J820" s="9">
        <v>0</v>
      </c>
      <c r="K820" s="9">
        <v>0</v>
      </c>
      <c r="L820" s="9">
        <v>1</v>
      </c>
      <c r="M820" s="9">
        <v>0</v>
      </c>
      <c r="N820" s="9">
        <v>0</v>
      </c>
      <c r="O820" s="9">
        <v>0</v>
      </c>
      <c r="P820" s="9">
        <v>0</v>
      </c>
      <c r="Q820" s="9">
        <f>MAX(-20,MIN(10,$A820-VLOOKUP(YEAR($A820),'Festive dates'!$A$2:$J$5,8,FALSE)))</f>
        <v>-20</v>
      </c>
      <c r="R820" s="9">
        <f>IF(AND($A820&gt;VLOOKUP(YEAR($A820),'Festive dates'!$A$2:$J$5,2,FALSE),$A820&lt;VLOOKUP(YEAR($A820),'Festive dates'!$A$2:$J$5,3,FALSE)),1,0)</f>
        <v>0</v>
      </c>
      <c r="S820" s="9">
        <f>IF($A820=VLOOKUP(YEAR($A820),'Festive dates'!$A$2:$J$5,2,FALSE),1,0)</f>
        <v>0</v>
      </c>
      <c r="T820" s="9">
        <f>IF($A820=VLOOKUP(YEAR($A820),'Festive dates'!$A$2:$J$5,3,FALSE),1,0)</f>
        <v>0</v>
      </c>
      <c r="U820" s="9">
        <f>IF($A820=VLOOKUP(YEAR($A820),'Festive dates'!$A$2:$J$5,4,FALSE),1,0)</f>
        <v>0</v>
      </c>
      <c r="V820" s="9">
        <f>IF(AND($A820&gt;=VLOOKUP(YEAR($A820),'Festive dates'!$A$2:$J$5,9,FALSE),$A820&lt;=VLOOKUP(YEAR($A820),'Festive dates'!$A$2:$J$5,10,FALSE)),1,0)</f>
        <v>0</v>
      </c>
      <c r="W820" s="9">
        <f>IF($A820=VLOOKUP(YEAR($A820),'Festive dates'!$A$2:$J$5,7,FALSE),1,0)</f>
        <v>0</v>
      </c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</row>
    <row r="821" spans="1:51">
      <c r="A821" s="8">
        <v>45836</v>
      </c>
      <c r="B821" s="9">
        <v>0</v>
      </c>
      <c r="C821" s="9">
        <v>0</v>
      </c>
      <c r="D821" s="9">
        <v>0</v>
      </c>
      <c r="E821" s="9">
        <v>0</v>
      </c>
      <c r="F821" s="9">
        <v>0</v>
      </c>
      <c r="G821" s="9">
        <v>0</v>
      </c>
      <c r="H821" s="9">
        <v>0</v>
      </c>
      <c r="I821" s="9">
        <v>0</v>
      </c>
      <c r="J821" s="9">
        <v>0</v>
      </c>
      <c r="K821" s="9">
        <v>0</v>
      </c>
      <c r="L821" s="9">
        <v>0</v>
      </c>
      <c r="M821" s="9">
        <v>0</v>
      </c>
      <c r="N821" s="9">
        <v>0</v>
      </c>
      <c r="O821" s="9">
        <v>0</v>
      </c>
      <c r="P821" s="9">
        <v>0</v>
      </c>
      <c r="Q821" s="9">
        <f>MAX(-20,MIN(10,$A821-VLOOKUP(YEAR($A821),'Festive dates'!$A$2:$J$5,8,FALSE)))</f>
        <v>-20</v>
      </c>
      <c r="R821" s="9">
        <f>IF(AND($A821&gt;VLOOKUP(YEAR($A821),'Festive dates'!$A$2:$J$5,2,FALSE),$A821&lt;VLOOKUP(YEAR($A821),'Festive dates'!$A$2:$J$5,3,FALSE)),1,0)</f>
        <v>0</v>
      </c>
      <c r="S821" s="9">
        <f>IF($A821=VLOOKUP(YEAR($A821),'Festive dates'!$A$2:$J$5,2,FALSE),1,0)</f>
        <v>0</v>
      </c>
      <c r="T821" s="9">
        <f>IF($A821=VLOOKUP(YEAR($A821),'Festive dates'!$A$2:$J$5,3,FALSE),1,0)</f>
        <v>0</v>
      </c>
      <c r="U821" s="9">
        <f>IF($A821=VLOOKUP(YEAR($A821),'Festive dates'!$A$2:$J$5,4,FALSE),1,0)</f>
        <v>0</v>
      </c>
      <c r="V821" s="9">
        <f>IF(AND($A821&gt;=VLOOKUP(YEAR($A821),'Festive dates'!$A$2:$J$5,9,FALSE),$A821&lt;=VLOOKUP(YEAR($A821),'Festive dates'!$A$2:$J$5,10,FALSE)),1,0)</f>
        <v>0</v>
      </c>
      <c r="W821" s="9">
        <f>IF($A821=VLOOKUP(YEAR($A821),'Festive dates'!$A$2:$J$5,7,FALSE),1,0)</f>
        <v>0</v>
      </c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</row>
    <row r="822" spans="1:51">
      <c r="A822" s="8">
        <v>45837</v>
      </c>
      <c r="B822" s="9">
        <v>0</v>
      </c>
      <c r="C822" s="9">
        <v>0</v>
      </c>
      <c r="D822" s="9">
        <v>0</v>
      </c>
      <c r="E822" s="9">
        <v>0</v>
      </c>
      <c r="F822" s="9">
        <v>0</v>
      </c>
      <c r="G822" s="9">
        <v>0</v>
      </c>
      <c r="H822" s="9">
        <v>0</v>
      </c>
      <c r="I822" s="9">
        <v>0</v>
      </c>
      <c r="J822" s="9">
        <v>0</v>
      </c>
      <c r="K822" s="9">
        <v>0</v>
      </c>
      <c r="L822" s="9">
        <v>0</v>
      </c>
      <c r="M822" s="9">
        <v>0</v>
      </c>
      <c r="N822" s="9">
        <v>0</v>
      </c>
      <c r="O822" s="9">
        <v>0</v>
      </c>
      <c r="P822" s="9">
        <v>0</v>
      </c>
      <c r="Q822" s="9">
        <f>MAX(-20,MIN(10,$A822-VLOOKUP(YEAR($A822),'Festive dates'!$A$2:$J$5,8,FALSE)))</f>
        <v>-20</v>
      </c>
      <c r="R822" s="9">
        <f>IF(AND($A822&gt;VLOOKUP(YEAR($A822),'Festive dates'!$A$2:$J$5,2,FALSE),$A822&lt;VLOOKUP(YEAR($A822),'Festive dates'!$A$2:$J$5,3,FALSE)),1,0)</f>
        <v>0</v>
      </c>
      <c r="S822" s="9">
        <f>IF($A822=VLOOKUP(YEAR($A822),'Festive dates'!$A$2:$J$5,2,FALSE),1,0)</f>
        <v>0</v>
      </c>
      <c r="T822" s="9">
        <f>IF($A822=VLOOKUP(YEAR($A822),'Festive dates'!$A$2:$J$5,3,FALSE),1,0)</f>
        <v>0</v>
      </c>
      <c r="U822" s="9">
        <f>IF($A822=VLOOKUP(YEAR($A822),'Festive dates'!$A$2:$J$5,4,FALSE),1,0)</f>
        <v>0</v>
      </c>
      <c r="V822" s="9">
        <f>IF(AND($A822&gt;=VLOOKUP(YEAR($A822),'Festive dates'!$A$2:$J$5,9,FALSE),$A822&lt;=VLOOKUP(YEAR($A822),'Festive dates'!$A$2:$J$5,10,FALSE)),1,0)</f>
        <v>0</v>
      </c>
      <c r="W822" s="9">
        <f>IF($A822=VLOOKUP(YEAR($A822),'Festive dates'!$A$2:$J$5,7,FALSE),1,0)</f>
        <v>0</v>
      </c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</row>
    <row r="823" spans="1:51">
      <c r="A823" s="8">
        <v>45838</v>
      </c>
      <c r="B823" s="9">
        <v>0</v>
      </c>
      <c r="C823" s="9">
        <v>0</v>
      </c>
      <c r="D823" s="9">
        <v>0</v>
      </c>
      <c r="E823" s="9">
        <v>0</v>
      </c>
      <c r="F823" s="9">
        <v>0</v>
      </c>
      <c r="G823" s="9">
        <v>0</v>
      </c>
      <c r="H823" s="9">
        <v>0</v>
      </c>
      <c r="I823" s="9">
        <v>0</v>
      </c>
      <c r="J823" s="9">
        <v>0</v>
      </c>
      <c r="K823" s="9">
        <v>0</v>
      </c>
      <c r="L823" s="9">
        <v>0</v>
      </c>
      <c r="M823" s="9">
        <v>0</v>
      </c>
      <c r="N823" s="9">
        <v>0</v>
      </c>
      <c r="O823" s="9">
        <v>0</v>
      </c>
      <c r="P823" s="9">
        <v>0</v>
      </c>
      <c r="Q823" s="9">
        <f>MAX(-20,MIN(10,$A823-VLOOKUP(YEAR($A823),'Festive dates'!$A$2:$J$5,8,FALSE)))</f>
        <v>-20</v>
      </c>
      <c r="R823" s="9">
        <f>IF(AND($A823&gt;VLOOKUP(YEAR($A823),'Festive dates'!$A$2:$J$5,2,FALSE),$A823&lt;VLOOKUP(YEAR($A823),'Festive dates'!$A$2:$J$5,3,FALSE)),1,0)</f>
        <v>0</v>
      </c>
      <c r="S823" s="9">
        <f>IF($A823=VLOOKUP(YEAR($A823),'Festive dates'!$A$2:$J$5,2,FALSE),1,0)</f>
        <v>0</v>
      </c>
      <c r="T823" s="9">
        <f>IF($A823=VLOOKUP(YEAR($A823),'Festive dates'!$A$2:$J$5,3,FALSE),1,0)</f>
        <v>0</v>
      </c>
      <c r="U823" s="9">
        <f>IF($A823=VLOOKUP(YEAR($A823),'Festive dates'!$A$2:$J$5,4,FALSE),1,0)</f>
        <v>0</v>
      </c>
      <c r="V823" s="9">
        <f>IF(AND($A823&gt;=VLOOKUP(YEAR($A823),'Festive dates'!$A$2:$J$5,9,FALSE),$A823&lt;=VLOOKUP(YEAR($A823),'Festive dates'!$A$2:$J$5,10,FALSE)),1,0)</f>
        <v>0</v>
      </c>
      <c r="W823" s="9">
        <f>IF($A823=VLOOKUP(YEAR($A823),'Festive dates'!$A$2:$J$5,7,FALSE),1,0)</f>
        <v>0</v>
      </c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</row>
    <row r="824" spans="1:51">
      <c r="A824" s="8">
        <v>45839</v>
      </c>
      <c r="B824" s="9">
        <v>0</v>
      </c>
      <c r="C824" s="9">
        <v>0</v>
      </c>
      <c r="D824" s="9">
        <v>0</v>
      </c>
      <c r="E824" s="9">
        <v>0</v>
      </c>
      <c r="F824" s="9">
        <v>0</v>
      </c>
      <c r="G824" s="9">
        <v>0</v>
      </c>
      <c r="H824" s="9">
        <v>0</v>
      </c>
      <c r="I824" s="9">
        <v>0</v>
      </c>
      <c r="J824" s="9">
        <v>0</v>
      </c>
      <c r="K824" s="9">
        <v>0</v>
      </c>
      <c r="L824" s="9">
        <v>0</v>
      </c>
      <c r="M824" s="9">
        <v>0</v>
      </c>
      <c r="N824" s="9">
        <v>0</v>
      </c>
      <c r="O824" s="9">
        <v>0</v>
      </c>
      <c r="P824" s="9">
        <v>0</v>
      </c>
      <c r="Q824" s="9">
        <f>MAX(-20,MIN(10,$A824-VLOOKUP(YEAR($A824),'Festive dates'!$A$2:$J$5,8,FALSE)))</f>
        <v>-20</v>
      </c>
      <c r="R824" s="9">
        <f>IF(AND($A824&gt;VLOOKUP(YEAR($A824),'Festive dates'!$A$2:$J$5,2,FALSE),$A824&lt;VLOOKUP(YEAR($A824),'Festive dates'!$A$2:$J$5,3,FALSE)),1,0)</f>
        <v>0</v>
      </c>
      <c r="S824" s="9">
        <f>IF($A824=VLOOKUP(YEAR($A824),'Festive dates'!$A$2:$J$5,2,FALSE),1,0)</f>
        <v>0</v>
      </c>
      <c r="T824" s="9">
        <f>IF($A824=VLOOKUP(YEAR($A824),'Festive dates'!$A$2:$J$5,3,FALSE),1,0)</f>
        <v>0</v>
      </c>
      <c r="U824" s="9">
        <f>IF($A824=VLOOKUP(YEAR($A824),'Festive dates'!$A$2:$J$5,4,FALSE),1,0)</f>
        <v>0</v>
      </c>
      <c r="V824" s="9">
        <f>IF(AND($A824&gt;=VLOOKUP(YEAR($A824),'Festive dates'!$A$2:$J$5,9,FALSE),$A824&lt;=VLOOKUP(YEAR($A824),'Festive dates'!$A$2:$J$5,10,FALSE)),1,0)</f>
        <v>0</v>
      </c>
      <c r="W824" s="9">
        <f>IF($A824=VLOOKUP(YEAR($A824),'Festive dates'!$A$2:$J$5,7,FALSE),1,0)</f>
        <v>0</v>
      </c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</row>
    <row r="825" spans="1:51">
      <c r="A825" s="8">
        <v>45840</v>
      </c>
      <c r="B825" s="9">
        <v>0</v>
      </c>
      <c r="C825" s="9">
        <v>0</v>
      </c>
      <c r="D825" s="9">
        <v>0</v>
      </c>
      <c r="E825" s="9">
        <v>0</v>
      </c>
      <c r="F825" s="9">
        <v>0</v>
      </c>
      <c r="G825" s="9">
        <v>0</v>
      </c>
      <c r="H825" s="9">
        <v>0</v>
      </c>
      <c r="I825" s="9">
        <v>0</v>
      </c>
      <c r="J825" s="9">
        <v>0</v>
      </c>
      <c r="K825" s="9">
        <v>0</v>
      </c>
      <c r="L825" s="9">
        <v>0</v>
      </c>
      <c r="M825" s="9">
        <v>0</v>
      </c>
      <c r="N825" s="9">
        <v>0</v>
      </c>
      <c r="O825" s="9">
        <v>0</v>
      </c>
      <c r="P825" s="9">
        <v>0</v>
      </c>
      <c r="Q825" s="9">
        <f>MAX(-20,MIN(10,$A825-VLOOKUP(YEAR($A825),'Festive dates'!$A$2:$J$5,8,FALSE)))</f>
        <v>-20</v>
      </c>
      <c r="R825" s="9">
        <f>IF(AND($A825&gt;VLOOKUP(YEAR($A825),'Festive dates'!$A$2:$J$5,2,FALSE),$A825&lt;VLOOKUP(YEAR($A825),'Festive dates'!$A$2:$J$5,3,FALSE)),1,0)</f>
        <v>0</v>
      </c>
      <c r="S825" s="9">
        <f>IF($A825=VLOOKUP(YEAR($A825),'Festive dates'!$A$2:$J$5,2,FALSE),1,0)</f>
        <v>0</v>
      </c>
      <c r="T825" s="9">
        <f>IF($A825=VLOOKUP(YEAR($A825),'Festive dates'!$A$2:$J$5,3,FALSE),1,0)</f>
        <v>0</v>
      </c>
      <c r="U825" s="9">
        <f>IF($A825=VLOOKUP(YEAR($A825),'Festive dates'!$A$2:$J$5,4,FALSE),1,0)</f>
        <v>0</v>
      </c>
      <c r="V825" s="9">
        <f>IF(AND($A825&gt;=VLOOKUP(YEAR($A825),'Festive dates'!$A$2:$J$5,9,FALSE),$A825&lt;=VLOOKUP(YEAR($A825),'Festive dates'!$A$2:$J$5,10,FALSE)),1,0)</f>
        <v>0</v>
      </c>
      <c r="W825" s="9">
        <f>IF($A825=VLOOKUP(YEAR($A825),'Festive dates'!$A$2:$J$5,7,FALSE),1,0)</f>
        <v>0</v>
      </c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</row>
    <row r="826" spans="1:51">
      <c r="A826" s="8">
        <v>45841</v>
      </c>
      <c r="B826" s="9">
        <v>0</v>
      </c>
      <c r="C826" s="9">
        <v>0</v>
      </c>
      <c r="D826" s="9">
        <v>0</v>
      </c>
      <c r="E826" s="9">
        <v>0</v>
      </c>
      <c r="F826" s="9">
        <v>0</v>
      </c>
      <c r="G826" s="9">
        <v>0</v>
      </c>
      <c r="H826" s="9">
        <v>0</v>
      </c>
      <c r="I826" s="9">
        <v>0</v>
      </c>
      <c r="J826" s="9">
        <v>0</v>
      </c>
      <c r="K826" s="9">
        <v>0</v>
      </c>
      <c r="L826" s="9">
        <v>0</v>
      </c>
      <c r="M826" s="9">
        <v>0</v>
      </c>
      <c r="N826" s="9">
        <v>0</v>
      </c>
      <c r="O826" s="9">
        <v>0</v>
      </c>
      <c r="P826" s="9">
        <v>0</v>
      </c>
      <c r="Q826" s="9">
        <f>MAX(-20,MIN(10,$A826-VLOOKUP(YEAR($A826),'Festive dates'!$A$2:$J$5,8,FALSE)))</f>
        <v>-20</v>
      </c>
      <c r="R826" s="9">
        <f>IF(AND($A826&gt;VLOOKUP(YEAR($A826),'Festive dates'!$A$2:$J$5,2,FALSE),$A826&lt;VLOOKUP(YEAR($A826),'Festive dates'!$A$2:$J$5,3,FALSE)),1,0)</f>
        <v>0</v>
      </c>
      <c r="S826" s="9">
        <f>IF($A826=VLOOKUP(YEAR($A826),'Festive dates'!$A$2:$J$5,2,FALSE),1,0)</f>
        <v>0</v>
      </c>
      <c r="T826" s="9">
        <f>IF($A826=VLOOKUP(YEAR($A826),'Festive dates'!$A$2:$J$5,3,FALSE),1,0)</f>
        <v>0</v>
      </c>
      <c r="U826" s="9">
        <f>IF($A826=VLOOKUP(YEAR($A826),'Festive dates'!$A$2:$J$5,4,FALSE),1,0)</f>
        <v>0</v>
      </c>
      <c r="V826" s="9">
        <f>IF(AND($A826&gt;=VLOOKUP(YEAR($A826),'Festive dates'!$A$2:$J$5,9,FALSE),$A826&lt;=VLOOKUP(YEAR($A826),'Festive dates'!$A$2:$J$5,10,FALSE)),1,0)</f>
        <v>0</v>
      </c>
      <c r="W826" s="9">
        <f>IF($A826=VLOOKUP(YEAR($A826),'Festive dates'!$A$2:$J$5,7,FALSE),1,0)</f>
        <v>0</v>
      </c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</row>
    <row r="827" spans="1:51">
      <c r="A827" s="8">
        <v>45842</v>
      </c>
      <c r="B827" s="9">
        <v>0</v>
      </c>
      <c r="C827" s="9">
        <v>0</v>
      </c>
      <c r="D827" s="9">
        <v>0</v>
      </c>
      <c r="E827" s="9">
        <v>0</v>
      </c>
      <c r="F827" s="9">
        <v>0</v>
      </c>
      <c r="G827" s="9">
        <v>0</v>
      </c>
      <c r="H827" s="9">
        <v>0</v>
      </c>
      <c r="I827" s="9">
        <v>0</v>
      </c>
      <c r="J827" s="9">
        <v>0</v>
      </c>
      <c r="K827" s="9">
        <v>0</v>
      </c>
      <c r="L827" s="9">
        <v>0</v>
      </c>
      <c r="M827" s="9">
        <v>0</v>
      </c>
      <c r="N827" s="9">
        <v>0</v>
      </c>
      <c r="O827" s="9">
        <v>0</v>
      </c>
      <c r="P827" s="9">
        <v>0</v>
      </c>
      <c r="Q827" s="9">
        <f>MAX(-20,MIN(10,$A827-VLOOKUP(YEAR($A827),'Festive dates'!$A$2:$J$5,8,FALSE)))</f>
        <v>-20</v>
      </c>
      <c r="R827" s="9">
        <f>IF(AND($A827&gt;VLOOKUP(YEAR($A827),'Festive dates'!$A$2:$J$5,2,FALSE),$A827&lt;VLOOKUP(YEAR($A827),'Festive dates'!$A$2:$J$5,3,FALSE)),1,0)</f>
        <v>0</v>
      </c>
      <c r="S827" s="9">
        <f>IF($A827=VLOOKUP(YEAR($A827),'Festive dates'!$A$2:$J$5,2,FALSE),1,0)</f>
        <v>0</v>
      </c>
      <c r="T827" s="9">
        <f>IF($A827=VLOOKUP(YEAR($A827),'Festive dates'!$A$2:$J$5,3,FALSE),1,0)</f>
        <v>0</v>
      </c>
      <c r="U827" s="9">
        <f>IF($A827=VLOOKUP(YEAR($A827),'Festive dates'!$A$2:$J$5,4,FALSE),1,0)</f>
        <v>0</v>
      </c>
      <c r="V827" s="9">
        <f>IF(AND($A827&gt;=VLOOKUP(YEAR($A827),'Festive dates'!$A$2:$J$5,9,FALSE),$A827&lt;=VLOOKUP(YEAR($A827),'Festive dates'!$A$2:$J$5,10,FALSE)),1,0)</f>
        <v>0</v>
      </c>
      <c r="W827" s="9">
        <f>IF($A827=VLOOKUP(YEAR($A827),'Festive dates'!$A$2:$J$5,7,FALSE),1,0)</f>
        <v>0</v>
      </c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</row>
    <row r="828" spans="1:51">
      <c r="A828" s="8">
        <v>45843</v>
      </c>
      <c r="B828" s="9">
        <v>0</v>
      </c>
      <c r="C828" s="9">
        <v>0</v>
      </c>
      <c r="D828" s="9">
        <v>0</v>
      </c>
      <c r="E828" s="9">
        <v>0</v>
      </c>
      <c r="F828" s="9">
        <v>0</v>
      </c>
      <c r="G828" s="9">
        <v>0</v>
      </c>
      <c r="H828" s="9">
        <v>0</v>
      </c>
      <c r="I828" s="9">
        <v>0</v>
      </c>
      <c r="J828" s="9">
        <v>0</v>
      </c>
      <c r="K828" s="9">
        <v>0</v>
      </c>
      <c r="L828" s="9">
        <v>0</v>
      </c>
      <c r="M828" s="9">
        <v>0</v>
      </c>
      <c r="N828" s="9">
        <v>0</v>
      </c>
      <c r="O828" s="9">
        <v>0</v>
      </c>
      <c r="P828" s="9">
        <v>0</v>
      </c>
      <c r="Q828" s="9">
        <f>MAX(-20,MIN(10,$A828-VLOOKUP(YEAR($A828),'Festive dates'!$A$2:$J$5,8,FALSE)))</f>
        <v>-20</v>
      </c>
      <c r="R828" s="9">
        <f>IF(AND($A828&gt;VLOOKUP(YEAR($A828),'Festive dates'!$A$2:$J$5,2,FALSE),$A828&lt;VLOOKUP(YEAR($A828),'Festive dates'!$A$2:$J$5,3,FALSE)),1,0)</f>
        <v>0</v>
      </c>
      <c r="S828" s="9">
        <f>IF($A828=VLOOKUP(YEAR($A828),'Festive dates'!$A$2:$J$5,2,FALSE),1,0)</f>
        <v>0</v>
      </c>
      <c r="T828" s="9">
        <f>IF($A828=VLOOKUP(YEAR($A828),'Festive dates'!$A$2:$J$5,3,FALSE),1,0)</f>
        <v>0</v>
      </c>
      <c r="U828" s="9">
        <f>IF($A828=VLOOKUP(YEAR($A828),'Festive dates'!$A$2:$J$5,4,FALSE),1,0)</f>
        <v>0</v>
      </c>
      <c r="V828" s="9">
        <f>IF(AND($A828&gt;=VLOOKUP(YEAR($A828),'Festive dates'!$A$2:$J$5,9,FALSE),$A828&lt;=VLOOKUP(YEAR($A828),'Festive dates'!$A$2:$J$5,10,FALSE)),1,0)</f>
        <v>0</v>
      </c>
      <c r="W828" s="9">
        <f>IF($A828=VLOOKUP(YEAR($A828),'Festive dates'!$A$2:$J$5,7,FALSE),1,0)</f>
        <v>0</v>
      </c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</row>
    <row r="829" spans="1:51">
      <c r="A829" s="8">
        <v>45844</v>
      </c>
      <c r="B829" s="9">
        <v>0</v>
      </c>
      <c r="C829" s="9">
        <v>0</v>
      </c>
      <c r="D829" s="9">
        <v>0</v>
      </c>
      <c r="E829" s="9">
        <v>0</v>
      </c>
      <c r="F829" s="9">
        <v>0</v>
      </c>
      <c r="G829" s="9">
        <v>0</v>
      </c>
      <c r="H829" s="9">
        <v>0</v>
      </c>
      <c r="I829" s="9">
        <v>0</v>
      </c>
      <c r="J829" s="9">
        <v>0</v>
      </c>
      <c r="K829" s="9">
        <v>0</v>
      </c>
      <c r="L829" s="9">
        <v>0</v>
      </c>
      <c r="M829" s="9">
        <v>0</v>
      </c>
      <c r="N829" s="9">
        <v>0</v>
      </c>
      <c r="O829" s="9">
        <v>0</v>
      </c>
      <c r="P829" s="9">
        <v>0</v>
      </c>
      <c r="Q829" s="9">
        <f>MAX(-20,MIN(10,$A829-VLOOKUP(YEAR($A829),'Festive dates'!$A$2:$J$5,8,FALSE)))</f>
        <v>-20</v>
      </c>
      <c r="R829" s="9">
        <f>IF(AND($A829&gt;VLOOKUP(YEAR($A829),'Festive dates'!$A$2:$J$5,2,FALSE),$A829&lt;VLOOKUP(YEAR($A829),'Festive dates'!$A$2:$J$5,3,FALSE)),1,0)</f>
        <v>0</v>
      </c>
      <c r="S829" s="9">
        <f>IF($A829=VLOOKUP(YEAR($A829),'Festive dates'!$A$2:$J$5,2,FALSE),1,0)</f>
        <v>0</v>
      </c>
      <c r="T829" s="9">
        <f>IF($A829=VLOOKUP(YEAR($A829),'Festive dates'!$A$2:$J$5,3,FALSE),1,0)</f>
        <v>0</v>
      </c>
      <c r="U829" s="9">
        <f>IF($A829=VLOOKUP(YEAR($A829),'Festive dates'!$A$2:$J$5,4,FALSE),1,0)</f>
        <v>0</v>
      </c>
      <c r="V829" s="9">
        <f>IF(AND($A829&gt;=VLOOKUP(YEAR($A829),'Festive dates'!$A$2:$J$5,9,FALSE),$A829&lt;=VLOOKUP(YEAR($A829),'Festive dates'!$A$2:$J$5,10,FALSE)),1,0)</f>
        <v>0</v>
      </c>
      <c r="W829" s="9">
        <f>IF($A829=VLOOKUP(YEAR($A829),'Festive dates'!$A$2:$J$5,7,FALSE),1,0)</f>
        <v>0</v>
      </c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</row>
    <row r="830" spans="1:51">
      <c r="A830" s="8">
        <v>45845</v>
      </c>
      <c r="B830" s="9">
        <v>0</v>
      </c>
      <c r="C830" s="9">
        <v>0</v>
      </c>
      <c r="D830" s="9">
        <v>0</v>
      </c>
      <c r="E830" s="9">
        <v>0</v>
      </c>
      <c r="F830" s="9">
        <v>0</v>
      </c>
      <c r="G830" s="9">
        <v>0</v>
      </c>
      <c r="H830" s="9">
        <v>0</v>
      </c>
      <c r="I830" s="9">
        <v>0</v>
      </c>
      <c r="J830" s="9">
        <v>0</v>
      </c>
      <c r="K830" s="9">
        <v>0</v>
      </c>
      <c r="L830" s="9">
        <v>0</v>
      </c>
      <c r="M830" s="9">
        <v>0</v>
      </c>
      <c r="N830" s="9">
        <v>0</v>
      </c>
      <c r="O830" s="9">
        <v>0</v>
      </c>
      <c r="P830" s="9">
        <v>0</v>
      </c>
      <c r="Q830" s="9">
        <f>MAX(-20,MIN(10,$A830-VLOOKUP(YEAR($A830),'Festive dates'!$A$2:$J$5,8,FALSE)))</f>
        <v>-20</v>
      </c>
      <c r="R830" s="9">
        <f>IF(AND($A830&gt;VLOOKUP(YEAR($A830),'Festive dates'!$A$2:$J$5,2,FALSE),$A830&lt;VLOOKUP(YEAR($A830),'Festive dates'!$A$2:$J$5,3,FALSE)),1,0)</f>
        <v>0</v>
      </c>
      <c r="S830" s="9">
        <f>IF($A830=VLOOKUP(YEAR($A830),'Festive dates'!$A$2:$J$5,2,FALSE),1,0)</f>
        <v>0</v>
      </c>
      <c r="T830" s="9">
        <f>IF($A830=VLOOKUP(YEAR($A830),'Festive dates'!$A$2:$J$5,3,FALSE),1,0)</f>
        <v>0</v>
      </c>
      <c r="U830" s="9">
        <f>IF($A830=VLOOKUP(YEAR($A830),'Festive dates'!$A$2:$J$5,4,FALSE),1,0)</f>
        <v>0</v>
      </c>
      <c r="V830" s="9">
        <f>IF(AND($A830&gt;=VLOOKUP(YEAR($A830),'Festive dates'!$A$2:$J$5,9,FALSE),$A830&lt;=VLOOKUP(YEAR($A830),'Festive dates'!$A$2:$J$5,10,FALSE)),1,0)</f>
        <v>0</v>
      </c>
      <c r="W830" s="9">
        <f>IF($A830=VLOOKUP(YEAR($A830),'Festive dates'!$A$2:$J$5,7,FALSE),1,0)</f>
        <v>0</v>
      </c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</row>
    <row r="831" spans="1:51">
      <c r="A831" s="8">
        <v>45846</v>
      </c>
      <c r="B831" s="9">
        <v>0</v>
      </c>
      <c r="C831" s="9">
        <v>0</v>
      </c>
      <c r="D831" s="9">
        <v>0</v>
      </c>
      <c r="E831" s="9">
        <v>0</v>
      </c>
      <c r="F831" s="9">
        <v>0</v>
      </c>
      <c r="G831" s="9">
        <v>0</v>
      </c>
      <c r="H831" s="9">
        <v>0</v>
      </c>
      <c r="I831" s="9">
        <v>0</v>
      </c>
      <c r="J831" s="9">
        <v>0</v>
      </c>
      <c r="K831" s="9">
        <v>0</v>
      </c>
      <c r="L831" s="9">
        <v>0</v>
      </c>
      <c r="M831" s="9">
        <v>0</v>
      </c>
      <c r="N831" s="9">
        <v>0</v>
      </c>
      <c r="O831" s="9">
        <v>0</v>
      </c>
      <c r="P831" s="9">
        <v>0</v>
      </c>
      <c r="Q831" s="9">
        <f>MAX(-20,MIN(10,$A831-VLOOKUP(YEAR($A831),'Festive dates'!$A$2:$J$5,8,FALSE)))</f>
        <v>-20</v>
      </c>
      <c r="R831" s="9">
        <f>IF(AND($A831&gt;VLOOKUP(YEAR($A831),'Festive dates'!$A$2:$J$5,2,FALSE),$A831&lt;VLOOKUP(YEAR($A831),'Festive dates'!$A$2:$J$5,3,FALSE)),1,0)</f>
        <v>0</v>
      </c>
      <c r="S831" s="9">
        <f>IF($A831=VLOOKUP(YEAR($A831),'Festive dates'!$A$2:$J$5,2,FALSE),1,0)</f>
        <v>0</v>
      </c>
      <c r="T831" s="9">
        <f>IF($A831=VLOOKUP(YEAR($A831),'Festive dates'!$A$2:$J$5,3,FALSE),1,0)</f>
        <v>0</v>
      </c>
      <c r="U831" s="9">
        <f>IF($A831=VLOOKUP(YEAR($A831),'Festive dates'!$A$2:$J$5,4,FALSE),1,0)</f>
        <v>0</v>
      </c>
      <c r="V831" s="9">
        <f>IF(AND($A831&gt;=VLOOKUP(YEAR($A831),'Festive dates'!$A$2:$J$5,9,FALSE),$A831&lt;=VLOOKUP(YEAR($A831),'Festive dates'!$A$2:$J$5,10,FALSE)),1,0)</f>
        <v>0</v>
      </c>
      <c r="W831" s="9">
        <f>IF($A831=VLOOKUP(YEAR($A831),'Festive dates'!$A$2:$J$5,7,FALSE),1,0)</f>
        <v>0</v>
      </c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</row>
    <row r="832" spans="1:51">
      <c r="A832" s="8">
        <v>45847</v>
      </c>
      <c r="B832" s="9">
        <v>0</v>
      </c>
      <c r="C832" s="9">
        <v>0</v>
      </c>
      <c r="D832" s="9">
        <v>0</v>
      </c>
      <c r="E832" s="9">
        <v>0</v>
      </c>
      <c r="F832" s="9">
        <v>0</v>
      </c>
      <c r="G832" s="9">
        <v>0</v>
      </c>
      <c r="H832" s="9">
        <v>0</v>
      </c>
      <c r="I832" s="9">
        <v>0</v>
      </c>
      <c r="J832" s="9">
        <v>0</v>
      </c>
      <c r="K832" s="9">
        <v>0</v>
      </c>
      <c r="L832" s="9">
        <v>0</v>
      </c>
      <c r="M832" s="9">
        <v>0</v>
      </c>
      <c r="N832" s="9">
        <v>0</v>
      </c>
      <c r="O832" s="9">
        <v>0</v>
      </c>
      <c r="P832" s="9">
        <v>0</v>
      </c>
      <c r="Q832" s="9">
        <f>MAX(-20,MIN(10,$A832-VLOOKUP(YEAR($A832),'Festive dates'!$A$2:$J$5,8,FALSE)))</f>
        <v>-20</v>
      </c>
      <c r="R832" s="9">
        <f>IF(AND($A832&gt;VLOOKUP(YEAR($A832),'Festive dates'!$A$2:$J$5,2,FALSE),$A832&lt;VLOOKUP(YEAR($A832),'Festive dates'!$A$2:$J$5,3,FALSE)),1,0)</f>
        <v>0</v>
      </c>
      <c r="S832" s="9">
        <f>IF($A832=VLOOKUP(YEAR($A832),'Festive dates'!$A$2:$J$5,2,FALSE),1,0)</f>
        <v>0</v>
      </c>
      <c r="T832" s="9">
        <f>IF($A832=VLOOKUP(YEAR($A832),'Festive dates'!$A$2:$J$5,3,FALSE),1,0)</f>
        <v>0</v>
      </c>
      <c r="U832" s="9">
        <f>IF($A832=VLOOKUP(YEAR($A832),'Festive dates'!$A$2:$J$5,4,FALSE),1,0)</f>
        <v>0</v>
      </c>
      <c r="V832" s="9">
        <f>IF(AND($A832&gt;=VLOOKUP(YEAR($A832),'Festive dates'!$A$2:$J$5,9,FALSE),$A832&lt;=VLOOKUP(YEAR($A832),'Festive dates'!$A$2:$J$5,10,FALSE)),1,0)</f>
        <v>0</v>
      </c>
      <c r="W832" s="9">
        <f>IF($A832=VLOOKUP(YEAR($A832),'Festive dates'!$A$2:$J$5,7,FALSE),1,0)</f>
        <v>0</v>
      </c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</row>
    <row r="833" spans="1:51">
      <c r="A833" s="8">
        <v>45848</v>
      </c>
      <c r="B833" s="9">
        <v>0</v>
      </c>
      <c r="C833" s="9">
        <v>0</v>
      </c>
      <c r="D833" s="9">
        <v>0</v>
      </c>
      <c r="E833" s="9">
        <v>0</v>
      </c>
      <c r="F833" s="9">
        <v>0</v>
      </c>
      <c r="G833" s="9">
        <v>0</v>
      </c>
      <c r="H833" s="9">
        <v>0</v>
      </c>
      <c r="I833" s="9">
        <v>0</v>
      </c>
      <c r="J833" s="9">
        <v>0</v>
      </c>
      <c r="K833" s="9">
        <v>0</v>
      </c>
      <c r="L833" s="9">
        <v>0</v>
      </c>
      <c r="M833" s="9">
        <v>1</v>
      </c>
      <c r="N833" s="9">
        <v>0</v>
      </c>
      <c r="O833" s="9">
        <v>0</v>
      </c>
      <c r="P833" s="9">
        <v>0</v>
      </c>
      <c r="Q833" s="9">
        <f>MAX(-20,MIN(10,$A833-VLOOKUP(YEAR($A833),'Festive dates'!$A$2:$J$5,8,FALSE)))</f>
        <v>-20</v>
      </c>
      <c r="R833" s="9">
        <f>IF(AND($A833&gt;VLOOKUP(YEAR($A833),'Festive dates'!$A$2:$J$5,2,FALSE),$A833&lt;VLOOKUP(YEAR($A833),'Festive dates'!$A$2:$J$5,3,FALSE)),1,0)</f>
        <v>0</v>
      </c>
      <c r="S833" s="9">
        <f>IF($A833=VLOOKUP(YEAR($A833),'Festive dates'!$A$2:$J$5,2,FALSE),1,0)</f>
        <v>0</v>
      </c>
      <c r="T833" s="9">
        <f>IF($A833=VLOOKUP(YEAR($A833),'Festive dates'!$A$2:$J$5,3,FALSE),1,0)</f>
        <v>0</v>
      </c>
      <c r="U833" s="9">
        <f>IF($A833=VLOOKUP(YEAR($A833),'Festive dates'!$A$2:$J$5,4,FALSE),1,0)</f>
        <v>0</v>
      </c>
      <c r="V833" s="9">
        <f>IF(AND($A833&gt;=VLOOKUP(YEAR($A833),'Festive dates'!$A$2:$J$5,9,FALSE),$A833&lt;=VLOOKUP(YEAR($A833),'Festive dates'!$A$2:$J$5,10,FALSE)),1,0)</f>
        <v>0</v>
      </c>
      <c r="W833" s="9">
        <f>IF($A833=VLOOKUP(YEAR($A833),'Festive dates'!$A$2:$J$5,7,FALSE),1,0)</f>
        <v>0</v>
      </c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</row>
    <row r="834" spans="1:51">
      <c r="A834" s="8">
        <v>45849</v>
      </c>
      <c r="B834" s="9">
        <v>0</v>
      </c>
      <c r="C834" s="9">
        <v>0</v>
      </c>
      <c r="D834" s="9">
        <v>0</v>
      </c>
      <c r="E834" s="9">
        <v>0</v>
      </c>
      <c r="F834" s="9">
        <v>0</v>
      </c>
      <c r="G834" s="9">
        <v>0</v>
      </c>
      <c r="H834" s="9">
        <v>0</v>
      </c>
      <c r="I834" s="9">
        <v>0</v>
      </c>
      <c r="J834" s="9">
        <v>0</v>
      </c>
      <c r="K834" s="9">
        <v>0</v>
      </c>
      <c r="L834" s="9">
        <v>0</v>
      </c>
      <c r="M834" s="9">
        <v>0</v>
      </c>
      <c r="N834" s="9">
        <v>0</v>
      </c>
      <c r="O834" s="9">
        <v>0</v>
      </c>
      <c r="P834" s="9">
        <v>0</v>
      </c>
      <c r="Q834" s="9">
        <f>MAX(-20,MIN(10,$A834-VLOOKUP(YEAR($A834),'Festive dates'!$A$2:$J$5,8,FALSE)))</f>
        <v>-20</v>
      </c>
      <c r="R834" s="9">
        <f>IF(AND($A834&gt;VLOOKUP(YEAR($A834),'Festive dates'!$A$2:$J$5,2,FALSE),$A834&lt;VLOOKUP(YEAR($A834),'Festive dates'!$A$2:$J$5,3,FALSE)),1,0)</f>
        <v>0</v>
      </c>
      <c r="S834" s="9">
        <f>IF($A834=VLOOKUP(YEAR($A834),'Festive dates'!$A$2:$J$5,2,FALSE),1,0)</f>
        <v>0</v>
      </c>
      <c r="T834" s="9">
        <f>IF($A834=VLOOKUP(YEAR($A834),'Festive dates'!$A$2:$J$5,3,FALSE),1,0)</f>
        <v>0</v>
      </c>
      <c r="U834" s="9">
        <f>IF($A834=VLOOKUP(YEAR($A834),'Festive dates'!$A$2:$J$5,4,FALSE),1,0)</f>
        <v>0</v>
      </c>
      <c r="V834" s="9">
        <f>IF(AND($A834&gt;=VLOOKUP(YEAR($A834),'Festive dates'!$A$2:$J$5,9,FALSE),$A834&lt;=VLOOKUP(YEAR($A834),'Festive dates'!$A$2:$J$5,10,FALSE)),1,0)</f>
        <v>0</v>
      </c>
      <c r="W834" s="9">
        <f>IF($A834=VLOOKUP(YEAR($A834),'Festive dates'!$A$2:$J$5,7,FALSE),1,0)</f>
        <v>0</v>
      </c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</row>
    <row r="835" spans="1:51">
      <c r="A835" s="8">
        <v>45850</v>
      </c>
      <c r="B835" s="9">
        <v>0</v>
      </c>
      <c r="C835" s="9">
        <v>0</v>
      </c>
      <c r="D835" s="9">
        <v>0</v>
      </c>
      <c r="E835" s="9">
        <v>0</v>
      </c>
      <c r="F835" s="9">
        <v>0</v>
      </c>
      <c r="G835" s="9">
        <v>0</v>
      </c>
      <c r="H835" s="9">
        <v>0</v>
      </c>
      <c r="I835" s="9">
        <v>0</v>
      </c>
      <c r="J835" s="9">
        <v>0</v>
      </c>
      <c r="K835" s="9">
        <v>0</v>
      </c>
      <c r="L835" s="9">
        <v>0</v>
      </c>
      <c r="M835" s="9">
        <v>0</v>
      </c>
      <c r="N835" s="9">
        <v>0</v>
      </c>
      <c r="O835" s="9">
        <v>0</v>
      </c>
      <c r="P835" s="9">
        <v>0</v>
      </c>
      <c r="Q835" s="9">
        <f>MAX(-20,MIN(10,$A835-VLOOKUP(YEAR($A835),'Festive dates'!$A$2:$J$5,8,FALSE)))</f>
        <v>-20</v>
      </c>
      <c r="R835" s="9">
        <f>IF(AND($A835&gt;VLOOKUP(YEAR($A835),'Festive dates'!$A$2:$J$5,2,FALSE),$A835&lt;VLOOKUP(YEAR($A835),'Festive dates'!$A$2:$J$5,3,FALSE)),1,0)</f>
        <v>0</v>
      </c>
      <c r="S835" s="9">
        <f>IF($A835=VLOOKUP(YEAR($A835),'Festive dates'!$A$2:$J$5,2,FALSE),1,0)</f>
        <v>0</v>
      </c>
      <c r="T835" s="9">
        <f>IF($A835=VLOOKUP(YEAR($A835),'Festive dates'!$A$2:$J$5,3,FALSE),1,0)</f>
        <v>0</v>
      </c>
      <c r="U835" s="9">
        <f>IF($A835=VLOOKUP(YEAR($A835),'Festive dates'!$A$2:$J$5,4,FALSE),1,0)</f>
        <v>0</v>
      </c>
      <c r="V835" s="9">
        <f>IF(AND($A835&gt;=VLOOKUP(YEAR($A835),'Festive dates'!$A$2:$J$5,9,FALSE),$A835&lt;=VLOOKUP(YEAR($A835),'Festive dates'!$A$2:$J$5,10,FALSE)),1,0)</f>
        <v>0</v>
      </c>
      <c r="W835" s="9">
        <f>IF($A835=VLOOKUP(YEAR($A835),'Festive dates'!$A$2:$J$5,7,FALSE),1,0)</f>
        <v>0</v>
      </c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</row>
    <row r="836" spans="1:51">
      <c r="A836" s="8">
        <v>45851</v>
      </c>
      <c r="B836" s="9">
        <v>0</v>
      </c>
      <c r="C836" s="9">
        <v>0</v>
      </c>
      <c r="D836" s="9">
        <v>0</v>
      </c>
      <c r="E836" s="9">
        <v>0</v>
      </c>
      <c r="F836" s="9">
        <v>0</v>
      </c>
      <c r="G836" s="9">
        <v>0</v>
      </c>
      <c r="H836" s="9">
        <v>0</v>
      </c>
      <c r="I836" s="9">
        <v>0</v>
      </c>
      <c r="J836" s="9">
        <v>0</v>
      </c>
      <c r="K836" s="9">
        <v>0</v>
      </c>
      <c r="L836" s="9">
        <v>0</v>
      </c>
      <c r="M836" s="9">
        <v>0</v>
      </c>
      <c r="N836" s="9">
        <v>0</v>
      </c>
      <c r="O836" s="9">
        <v>0</v>
      </c>
      <c r="P836" s="9">
        <v>0</v>
      </c>
      <c r="Q836" s="9">
        <f>MAX(-20,MIN(10,$A836-VLOOKUP(YEAR($A836),'Festive dates'!$A$2:$J$5,8,FALSE)))</f>
        <v>-20</v>
      </c>
      <c r="R836" s="9">
        <f>IF(AND($A836&gt;VLOOKUP(YEAR($A836),'Festive dates'!$A$2:$J$5,2,FALSE),$A836&lt;VLOOKUP(YEAR($A836),'Festive dates'!$A$2:$J$5,3,FALSE)),1,0)</f>
        <v>0</v>
      </c>
      <c r="S836" s="9">
        <f>IF($A836=VLOOKUP(YEAR($A836),'Festive dates'!$A$2:$J$5,2,FALSE),1,0)</f>
        <v>0</v>
      </c>
      <c r="T836" s="9">
        <f>IF($A836=VLOOKUP(YEAR($A836),'Festive dates'!$A$2:$J$5,3,FALSE),1,0)</f>
        <v>0</v>
      </c>
      <c r="U836" s="9">
        <f>IF($A836=VLOOKUP(YEAR($A836),'Festive dates'!$A$2:$J$5,4,FALSE),1,0)</f>
        <v>0</v>
      </c>
      <c r="V836" s="9">
        <f>IF(AND($A836&gt;=VLOOKUP(YEAR($A836),'Festive dates'!$A$2:$J$5,9,FALSE),$A836&lt;=VLOOKUP(YEAR($A836),'Festive dates'!$A$2:$J$5,10,FALSE)),1,0)</f>
        <v>0</v>
      </c>
      <c r="W836" s="9">
        <f>IF($A836=VLOOKUP(YEAR($A836),'Festive dates'!$A$2:$J$5,7,FALSE),1,0)</f>
        <v>0</v>
      </c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</row>
    <row r="837" spans="1:51">
      <c r="A837" s="8">
        <v>45852</v>
      </c>
      <c r="B837" s="9">
        <v>0</v>
      </c>
      <c r="C837" s="9">
        <v>0</v>
      </c>
      <c r="D837" s="9">
        <v>0</v>
      </c>
      <c r="E837" s="9">
        <v>0</v>
      </c>
      <c r="F837" s="9">
        <v>0</v>
      </c>
      <c r="G837" s="9">
        <v>0</v>
      </c>
      <c r="H837" s="9">
        <v>0</v>
      </c>
      <c r="I837" s="9">
        <v>0</v>
      </c>
      <c r="J837" s="9">
        <v>0</v>
      </c>
      <c r="K837" s="9">
        <v>0</v>
      </c>
      <c r="L837" s="9">
        <v>0</v>
      </c>
      <c r="M837" s="9">
        <v>0</v>
      </c>
      <c r="N837" s="9">
        <v>0</v>
      </c>
      <c r="O837" s="9">
        <v>0</v>
      </c>
      <c r="P837" s="9">
        <v>0</v>
      </c>
      <c r="Q837" s="9">
        <f>MAX(-20,MIN(10,$A837-VLOOKUP(YEAR($A837),'Festive dates'!$A$2:$J$5,8,FALSE)))</f>
        <v>-20</v>
      </c>
      <c r="R837" s="9">
        <f>IF(AND($A837&gt;VLOOKUP(YEAR($A837),'Festive dates'!$A$2:$J$5,2,FALSE),$A837&lt;VLOOKUP(YEAR($A837),'Festive dates'!$A$2:$J$5,3,FALSE)),1,0)</f>
        <v>0</v>
      </c>
      <c r="S837" s="9">
        <f>IF($A837=VLOOKUP(YEAR($A837),'Festive dates'!$A$2:$J$5,2,FALSE),1,0)</f>
        <v>0</v>
      </c>
      <c r="T837" s="9">
        <f>IF($A837=VLOOKUP(YEAR($A837),'Festive dates'!$A$2:$J$5,3,FALSE),1,0)</f>
        <v>0</v>
      </c>
      <c r="U837" s="9">
        <f>IF($A837=VLOOKUP(YEAR($A837),'Festive dates'!$A$2:$J$5,4,FALSE),1,0)</f>
        <v>0</v>
      </c>
      <c r="V837" s="9">
        <f>IF(AND($A837&gt;=VLOOKUP(YEAR($A837),'Festive dates'!$A$2:$J$5,9,FALSE),$A837&lt;=VLOOKUP(YEAR($A837),'Festive dates'!$A$2:$J$5,10,FALSE)),1,0)</f>
        <v>0</v>
      </c>
      <c r="W837" s="9">
        <f>IF($A837=VLOOKUP(YEAR($A837),'Festive dates'!$A$2:$J$5,7,FALSE),1,0)</f>
        <v>0</v>
      </c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</row>
    <row r="838" spans="1:51">
      <c r="A838" s="8">
        <v>45853</v>
      </c>
      <c r="B838" s="9">
        <v>0</v>
      </c>
      <c r="C838" s="9">
        <v>0</v>
      </c>
      <c r="D838" s="9">
        <v>0</v>
      </c>
      <c r="E838" s="9">
        <v>0</v>
      </c>
      <c r="F838" s="9">
        <v>0</v>
      </c>
      <c r="G838" s="9">
        <v>0</v>
      </c>
      <c r="H838" s="9">
        <v>0</v>
      </c>
      <c r="I838" s="9">
        <v>0</v>
      </c>
      <c r="J838" s="9">
        <v>0</v>
      </c>
      <c r="K838" s="9">
        <v>0</v>
      </c>
      <c r="L838" s="9">
        <v>0</v>
      </c>
      <c r="M838" s="9">
        <v>0</v>
      </c>
      <c r="N838" s="9">
        <v>0</v>
      </c>
      <c r="O838" s="9">
        <v>0</v>
      </c>
      <c r="P838" s="9">
        <v>0</v>
      </c>
      <c r="Q838" s="9">
        <f>MAX(-20,MIN(10,$A838-VLOOKUP(YEAR($A838),'Festive dates'!$A$2:$J$5,8,FALSE)))</f>
        <v>-20</v>
      </c>
      <c r="R838" s="9">
        <f>IF(AND($A838&gt;VLOOKUP(YEAR($A838),'Festive dates'!$A$2:$J$5,2,FALSE),$A838&lt;VLOOKUP(YEAR($A838),'Festive dates'!$A$2:$J$5,3,FALSE)),1,0)</f>
        <v>0</v>
      </c>
      <c r="S838" s="9">
        <f>IF($A838=VLOOKUP(YEAR($A838),'Festive dates'!$A$2:$J$5,2,FALSE),1,0)</f>
        <v>0</v>
      </c>
      <c r="T838" s="9">
        <f>IF($A838=VLOOKUP(YEAR($A838),'Festive dates'!$A$2:$J$5,3,FALSE),1,0)</f>
        <v>0</v>
      </c>
      <c r="U838" s="9">
        <f>IF($A838=VLOOKUP(YEAR($A838),'Festive dates'!$A$2:$J$5,4,FALSE),1,0)</f>
        <v>0</v>
      </c>
      <c r="V838" s="9">
        <f>IF(AND($A838&gt;=VLOOKUP(YEAR($A838),'Festive dates'!$A$2:$J$5,9,FALSE),$A838&lt;=VLOOKUP(YEAR($A838),'Festive dates'!$A$2:$J$5,10,FALSE)),1,0)</f>
        <v>0</v>
      </c>
      <c r="W838" s="9">
        <f>IF($A838=VLOOKUP(YEAR($A838),'Festive dates'!$A$2:$J$5,7,FALSE),1,0)</f>
        <v>0</v>
      </c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</row>
    <row r="839" spans="1:51">
      <c r="A839" s="8">
        <v>45854</v>
      </c>
      <c r="B839" s="9">
        <v>0</v>
      </c>
      <c r="C839" s="9">
        <v>0</v>
      </c>
      <c r="D839" s="9">
        <v>0</v>
      </c>
      <c r="E839" s="9">
        <v>0</v>
      </c>
      <c r="F839" s="9">
        <v>0</v>
      </c>
      <c r="G839" s="9">
        <v>0</v>
      </c>
      <c r="H839" s="9">
        <v>0</v>
      </c>
      <c r="I839" s="9">
        <v>0</v>
      </c>
      <c r="J839" s="9">
        <v>0</v>
      </c>
      <c r="K839" s="9">
        <v>0</v>
      </c>
      <c r="L839" s="9">
        <v>0</v>
      </c>
      <c r="M839" s="9">
        <v>0</v>
      </c>
      <c r="N839" s="9">
        <v>0</v>
      </c>
      <c r="O839" s="9">
        <v>0</v>
      </c>
      <c r="P839" s="9">
        <v>0</v>
      </c>
      <c r="Q839" s="9">
        <f>MAX(-20,MIN(10,$A839-VLOOKUP(YEAR($A839),'Festive dates'!$A$2:$J$5,8,FALSE)))</f>
        <v>-20</v>
      </c>
      <c r="R839" s="9">
        <f>IF(AND($A839&gt;VLOOKUP(YEAR($A839),'Festive dates'!$A$2:$J$5,2,FALSE),$A839&lt;VLOOKUP(YEAR($A839),'Festive dates'!$A$2:$J$5,3,FALSE)),1,0)</f>
        <v>0</v>
      </c>
      <c r="S839" s="9">
        <f>IF($A839=VLOOKUP(YEAR($A839),'Festive dates'!$A$2:$J$5,2,FALSE),1,0)</f>
        <v>0</v>
      </c>
      <c r="T839" s="9">
        <f>IF($A839=VLOOKUP(YEAR($A839),'Festive dates'!$A$2:$J$5,3,FALSE),1,0)</f>
        <v>0</v>
      </c>
      <c r="U839" s="9">
        <f>IF($A839=VLOOKUP(YEAR($A839),'Festive dates'!$A$2:$J$5,4,FALSE),1,0)</f>
        <v>0</v>
      </c>
      <c r="V839" s="9">
        <f>IF(AND($A839&gt;=VLOOKUP(YEAR($A839),'Festive dates'!$A$2:$J$5,9,FALSE),$A839&lt;=VLOOKUP(YEAR($A839),'Festive dates'!$A$2:$J$5,10,FALSE)),1,0)</f>
        <v>0</v>
      </c>
      <c r="W839" s="9">
        <f>IF($A839=VLOOKUP(YEAR($A839),'Festive dates'!$A$2:$J$5,7,FALSE),1,0)</f>
        <v>0</v>
      </c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</row>
    <row r="840" spans="1:51">
      <c r="A840" s="8">
        <v>45855</v>
      </c>
      <c r="B840" s="9">
        <v>0</v>
      </c>
      <c r="C840" s="9">
        <v>0</v>
      </c>
      <c r="D840" s="9">
        <v>0</v>
      </c>
      <c r="E840" s="9">
        <v>0</v>
      </c>
      <c r="F840" s="9">
        <v>0</v>
      </c>
      <c r="G840" s="9">
        <v>0</v>
      </c>
      <c r="H840" s="9">
        <v>0</v>
      </c>
      <c r="I840" s="9">
        <v>0</v>
      </c>
      <c r="J840" s="9">
        <v>0</v>
      </c>
      <c r="K840" s="9">
        <v>0</v>
      </c>
      <c r="L840" s="9">
        <v>0</v>
      </c>
      <c r="M840" s="9">
        <v>0</v>
      </c>
      <c r="N840" s="9">
        <v>0</v>
      </c>
      <c r="O840" s="9">
        <v>0</v>
      </c>
      <c r="P840" s="9">
        <v>0</v>
      </c>
      <c r="Q840" s="9">
        <f>MAX(-20,MIN(10,$A840-VLOOKUP(YEAR($A840),'Festive dates'!$A$2:$J$5,8,FALSE)))</f>
        <v>-20</v>
      </c>
      <c r="R840" s="9">
        <f>IF(AND($A840&gt;VLOOKUP(YEAR($A840),'Festive dates'!$A$2:$J$5,2,FALSE),$A840&lt;VLOOKUP(YEAR($A840),'Festive dates'!$A$2:$J$5,3,FALSE)),1,0)</f>
        <v>0</v>
      </c>
      <c r="S840" s="9">
        <f>IF($A840=VLOOKUP(YEAR($A840),'Festive dates'!$A$2:$J$5,2,FALSE),1,0)</f>
        <v>0</v>
      </c>
      <c r="T840" s="9">
        <f>IF($A840=VLOOKUP(YEAR($A840),'Festive dates'!$A$2:$J$5,3,FALSE),1,0)</f>
        <v>0</v>
      </c>
      <c r="U840" s="9">
        <f>IF($A840=VLOOKUP(YEAR($A840),'Festive dates'!$A$2:$J$5,4,FALSE),1,0)</f>
        <v>0</v>
      </c>
      <c r="V840" s="9">
        <f>IF(AND($A840&gt;=VLOOKUP(YEAR($A840),'Festive dates'!$A$2:$J$5,9,FALSE),$A840&lt;=VLOOKUP(YEAR($A840),'Festive dates'!$A$2:$J$5,10,FALSE)),1,0)</f>
        <v>0</v>
      </c>
      <c r="W840" s="9">
        <f>IF($A840=VLOOKUP(YEAR($A840),'Festive dates'!$A$2:$J$5,7,FALSE),1,0)</f>
        <v>0</v>
      </c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</row>
    <row r="841" spans="1:51">
      <c r="A841" s="8">
        <v>45856</v>
      </c>
      <c r="B841" s="9">
        <v>0</v>
      </c>
      <c r="C841" s="9">
        <v>0</v>
      </c>
      <c r="D841" s="9">
        <v>0</v>
      </c>
      <c r="E841" s="9">
        <v>0</v>
      </c>
      <c r="F841" s="9">
        <v>0</v>
      </c>
      <c r="G841" s="9">
        <v>0</v>
      </c>
      <c r="H841" s="9">
        <v>0</v>
      </c>
      <c r="I841" s="9">
        <v>0</v>
      </c>
      <c r="J841" s="9">
        <v>0</v>
      </c>
      <c r="K841" s="9">
        <v>0</v>
      </c>
      <c r="L841" s="9">
        <v>0</v>
      </c>
      <c r="M841" s="9">
        <v>0</v>
      </c>
      <c r="N841" s="9">
        <v>0</v>
      </c>
      <c r="O841" s="9">
        <v>0</v>
      </c>
      <c r="P841" s="9">
        <v>0</v>
      </c>
      <c r="Q841" s="9">
        <f>MAX(-20,MIN(10,$A841-VLOOKUP(YEAR($A841),'Festive dates'!$A$2:$J$5,8,FALSE)))</f>
        <v>-20</v>
      </c>
      <c r="R841" s="9">
        <f>IF(AND($A841&gt;VLOOKUP(YEAR($A841),'Festive dates'!$A$2:$J$5,2,FALSE),$A841&lt;VLOOKUP(YEAR($A841),'Festive dates'!$A$2:$J$5,3,FALSE)),1,0)</f>
        <v>0</v>
      </c>
      <c r="S841" s="9">
        <f>IF($A841=VLOOKUP(YEAR($A841),'Festive dates'!$A$2:$J$5,2,FALSE),1,0)</f>
        <v>0</v>
      </c>
      <c r="T841" s="9">
        <f>IF($A841=VLOOKUP(YEAR($A841),'Festive dates'!$A$2:$J$5,3,FALSE),1,0)</f>
        <v>0</v>
      </c>
      <c r="U841" s="9">
        <f>IF($A841=VLOOKUP(YEAR($A841),'Festive dates'!$A$2:$J$5,4,FALSE),1,0)</f>
        <v>0</v>
      </c>
      <c r="V841" s="9">
        <f>IF(AND($A841&gt;=VLOOKUP(YEAR($A841),'Festive dates'!$A$2:$J$5,9,FALSE),$A841&lt;=VLOOKUP(YEAR($A841),'Festive dates'!$A$2:$J$5,10,FALSE)),1,0)</f>
        <v>0</v>
      </c>
      <c r="W841" s="9">
        <f>IF($A841=VLOOKUP(YEAR($A841),'Festive dates'!$A$2:$J$5,7,FALSE),1,0)</f>
        <v>0</v>
      </c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</row>
    <row r="842" spans="1:51">
      <c r="A842" s="8">
        <v>45857</v>
      </c>
      <c r="B842" s="9">
        <v>0</v>
      </c>
      <c r="C842" s="9">
        <v>0</v>
      </c>
      <c r="D842" s="9">
        <v>0</v>
      </c>
      <c r="E842" s="9">
        <v>0</v>
      </c>
      <c r="F842" s="9">
        <v>0</v>
      </c>
      <c r="G842" s="9">
        <v>0</v>
      </c>
      <c r="H842" s="9">
        <v>0</v>
      </c>
      <c r="I842" s="9">
        <v>0</v>
      </c>
      <c r="J842" s="9">
        <v>0</v>
      </c>
      <c r="K842" s="9">
        <v>0</v>
      </c>
      <c r="L842" s="9">
        <v>0</v>
      </c>
      <c r="M842" s="9">
        <v>0</v>
      </c>
      <c r="N842" s="9">
        <v>0</v>
      </c>
      <c r="O842" s="9">
        <v>0</v>
      </c>
      <c r="P842" s="9">
        <v>0</v>
      </c>
      <c r="Q842" s="9">
        <f>MAX(-20,MIN(10,$A842-VLOOKUP(YEAR($A842),'Festive dates'!$A$2:$J$5,8,FALSE)))</f>
        <v>-20</v>
      </c>
      <c r="R842" s="9">
        <f>IF(AND($A842&gt;VLOOKUP(YEAR($A842),'Festive dates'!$A$2:$J$5,2,FALSE),$A842&lt;VLOOKUP(YEAR($A842),'Festive dates'!$A$2:$J$5,3,FALSE)),1,0)</f>
        <v>0</v>
      </c>
      <c r="S842" s="9">
        <f>IF($A842=VLOOKUP(YEAR($A842),'Festive dates'!$A$2:$J$5,2,FALSE),1,0)</f>
        <v>0</v>
      </c>
      <c r="T842" s="9">
        <f>IF($A842=VLOOKUP(YEAR($A842),'Festive dates'!$A$2:$J$5,3,FALSE),1,0)</f>
        <v>0</v>
      </c>
      <c r="U842" s="9">
        <f>IF($A842=VLOOKUP(YEAR($A842),'Festive dates'!$A$2:$J$5,4,FALSE),1,0)</f>
        <v>0</v>
      </c>
      <c r="V842" s="9">
        <f>IF(AND($A842&gt;=VLOOKUP(YEAR($A842),'Festive dates'!$A$2:$J$5,9,FALSE),$A842&lt;=VLOOKUP(YEAR($A842),'Festive dates'!$A$2:$J$5,10,FALSE)),1,0)</f>
        <v>0</v>
      </c>
      <c r="W842" s="9">
        <f>IF($A842=VLOOKUP(YEAR($A842),'Festive dates'!$A$2:$J$5,7,FALSE),1,0)</f>
        <v>0</v>
      </c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</row>
    <row r="843" spans="1:51">
      <c r="A843" s="8">
        <v>45858</v>
      </c>
      <c r="B843" s="9">
        <v>0</v>
      </c>
      <c r="C843" s="9">
        <v>0</v>
      </c>
      <c r="D843" s="9">
        <v>0</v>
      </c>
      <c r="E843" s="9">
        <v>0</v>
      </c>
      <c r="F843" s="9">
        <v>0</v>
      </c>
      <c r="G843" s="9">
        <v>0</v>
      </c>
      <c r="H843" s="9">
        <v>0</v>
      </c>
      <c r="I843" s="9">
        <v>0</v>
      </c>
      <c r="J843" s="9">
        <v>0</v>
      </c>
      <c r="K843" s="9">
        <v>0</v>
      </c>
      <c r="L843" s="9">
        <v>0</v>
      </c>
      <c r="M843" s="9">
        <v>0</v>
      </c>
      <c r="N843" s="9">
        <v>0</v>
      </c>
      <c r="O843" s="9">
        <v>0</v>
      </c>
      <c r="P843" s="9">
        <v>0</v>
      </c>
      <c r="Q843" s="9">
        <f>MAX(-20,MIN(10,$A843-VLOOKUP(YEAR($A843),'Festive dates'!$A$2:$J$5,8,FALSE)))</f>
        <v>-20</v>
      </c>
      <c r="R843" s="9">
        <f>IF(AND($A843&gt;VLOOKUP(YEAR($A843),'Festive dates'!$A$2:$J$5,2,FALSE),$A843&lt;VLOOKUP(YEAR($A843),'Festive dates'!$A$2:$J$5,3,FALSE)),1,0)</f>
        <v>0</v>
      </c>
      <c r="S843" s="9">
        <f>IF($A843=VLOOKUP(YEAR($A843),'Festive dates'!$A$2:$J$5,2,FALSE),1,0)</f>
        <v>0</v>
      </c>
      <c r="T843" s="9">
        <f>IF($A843=VLOOKUP(YEAR($A843),'Festive dates'!$A$2:$J$5,3,FALSE),1,0)</f>
        <v>0</v>
      </c>
      <c r="U843" s="9">
        <f>IF($A843=VLOOKUP(YEAR($A843),'Festive dates'!$A$2:$J$5,4,FALSE),1,0)</f>
        <v>0</v>
      </c>
      <c r="V843" s="9">
        <f>IF(AND($A843&gt;=VLOOKUP(YEAR($A843),'Festive dates'!$A$2:$J$5,9,FALSE),$A843&lt;=VLOOKUP(YEAR($A843),'Festive dates'!$A$2:$J$5,10,FALSE)),1,0)</f>
        <v>0</v>
      </c>
      <c r="W843" s="9">
        <f>IF($A843=VLOOKUP(YEAR($A843),'Festive dates'!$A$2:$J$5,7,FALSE),1,0)</f>
        <v>0</v>
      </c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</row>
    <row r="844" spans="1:51">
      <c r="A844" s="8">
        <v>45859</v>
      </c>
      <c r="B844" s="9">
        <v>0</v>
      </c>
      <c r="C844" s="9">
        <v>0</v>
      </c>
      <c r="D844" s="9">
        <v>0</v>
      </c>
      <c r="E844" s="9">
        <v>0</v>
      </c>
      <c r="F844" s="9">
        <v>0</v>
      </c>
      <c r="G844" s="9">
        <v>0</v>
      </c>
      <c r="H844" s="9">
        <v>0</v>
      </c>
      <c r="I844" s="9">
        <v>0</v>
      </c>
      <c r="J844" s="9">
        <v>0</v>
      </c>
      <c r="K844" s="9">
        <v>0</v>
      </c>
      <c r="L844" s="9">
        <v>0</v>
      </c>
      <c r="M844" s="9">
        <v>0</v>
      </c>
      <c r="N844" s="9">
        <v>0</v>
      </c>
      <c r="O844" s="9">
        <v>0</v>
      </c>
      <c r="P844" s="9">
        <v>0</v>
      </c>
      <c r="Q844" s="9">
        <f>MAX(-20,MIN(10,$A844-VLOOKUP(YEAR($A844),'Festive dates'!$A$2:$J$5,8,FALSE)))</f>
        <v>-20</v>
      </c>
      <c r="R844" s="9">
        <f>IF(AND($A844&gt;VLOOKUP(YEAR($A844),'Festive dates'!$A$2:$J$5,2,FALSE),$A844&lt;VLOOKUP(YEAR($A844),'Festive dates'!$A$2:$J$5,3,FALSE)),1,0)</f>
        <v>0</v>
      </c>
      <c r="S844" s="9">
        <f>IF($A844=VLOOKUP(YEAR($A844),'Festive dates'!$A$2:$J$5,2,FALSE),1,0)</f>
        <v>0</v>
      </c>
      <c r="T844" s="9">
        <f>IF($A844=VLOOKUP(YEAR($A844),'Festive dates'!$A$2:$J$5,3,FALSE),1,0)</f>
        <v>0</v>
      </c>
      <c r="U844" s="9">
        <f>IF($A844=VLOOKUP(YEAR($A844),'Festive dates'!$A$2:$J$5,4,FALSE),1,0)</f>
        <v>0</v>
      </c>
      <c r="V844" s="9">
        <f>IF(AND($A844&gt;=VLOOKUP(YEAR($A844),'Festive dates'!$A$2:$J$5,9,FALSE),$A844&lt;=VLOOKUP(YEAR($A844),'Festive dates'!$A$2:$J$5,10,FALSE)),1,0)</f>
        <v>0</v>
      </c>
      <c r="W844" s="9">
        <f>IF($A844=VLOOKUP(YEAR($A844),'Festive dates'!$A$2:$J$5,7,FALSE),1,0)</f>
        <v>0</v>
      </c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</row>
    <row r="845" spans="1:51">
      <c r="A845" s="8">
        <v>45860</v>
      </c>
      <c r="B845" s="9">
        <v>0</v>
      </c>
      <c r="C845" s="9">
        <v>0</v>
      </c>
      <c r="D845" s="9">
        <v>0</v>
      </c>
      <c r="E845" s="9">
        <v>0</v>
      </c>
      <c r="F845" s="9">
        <v>0</v>
      </c>
      <c r="G845" s="9">
        <v>0</v>
      </c>
      <c r="H845" s="9">
        <v>0</v>
      </c>
      <c r="I845" s="9">
        <v>0</v>
      </c>
      <c r="J845" s="9">
        <v>0</v>
      </c>
      <c r="K845" s="9">
        <v>0</v>
      </c>
      <c r="L845" s="9">
        <v>0</v>
      </c>
      <c r="M845" s="9">
        <v>0</v>
      </c>
      <c r="N845" s="9">
        <v>0</v>
      </c>
      <c r="O845" s="9">
        <v>0</v>
      </c>
      <c r="P845" s="9">
        <v>0</v>
      </c>
      <c r="Q845" s="9">
        <f>MAX(-20,MIN(10,$A845-VLOOKUP(YEAR($A845),'Festive dates'!$A$2:$J$5,8,FALSE)))</f>
        <v>-20</v>
      </c>
      <c r="R845" s="9">
        <f>IF(AND($A845&gt;VLOOKUP(YEAR($A845),'Festive dates'!$A$2:$J$5,2,FALSE),$A845&lt;VLOOKUP(YEAR($A845),'Festive dates'!$A$2:$J$5,3,FALSE)),1,0)</f>
        <v>0</v>
      </c>
      <c r="S845" s="9">
        <f>IF($A845=VLOOKUP(YEAR($A845),'Festive dates'!$A$2:$J$5,2,FALSE),1,0)</f>
        <v>0</v>
      </c>
      <c r="T845" s="9">
        <f>IF($A845=VLOOKUP(YEAR($A845),'Festive dates'!$A$2:$J$5,3,FALSE),1,0)</f>
        <v>0</v>
      </c>
      <c r="U845" s="9">
        <f>IF($A845=VLOOKUP(YEAR($A845),'Festive dates'!$A$2:$J$5,4,FALSE),1,0)</f>
        <v>0</v>
      </c>
      <c r="V845" s="9">
        <f>IF(AND($A845&gt;=VLOOKUP(YEAR($A845),'Festive dates'!$A$2:$J$5,9,FALSE),$A845&lt;=VLOOKUP(YEAR($A845),'Festive dates'!$A$2:$J$5,10,FALSE)),1,0)</f>
        <v>0</v>
      </c>
      <c r="W845" s="9">
        <f>IF($A845=VLOOKUP(YEAR($A845),'Festive dates'!$A$2:$J$5,7,FALSE),1,0)</f>
        <v>0</v>
      </c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</row>
    <row r="846" spans="1:51">
      <c r="A846" s="8">
        <v>45861</v>
      </c>
      <c r="B846" s="9">
        <v>0</v>
      </c>
      <c r="C846" s="9">
        <v>0</v>
      </c>
      <c r="D846" s="9">
        <v>0</v>
      </c>
      <c r="E846" s="9">
        <v>0</v>
      </c>
      <c r="F846" s="9">
        <v>0</v>
      </c>
      <c r="G846" s="9">
        <v>0</v>
      </c>
      <c r="H846" s="9">
        <v>0</v>
      </c>
      <c r="I846" s="9">
        <v>0</v>
      </c>
      <c r="J846" s="9">
        <v>0</v>
      </c>
      <c r="K846" s="9">
        <v>0</v>
      </c>
      <c r="L846" s="9">
        <v>0</v>
      </c>
      <c r="M846" s="9">
        <v>0</v>
      </c>
      <c r="N846" s="9">
        <v>0</v>
      </c>
      <c r="O846" s="9">
        <v>0</v>
      </c>
      <c r="P846" s="9">
        <v>0</v>
      </c>
      <c r="Q846" s="9">
        <f>MAX(-20,MIN(10,$A846-VLOOKUP(YEAR($A846),'Festive dates'!$A$2:$J$5,8,FALSE)))</f>
        <v>-20</v>
      </c>
      <c r="R846" s="9">
        <f>IF(AND($A846&gt;VLOOKUP(YEAR($A846),'Festive dates'!$A$2:$J$5,2,FALSE),$A846&lt;VLOOKUP(YEAR($A846),'Festive dates'!$A$2:$J$5,3,FALSE)),1,0)</f>
        <v>0</v>
      </c>
      <c r="S846" s="9">
        <f>IF($A846=VLOOKUP(YEAR($A846),'Festive dates'!$A$2:$J$5,2,FALSE),1,0)</f>
        <v>0</v>
      </c>
      <c r="T846" s="9">
        <f>IF($A846=VLOOKUP(YEAR($A846),'Festive dates'!$A$2:$J$5,3,FALSE),1,0)</f>
        <v>0</v>
      </c>
      <c r="U846" s="9">
        <f>IF($A846=VLOOKUP(YEAR($A846),'Festive dates'!$A$2:$J$5,4,FALSE),1,0)</f>
        <v>0</v>
      </c>
      <c r="V846" s="9">
        <f>IF(AND($A846&gt;=VLOOKUP(YEAR($A846),'Festive dates'!$A$2:$J$5,9,FALSE),$A846&lt;=VLOOKUP(YEAR($A846),'Festive dates'!$A$2:$J$5,10,FALSE)),1,0)</f>
        <v>0</v>
      </c>
      <c r="W846" s="9">
        <f>IF($A846=VLOOKUP(YEAR($A846),'Festive dates'!$A$2:$J$5,7,FALSE),1,0)</f>
        <v>0</v>
      </c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</row>
    <row r="847" spans="1:51">
      <c r="A847" s="8">
        <v>45862</v>
      </c>
      <c r="B847" s="9">
        <v>0</v>
      </c>
      <c r="C847" s="9">
        <v>0</v>
      </c>
      <c r="D847" s="9">
        <v>0</v>
      </c>
      <c r="E847" s="9">
        <v>0</v>
      </c>
      <c r="F847" s="9">
        <v>0</v>
      </c>
      <c r="G847" s="9">
        <v>0</v>
      </c>
      <c r="H847" s="9">
        <v>0</v>
      </c>
      <c r="I847" s="9">
        <v>0</v>
      </c>
      <c r="J847" s="9">
        <v>0</v>
      </c>
      <c r="K847" s="9">
        <v>0</v>
      </c>
      <c r="L847" s="9">
        <v>0</v>
      </c>
      <c r="M847" s="9">
        <v>0</v>
      </c>
      <c r="N847" s="9">
        <v>0</v>
      </c>
      <c r="O847" s="9">
        <v>0</v>
      </c>
      <c r="P847" s="9">
        <v>0</v>
      </c>
      <c r="Q847" s="9">
        <f>MAX(-20,MIN(10,$A847-VLOOKUP(YEAR($A847),'Festive dates'!$A$2:$J$5,8,FALSE)))</f>
        <v>-20</v>
      </c>
      <c r="R847" s="9">
        <f>IF(AND($A847&gt;VLOOKUP(YEAR($A847),'Festive dates'!$A$2:$J$5,2,FALSE),$A847&lt;VLOOKUP(YEAR($A847),'Festive dates'!$A$2:$J$5,3,FALSE)),1,0)</f>
        <v>0</v>
      </c>
      <c r="S847" s="9">
        <f>IF($A847=VLOOKUP(YEAR($A847),'Festive dates'!$A$2:$J$5,2,FALSE),1,0)</f>
        <v>0</v>
      </c>
      <c r="T847" s="9">
        <f>IF($A847=VLOOKUP(YEAR($A847),'Festive dates'!$A$2:$J$5,3,FALSE),1,0)</f>
        <v>0</v>
      </c>
      <c r="U847" s="9">
        <f>IF($A847=VLOOKUP(YEAR($A847),'Festive dates'!$A$2:$J$5,4,FALSE),1,0)</f>
        <v>0</v>
      </c>
      <c r="V847" s="9">
        <f>IF(AND($A847&gt;=VLOOKUP(YEAR($A847),'Festive dates'!$A$2:$J$5,9,FALSE),$A847&lt;=VLOOKUP(YEAR($A847),'Festive dates'!$A$2:$J$5,10,FALSE)),1,0)</f>
        <v>0</v>
      </c>
      <c r="W847" s="9">
        <f>IF($A847=VLOOKUP(YEAR($A847),'Festive dates'!$A$2:$J$5,7,FALSE),1,0)</f>
        <v>0</v>
      </c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</row>
    <row r="848" spans="1:51">
      <c r="A848" s="8">
        <v>45863</v>
      </c>
      <c r="B848" s="9">
        <v>0</v>
      </c>
      <c r="C848" s="9">
        <v>0</v>
      </c>
      <c r="D848" s="9">
        <v>0</v>
      </c>
      <c r="E848" s="9">
        <v>0</v>
      </c>
      <c r="F848" s="9">
        <v>0</v>
      </c>
      <c r="G848" s="9">
        <v>0</v>
      </c>
      <c r="H848" s="9">
        <v>0</v>
      </c>
      <c r="I848" s="9">
        <v>0</v>
      </c>
      <c r="J848" s="9">
        <v>0</v>
      </c>
      <c r="K848" s="9">
        <v>0</v>
      </c>
      <c r="L848" s="9">
        <v>0</v>
      </c>
      <c r="M848" s="9">
        <v>0</v>
      </c>
      <c r="N848" s="9">
        <v>0</v>
      </c>
      <c r="O848" s="9">
        <v>0</v>
      </c>
      <c r="P848" s="9">
        <v>0</v>
      </c>
      <c r="Q848" s="9">
        <f>MAX(-20,MIN(10,$A848-VLOOKUP(YEAR($A848),'Festive dates'!$A$2:$J$5,8,FALSE)))</f>
        <v>-20</v>
      </c>
      <c r="R848" s="9">
        <f>IF(AND($A848&gt;VLOOKUP(YEAR($A848),'Festive dates'!$A$2:$J$5,2,FALSE),$A848&lt;VLOOKUP(YEAR($A848),'Festive dates'!$A$2:$J$5,3,FALSE)),1,0)</f>
        <v>0</v>
      </c>
      <c r="S848" s="9">
        <f>IF($A848=VLOOKUP(YEAR($A848),'Festive dates'!$A$2:$J$5,2,FALSE),1,0)</f>
        <v>0</v>
      </c>
      <c r="T848" s="9">
        <f>IF($A848=VLOOKUP(YEAR($A848),'Festive dates'!$A$2:$J$5,3,FALSE),1,0)</f>
        <v>0</v>
      </c>
      <c r="U848" s="9">
        <f>IF($A848=VLOOKUP(YEAR($A848),'Festive dates'!$A$2:$J$5,4,FALSE),1,0)</f>
        <v>0</v>
      </c>
      <c r="V848" s="9">
        <f>IF(AND($A848&gt;=VLOOKUP(YEAR($A848),'Festive dates'!$A$2:$J$5,9,FALSE),$A848&lt;=VLOOKUP(YEAR($A848),'Festive dates'!$A$2:$J$5,10,FALSE)),1,0)</f>
        <v>0</v>
      </c>
      <c r="W848" s="9">
        <f>IF($A848=VLOOKUP(YEAR($A848),'Festive dates'!$A$2:$J$5,7,FALSE),1,0)</f>
        <v>0</v>
      </c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</row>
    <row r="849" spans="1:51">
      <c r="A849" s="8">
        <v>45864</v>
      </c>
      <c r="B849" s="9">
        <v>0</v>
      </c>
      <c r="C849" s="9">
        <v>0</v>
      </c>
      <c r="D849" s="9">
        <v>0</v>
      </c>
      <c r="E849" s="9">
        <v>0</v>
      </c>
      <c r="F849" s="9">
        <v>0</v>
      </c>
      <c r="G849" s="9">
        <v>0</v>
      </c>
      <c r="H849" s="9">
        <v>0</v>
      </c>
      <c r="I849" s="9">
        <v>0</v>
      </c>
      <c r="J849" s="9">
        <v>0</v>
      </c>
      <c r="K849" s="9">
        <v>0</v>
      </c>
      <c r="L849" s="9">
        <v>0</v>
      </c>
      <c r="M849" s="9">
        <v>0</v>
      </c>
      <c r="N849" s="9">
        <v>0</v>
      </c>
      <c r="O849" s="9">
        <v>0</v>
      </c>
      <c r="P849" s="9">
        <v>0</v>
      </c>
      <c r="Q849" s="9">
        <f>MAX(-20,MIN(10,$A849-VLOOKUP(YEAR($A849),'Festive dates'!$A$2:$J$5,8,FALSE)))</f>
        <v>-20</v>
      </c>
      <c r="R849" s="9">
        <f>IF(AND($A849&gt;VLOOKUP(YEAR($A849),'Festive dates'!$A$2:$J$5,2,FALSE),$A849&lt;VLOOKUP(YEAR($A849),'Festive dates'!$A$2:$J$5,3,FALSE)),1,0)</f>
        <v>0</v>
      </c>
      <c r="S849" s="9">
        <f>IF($A849=VLOOKUP(YEAR($A849),'Festive dates'!$A$2:$J$5,2,FALSE),1,0)</f>
        <v>0</v>
      </c>
      <c r="T849" s="9">
        <f>IF($A849=VLOOKUP(YEAR($A849),'Festive dates'!$A$2:$J$5,3,FALSE),1,0)</f>
        <v>0</v>
      </c>
      <c r="U849" s="9">
        <f>IF($A849=VLOOKUP(YEAR($A849),'Festive dates'!$A$2:$J$5,4,FALSE),1,0)</f>
        <v>0</v>
      </c>
      <c r="V849" s="9">
        <f>IF(AND($A849&gt;=VLOOKUP(YEAR($A849),'Festive dates'!$A$2:$J$5,9,FALSE),$A849&lt;=VLOOKUP(YEAR($A849),'Festive dates'!$A$2:$J$5,10,FALSE)),1,0)</f>
        <v>0</v>
      </c>
      <c r="W849" s="9">
        <f>IF($A849=VLOOKUP(YEAR($A849),'Festive dates'!$A$2:$J$5,7,FALSE),1,0)</f>
        <v>0</v>
      </c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</row>
    <row r="850" spans="1:51">
      <c r="A850" s="8">
        <v>45865</v>
      </c>
      <c r="B850" s="9">
        <v>1</v>
      </c>
      <c r="C850" s="9">
        <v>0</v>
      </c>
      <c r="D850" s="9">
        <v>0</v>
      </c>
      <c r="E850" s="9">
        <v>0</v>
      </c>
      <c r="F850" s="9">
        <v>0</v>
      </c>
      <c r="G850" s="9">
        <v>0</v>
      </c>
      <c r="H850" s="9">
        <v>0</v>
      </c>
      <c r="I850" s="9">
        <v>0</v>
      </c>
      <c r="J850" s="9">
        <v>0</v>
      </c>
      <c r="K850" s="9">
        <v>0</v>
      </c>
      <c r="L850" s="9">
        <v>0</v>
      </c>
      <c r="M850" s="9">
        <v>0</v>
      </c>
      <c r="N850" s="9">
        <v>0</v>
      </c>
      <c r="O850" s="9">
        <v>0</v>
      </c>
      <c r="P850" s="9">
        <v>0</v>
      </c>
      <c r="Q850" s="9">
        <f>MAX(-20,MIN(10,$A850-VLOOKUP(YEAR($A850),'Festive dates'!$A$2:$J$5,8,FALSE)))</f>
        <v>-20</v>
      </c>
      <c r="R850" s="9">
        <f>IF(AND($A850&gt;VLOOKUP(YEAR($A850),'Festive dates'!$A$2:$J$5,2,FALSE),$A850&lt;VLOOKUP(YEAR($A850),'Festive dates'!$A$2:$J$5,3,FALSE)),1,0)</f>
        <v>0</v>
      </c>
      <c r="S850" s="9">
        <f>IF($A850=VLOOKUP(YEAR($A850),'Festive dates'!$A$2:$J$5,2,FALSE),1,0)</f>
        <v>0</v>
      </c>
      <c r="T850" s="9">
        <f>IF($A850=VLOOKUP(YEAR($A850),'Festive dates'!$A$2:$J$5,3,FALSE),1,0)</f>
        <v>0</v>
      </c>
      <c r="U850" s="9">
        <f>IF($A850=VLOOKUP(YEAR($A850),'Festive dates'!$A$2:$J$5,4,FALSE),1,0)</f>
        <v>0</v>
      </c>
      <c r="V850" s="9">
        <f>IF(AND($A850&gt;=VLOOKUP(YEAR($A850),'Festive dates'!$A$2:$J$5,9,FALSE),$A850&lt;=VLOOKUP(YEAR($A850),'Festive dates'!$A$2:$J$5,10,FALSE)),1,0)</f>
        <v>0</v>
      </c>
      <c r="W850" s="9">
        <f>IF($A850=VLOOKUP(YEAR($A850),'Festive dates'!$A$2:$J$5,7,FALSE),1,0)</f>
        <v>0</v>
      </c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</row>
    <row r="851" spans="1:51">
      <c r="A851" s="8">
        <v>45866</v>
      </c>
      <c r="B851" s="9">
        <v>0</v>
      </c>
      <c r="C851" s="9">
        <v>0</v>
      </c>
      <c r="D851" s="9">
        <v>0</v>
      </c>
      <c r="E851" s="9">
        <v>0</v>
      </c>
      <c r="F851" s="9">
        <v>0</v>
      </c>
      <c r="G851" s="9">
        <v>0</v>
      </c>
      <c r="H851" s="9">
        <v>0</v>
      </c>
      <c r="I851" s="9">
        <v>0</v>
      </c>
      <c r="J851" s="9">
        <v>0</v>
      </c>
      <c r="K851" s="9">
        <v>0</v>
      </c>
      <c r="L851" s="9">
        <v>0</v>
      </c>
      <c r="M851" s="9">
        <v>0</v>
      </c>
      <c r="N851" s="9">
        <v>0</v>
      </c>
      <c r="O851" s="9">
        <v>0</v>
      </c>
      <c r="P851" s="9">
        <v>0</v>
      </c>
      <c r="Q851" s="9">
        <f>MAX(-20,MIN(10,$A851-VLOOKUP(YEAR($A851),'Festive dates'!$A$2:$J$5,8,FALSE)))</f>
        <v>-20</v>
      </c>
      <c r="R851" s="9">
        <f>IF(AND($A851&gt;VLOOKUP(YEAR($A851),'Festive dates'!$A$2:$J$5,2,FALSE),$A851&lt;VLOOKUP(YEAR($A851),'Festive dates'!$A$2:$J$5,3,FALSE)),1,0)</f>
        <v>0</v>
      </c>
      <c r="S851" s="9">
        <f>IF($A851=VLOOKUP(YEAR($A851),'Festive dates'!$A$2:$J$5,2,FALSE),1,0)</f>
        <v>0</v>
      </c>
      <c r="T851" s="9">
        <f>IF($A851=VLOOKUP(YEAR($A851),'Festive dates'!$A$2:$J$5,3,FALSE),1,0)</f>
        <v>0</v>
      </c>
      <c r="U851" s="9">
        <f>IF($A851=VLOOKUP(YEAR($A851),'Festive dates'!$A$2:$J$5,4,FALSE),1,0)</f>
        <v>0</v>
      </c>
      <c r="V851" s="9">
        <f>IF(AND($A851&gt;=VLOOKUP(YEAR($A851),'Festive dates'!$A$2:$J$5,9,FALSE),$A851&lt;=VLOOKUP(YEAR($A851),'Festive dates'!$A$2:$J$5,10,FALSE)),1,0)</f>
        <v>0</v>
      </c>
      <c r="W851" s="9">
        <f>IF($A851=VLOOKUP(YEAR($A851),'Festive dates'!$A$2:$J$5,7,FALSE),1,0)</f>
        <v>0</v>
      </c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</row>
    <row r="852" spans="1:51">
      <c r="A852" s="8">
        <v>45867</v>
      </c>
      <c r="B852" s="9">
        <v>0</v>
      </c>
      <c r="C852" s="9">
        <v>0</v>
      </c>
      <c r="D852" s="9">
        <v>0</v>
      </c>
      <c r="E852" s="9">
        <v>0</v>
      </c>
      <c r="F852" s="9">
        <v>0</v>
      </c>
      <c r="G852" s="9">
        <v>0</v>
      </c>
      <c r="H852" s="9">
        <v>0</v>
      </c>
      <c r="I852" s="9">
        <v>0</v>
      </c>
      <c r="J852" s="9">
        <v>0</v>
      </c>
      <c r="K852" s="9">
        <v>0</v>
      </c>
      <c r="L852" s="9">
        <v>0</v>
      </c>
      <c r="M852" s="9">
        <v>0</v>
      </c>
      <c r="N852" s="9">
        <v>1</v>
      </c>
      <c r="O852" s="9">
        <v>0</v>
      </c>
      <c r="P852" s="9">
        <v>0</v>
      </c>
      <c r="Q852" s="9">
        <f>MAX(-20,MIN(10,$A852-VLOOKUP(YEAR($A852),'Festive dates'!$A$2:$J$5,8,FALSE)))</f>
        <v>-20</v>
      </c>
      <c r="R852" s="9">
        <f>IF(AND($A852&gt;VLOOKUP(YEAR($A852),'Festive dates'!$A$2:$J$5,2,FALSE),$A852&lt;VLOOKUP(YEAR($A852),'Festive dates'!$A$2:$J$5,3,FALSE)),1,0)</f>
        <v>0</v>
      </c>
      <c r="S852" s="9">
        <f>IF($A852=VLOOKUP(YEAR($A852),'Festive dates'!$A$2:$J$5,2,FALSE),1,0)</f>
        <v>0</v>
      </c>
      <c r="T852" s="9">
        <f>IF($A852=VLOOKUP(YEAR($A852),'Festive dates'!$A$2:$J$5,3,FALSE),1,0)</f>
        <v>0</v>
      </c>
      <c r="U852" s="9">
        <f>IF($A852=VLOOKUP(YEAR($A852),'Festive dates'!$A$2:$J$5,4,FALSE),1,0)</f>
        <v>0</v>
      </c>
      <c r="V852" s="9">
        <f>IF(AND($A852&gt;=VLOOKUP(YEAR($A852),'Festive dates'!$A$2:$J$5,9,FALSE),$A852&lt;=VLOOKUP(YEAR($A852),'Festive dates'!$A$2:$J$5,10,FALSE)),1,0)</f>
        <v>0</v>
      </c>
      <c r="W852" s="9">
        <f>IF($A852=VLOOKUP(YEAR($A852),'Festive dates'!$A$2:$J$5,7,FALSE),1,0)</f>
        <v>0</v>
      </c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</row>
    <row r="853" spans="1:51">
      <c r="A853" s="8">
        <v>45868</v>
      </c>
      <c r="B853" s="9">
        <v>0</v>
      </c>
      <c r="C853" s="9">
        <v>0</v>
      </c>
      <c r="D853" s="9">
        <v>0</v>
      </c>
      <c r="E853" s="9">
        <v>0</v>
      </c>
      <c r="F853" s="9">
        <v>0</v>
      </c>
      <c r="G853" s="9">
        <v>0</v>
      </c>
      <c r="H853" s="9">
        <v>0</v>
      </c>
      <c r="I853" s="9">
        <v>0</v>
      </c>
      <c r="J853" s="9">
        <v>0</v>
      </c>
      <c r="K853" s="9">
        <v>0</v>
      </c>
      <c r="L853" s="9">
        <v>0</v>
      </c>
      <c r="M853" s="9">
        <v>0</v>
      </c>
      <c r="N853" s="9">
        <v>0</v>
      </c>
      <c r="O853" s="9">
        <v>0</v>
      </c>
      <c r="P853" s="9">
        <v>0</v>
      </c>
      <c r="Q853" s="9">
        <f>MAX(-20,MIN(10,$A853-VLOOKUP(YEAR($A853),'Festive dates'!$A$2:$J$5,8,FALSE)))</f>
        <v>-20</v>
      </c>
      <c r="R853" s="9">
        <f>IF(AND($A853&gt;VLOOKUP(YEAR($A853),'Festive dates'!$A$2:$J$5,2,FALSE),$A853&lt;VLOOKUP(YEAR($A853),'Festive dates'!$A$2:$J$5,3,FALSE)),1,0)</f>
        <v>0</v>
      </c>
      <c r="S853" s="9">
        <f>IF($A853=VLOOKUP(YEAR($A853),'Festive dates'!$A$2:$J$5,2,FALSE),1,0)</f>
        <v>0</v>
      </c>
      <c r="T853" s="9">
        <f>IF($A853=VLOOKUP(YEAR($A853),'Festive dates'!$A$2:$J$5,3,FALSE),1,0)</f>
        <v>0</v>
      </c>
      <c r="U853" s="9">
        <f>IF($A853=VLOOKUP(YEAR($A853),'Festive dates'!$A$2:$J$5,4,FALSE),1,0)</f>
        <v>0</v>
      </c>
      <c r="V853" s="9">
        <f>IF(AND($A853&gt;=VLOOKUP(YEAR($A853),'Festive dates'!$A$2:$J$5,9,FALSE),$A853&lt;=VLOOKUP(YEAR($A853),'Festive dates'!$A$2:$J$5,10,FALSE)),1,0)</f>
        <v>0</v>
      </c>
      <c r="W853" s="9">
        <f>IF($A853=VLOOKUP(YEAR($A853),'Festive dates'!$A$2:$J$5,7,FALSE),1,0)</f>
        <v>0</v>
      </c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</row>
    <row r="854" spans="1:51">
      <c r="A854" s="8">
        <v>45869</v>
      </c>
      <c r="B854" s="9">
        <v>0</v>
      </c>
      <c r="C854" s="9">
        <v>0</v>
      </c>
      <c r="D854" s="9">
        <v>0</v>
      </c>
      <c r="E854" s="9">
        <v>0</v>
      </c>
      <c r="F854" s="9">
        <v>0</v>
      </c>
      <c r="G854" s="9">
        <v>0</v>
      </c>
      <c r="H854" s="9">
        <v>0</v>
      </c>
      <c r="I854" s="9">
        <v>0</v>
      </c>
      <c r="J854" s="9">
        <v>0</v>
      </c>
      <c r="K854" s="9">
        <v>0</v>
      </c>
      <c r="L854" s="9">
        <v>0</v>
      </c>
      <c r="M854" s="9">
        <v>0</v>
      </c>
      <c r="N854" s="9">
        <v>0</v>
      </c>
      <c r="O854" s="9">
        <v>0</v>
      </c>
      <c r="P854" s="9">
        <v>0</v>
      </c>
      <c r="Q854" s="9">
        <f>MAX(-20,MIN(10,$A854-VLOOKUP(YEAR($A854),'Festive dates'!$A$2:$J$5,8,FALSE)))</f>
        <v>-20</v>
      </c>
      <c r="R854" s="9">
        <f>IF(AND($A854&gt;VLOOKUP(YEAR($A854),'Festive dates'!$A$2:$J$5,2,FALSE),$A854&lt;VLOOKUP(YEAR($A854),'Festive dates'!$A$2:$J$5,3,FALSE)),1,0)</f>
        <v>0</v>
      </c>
      <c r="S854" s="9">
        <f>IF($A854=VLOOKUP(YEAR($A854),'Festive dates'!$A$2:$J$5,2,FALSE),1,0)</f>
        <v>0</v>
      </c>
      <c r="T854" s="9">
        <f>IF($A854=VLOOKUP(YEAR($A854),'Festive dates'!$A$2:$J$5,3,FALSE),1,0)</f>
        <v>0</v>
      </c>
      <c r="U854" s="9">
        <f>IF($A854=VLOOKUP(YEAR($A854),'Festive dates'!$A$2:$J$5,4,FALSE),1,0)</f>
        <v>0</v>
      </c>
      <c r="V854" s="9">
        <f>IF(AND($A854&gt;=VLOOKUP(YEAR($A854),'Festive dates'!$A$2:$J$5,9,FALSE),$A854&lt;=VLOOKUP(YEAR($A854),'Festive dates'!$A$2:$J$5,10,FALSE)),1,0)</f>
        <v>0</v>
      </c>
      <c r="W854" s="9">
        <f>IF($A854=VLOOKUP(YEAR($A854),'Festive dates'!$A$2:$J$5,7,FALSE),1,0)</f>
        <v>0</v>
      </c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</row>
    <row r="855" spans="1:51">
      <c r="A855" s="8">
        <v>45870</v>
      </c>
      <c r="B855" s="9">
        <v>0</v>
      </c>
      <c r="C855" s="9">
        <v>0</v>
      </c>
      <c r="D855" s="9">
        <v>0</v>
      </c>
      <c r="E855" s="9">
        <v>0</v>
      </c>
      <c r="F855" s="9">
        <v>0</v>
      </c>
      <c r="G855" s="9">
        <v>0</v>
      </c>
      <c r="H855" s="9">
        <v>0</v>
      </c>
      <c r="I855" s="9">
        <v>0</v>
      </c>
      <c r="J855" s="9">
        <v>0</v>
      </c>
      <c r="K855" s="9">
        <v>0</v>
      </c>
      <c r="L855" s="9">
        <v>0</v>
      </c>
      <c r="M855" s="9">
        <v>0</v>
      </c>
      <c r="N855" s="9">
        <v>0</v>
      </c>
      <c r="O855" s="9">
        <v>0</v>
      </c>
      <c r="P855" s="9">
        <v>0</v>
      </c>
      <c r="Q855" s="9">
        <f>MAX(-20,MIN(10,$A855-VLOOKUP(YEAR($A855),'Festive dates'!$A$2:$J$5,8,FALSE)))</f>
        <v>-20</v>
      </c>
      <c r="R855" s="9">
        <f>IF(AND($A855&gt;VLOOKUP(YEAR($A855),'Festive dates'!$A$2:$J$5,2,FALSE),$A855&lt;VLOOKUP(YEAR($A855),'Festive dates'!$A$2:$J$5,3,FALSE)),1,0)</f>
        <v>0</v>
      </c>
      <c r="S855" s="9">
        <f>IF($A855=VLOOKUP(YEAR($A855),'Festive dates'!$A$2:$J$5,2,FALSE),1,0)</f>
        <v>0</v>
      </c>
      <c r="T855" s="9">
        <f>IF($A855=VLOOKUP(YEAR($A855),'Festive dates'!$A$2:$J$5,3,FALSE),1,0)</f>
        <v>0</v>
      </c>
      <c r="U855" s="9">
        <f>IF($A855=VLOOKUP(YEAR($A855),'Festive dates'!$A$2:$J$5,4,FALSE),1,0)</f>
        <v>0</v>
      </c>
      <c r="V855" s="9">
        <f>IF(AND($A855&gt;=VLOOKUP(YEAR($A855),'Festive dates'!$A$2:$J$5,9,FALSE),$A855&lt;=VLOOKUP(YEAR($A855),'Festive dates'!$A$2:$J$5,10,FALSE)),1,0)</f>
        <v>0</v>
      </c>
      <c r="W855" s="9">
        <f>IF($A855=VLOOKUP(YEAR($A855),'Festive dates'!$A$2:$J$5,7,FALSE),1,0)</f>
        <v>0</v>
      </c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</row>
    <row r="856" spans="1:51">
      <c r="A856" s="8">
        <v>45871</v>
      </c>
      <c r="B856" s="9">
        <v>0</v>
      </c>
      <c r="C856" s="9">
        <v>0</v>
      </c>
      <c r="D856" s="9">
        <v>0</v>
      </c>
      <c r="E856" s="9">
        <v>0</v>
      </c>
      <c r="F856" s="9">
        <v>0</v>
      </c>
      <c r="G856" s="9">
        <v>0</v>
      </c>
      <c r="H856" s="9">
        <v>0</v>
      </c>
      <c r="I856" s="9">
        <v>0</v>
      </c>
      <c r="J856" s="9">
        <v>0</v>
      </c>
      <c r="K856" s="9">
        <v>0</v>
      </c>
      <c r="L856" s="9">
        <v>0</v>
      </c>
      <c r="M856" s="9">
        <v>0</v>
      </c>
      <c r="N856" s="9">
        <v>0</v>
      </c>
      <c r="O856" s="9">
        <v>0</v>
      </c>
      <c r="P856" s="9">
        <v>0</v>
      </c>
      <c r="Q856" s="9">
        <f>MAX(-20,MIN(10,$A856-VLOOKUP(YEAR($A856),'Festive dates'!$A$2:$J$5,8,FALSE)))</f>
        <v>-20</v>
      </c>
      <c r="R856" s="9">
        <f>IF(AND($A856&gt;VLOOKUP(YEAR($A856),'Festive dates'!$A$2:$J$5,2,FALSE),$A856&lt;VLOOKUP(YEAR($A856),'Festive dates'!$A$2:$J$5,3,FALSE)),1,0)</f>
        <v>0</v>
      </c>
      <c r="S856" s="9">
        <f>IF($A856=VLOOKUP(YEAR($A856),'Festive dates'!$A$2:$J$5,2,FALSE),1,0)</f>
        <v>0</v>
      </c>
      <c r="T856" s="9">
        <f>IF($A856=VLOOKUP(YEAR($A856),'Festive dates'!$A$2:$J$5,3,FALSE),1,0)</f>
        <v>0</v>
      </c>
      <c r="U856" s="9">
        <f>IF($A856=VLOOKUP(YEAR($A856),'Festive dates'!$A$2:$J$5,4,FALSE),1,0)</f>
        <v>0</v>
      </c>
      <c r="V856" s="9">
        <f>IF(AND($A856&gt;=VLOOKUP(YEAR($A856),'Festive dates'!$A$2:$J$5,9,FALSE),$A856&lt;=VLOOKUP(YEAR($A856),'Festive dates'!$A$2:$J$5,10,FALSE)),1,0)</f>
        <v>0</v>
      </c>
      <c r="W856" s="9">
        <f>IF($A856=VLOOKUP(YEAR($A856),'Festive dates'!$A$2:$J$5,7,FALSE),1,0)</f>
        <v>0</v>
      </c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</row>
    <row r="857" spans="1:51">
      <c r="A857" s="8">
        <v>45872</v>
      </c>
      <c r="B857" s="9">
        <v>0</v>
      </c>
      <c r="C857" s="9">
        <v>0</v>
      </c>
      <c r="D857" s="9">
        <v>0</v>
      </c>
      <c r="E857" s="9">
        <v>0</v>
      </c>
      <c r="F857" s="9">
        <v>0</v>
      </c>
      <c r="G857" s="9">
        <v>0</v>
      </c>
      <c r="H857" s="9">
        <v>0</v>
      </c>
      <c r="I857" s="9">
        <v>0</v>
      </c>
      <c r="J857" s="9">
        <v>0</v>
      </c>
      <c r="K857" s="9">
        <v>0</v>
      </c>
      <c r="L857" s="9">
        <v>0</v>
      </c>
      <c r="M857" s="9">
        <v>0</v>
      </c>
      <c r="N857" s="9">
        <v>0</v>
      </c>
      <c r="O857" s="9">
        <v>0</v>
      </c>
      <c r="P857" s="9">
        <v>0</v>
      </c>
      <c r="Q857" s="9">
        <f>MAX(-20,MIN(10,$A857-VLOOKUP(YEAR($A857),'Festive dates'!$A$2:$J$5,8,FALSE)))</f>
        <v>-20</v>
      </c>
      <c r="R857" s="9">
        <f>IF(AND($A857&gt;VLOOKUP(YEAR($A857),'Festive dates'!$A$2:$J$5,2,FALSE),$A857&lt;VLOOKUP(YEAR($A857),'Festive dates'!$A$2:$J$5,3,FALSE)),1,0)</f>
        <v>0</v>
      </c>
      <c r="S857" s="9">
        <f>IF($A857=VLOOKUP(YEAR($A857),'Festive dates'!$A$2:$J$5,2,FALSE),1,0)</f>
        <v>0</v>
      </c>
      <c r="T857" s="9">
        <f>IF($A857=VLOOKUP(YEAR($A857),'Festive dates'!$A$2:$J$5,3,FALSE),1,0)</f>
        <v>0</v>
      </c>
      <c r="U857" s="9">
        <f>IF($A857=VLOOKUP(YEAR($A857),'Festive dates'!$A$2:$J$5,4,FALSE),1,0)</f>
        <v>0</v>
      </c>
      <c r="V857" s="9">
        <f>IF(AND($A857&gt;=VLOOKUP(YEAR($A857),'Festive dates'!$A$2:$J$5,9,FALSE),$A857&lt;=VLOOKUP(YEAR($A857),'Festive dates'!$A$2:$J$5,10,FALSE)),1,0)</f>
        <v>0</v>
      </c>
      <c r="W857" s="9">
        <f>IF($A857=VLOOKUP(YEAR($A857),'Festive dates'!$A$2:$J$5,7,FALSE),1,0)</f>
        <v>0</v>
      </c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</row>
    <row r="858" spans="1:51">
      <c r="A858" s="8">
        <v>45873</v>
      </c>
      <c r="B858" s="9">
        <v>0</v>
      </c>
      <c r="C858" s="9">
        <v>0</v>
      </c>
      <c r="D858" s="9">
        <v>0</v>
      </c>
      <c r="E858" s="9">
        <v>0</v>
      </c>
      <c r="F858" s="9">
        <v>0</v>
      </c>
      <c r="G858" s="9">
        <v>0</v>
      </c>
      <c r="H858" s="9">
        <v>0</v>
      </c>
      <c r="I858" s="9">
        <v>0</v>
      </c>
      <c r="J858" s="9">
        <v>0</v>
      </c>
      <c r="K858" s="9">
        <v>0</v>
      </c>
      <c r="L858" s="9">
        <v>0</v>
      </c>
      <c r="M858" s="9">
        <v>0</v>
      </c>
      <c r="N858" s="9">
        <v>0</v>
      </c>
      <c r="O858" s="9">
        <v>0</v>
      </c>
      <c r="P858" s="9">
        <v>0</v>
      </c>
      <c r="Q858" s="9">
        <f>MAX(-20,MIN(10,$A858-VLOOKUP(YEAR($A858),'Festive dates'!$A$2:$J$5,8,FALSE)))</f>
        <v>-20</v>
      </c>
      <c r="R858" s="9">
        <f>IF(AND($A858&gt;VLOOKUP(YEAR($A858),'Festive dates'!$A$2:$J$5,2,FALSE),$A858&lt;VLOOKUP(YEAR($A858),'Festive dates'!$A$2:$J$5,3,FALSE)),1,0)</f>
        <v>0</v>
      </c>
      <c r="S858" s="9">
        <f>IF($A858=VLOOKUP(YEAR($A858),'Festive dates'!$A$2:$J$5,2,FALSE),1,0)</f>
        <v>0</v>
      </c>
      <c r="T858" s="9">
        <f>IF($A858=VLOOKUP(YEAR($A858),'Festive dates'!$A$2:$J$5,3,FALSE),1,0)</f>
        <v>0</v>
      </c>
      <c r="U858" s="9">
        <f>IF($A858=VLOOKUP(YEAR($A858),'Festive dates'!$A$2:$J$5,4,FALSE),1,0)</f>
        <v>0</v>
      </c>
      <c r="V858" s="9">
        <f>IF(AND($A858&gt;=VLOOKUP(YEAR($A858),'Festive dates'!$A$2:$J$5,9,FALSE),$A858&lt;=VLOOKUP(YEAR($A858),'Festive dates'!$A$2:$J$5,10,FALSE)),1,0)</f>
        <v>0</v>
      </c>
      <c r="W858" s="9">
        <f>IF($A858=VLOOKUP(YEAR($A858),'Festive dates'!$A$2:$J$5,7,FALSE),1,0)</f>
        <v>0</v>
      </c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</row>
    <row r="859" spans="1:51">
      <c r="A859" s="8">
        <v>45874</v>
      </c>
      <c r="B859" s="9">
        <v>0</v>
      </c>
      <c r="C859" s="9">
        <v>0</v>
      </c>
      <c r="D859" s="9">
        <v>0</v>
      </c>
      <c r="E859" s="9">
        <v>0</v>
      </c>
      <c r="F859" s="9">
        <v>0</v>
      </c>
      <c r="G859" s="9">
        <v>0</v>
      </c>
      <c r="H859" s="9">
        <v>0</v>
      </c>
      <c r="I859" s="9">
        <v>0</v>
      </c>
      <c r="J859" s="9">
        <v>0</v>
      </c>
      <c r="K859" s="9">
        <v>0</v>
      </c>
      <c r="L859" s="9">
        <v>0</v>
      </c>
      <c r="M859" s="9">
        <v>0</v>
      </c>
      <c r="N859" s="9">
        <v>0</v>
      </c>
      <c r="O859" s="9">
        <v>0</v>
      </c>
      <c r="P859" s="9">
        <v>0</v>
      </c>
      <c r="Q859" s="9">
        <f>MAX(-20,MIN(10,$A859-VLOOKUP(YEAR($A859),'Festive dates'!$A$2:$J$5,8,FALSE)))</f>
        <v>-20</v>
      </c>
      <c r="R859" s="9">
        <f>IF(AND($A859&gt;VLOOKUP(YEAR($A859),'Festive dates'!$A$2:$J$5,2,FALSE),$A859&lt;VLOOKUP(YEAR($A859),'Festive dates'!$A$2:$J$5,3,FALSE)),1,0)</f>
        <v>0</v>
      </c>
      <c r="S859" s="9">
        <f>IF($A859=VLOOKUP(YEAR($A859),'Festive dates'!$A$2:$J$5,2,FALSE),1,0)</f>
        <v>0</v>
      </c>
      <c r="T859" s="9">
        <f>IF($A859=VLOOKUP(YEAR($A859),'Festive dates'!$A$2:$J$5,3,FALSE),1,0)</f>
        <v>0</v>
      </c>
      <c r="U859" s="9">
        <f>IF($A859=VLOOKUP(YEAR($A859),'Festive dates'!$A$2:$J$5,4,FALSE),1,0)</f>
        <v>0</v>
      </c>
      <c r="V859" s="9">
        <f>IF(AND($A859&gt;=VLOOKUP(YEAR($A859),'Festive dates'!$A$2:$J$5,9,FALSE),$A859&lt;=VLOOKUP(YEAR($A859),'Festive dates'!$A$2:$J$5,10,FALSE)),1,0)</f>
        <v>0</v>
      </c>
      <c r="W859" s="9">
        <f>IF($A859=VLOOKUP(YEAR($A859),'Festive dates'!$A$2:$J$5,7,FALSE),1,0)</f>
        <v>0</v>
      </c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</row>
    <row r="860" spans="1:51">
      <c r="A860" s="8">
        <v>45875</v>
      </c>
      <c r="B860" s="9">
        <v>0</v>
      </c>
      <c r="C860" s="9">
        <v>0</v>
      </c>
      <c r="D860" s="9">
        <v>0</v>
      </c>
      <c r="E860" s="9">
        <v>0</v>
      </c>
      <c r="F860" s="9">
        <v>0</v>
      </c>
      <c r="G860" s="9">
        <v>0</v>
      </c>
      <c r="H860" s="9">
        <v>0</v>
      </c>
      <c r="I860" s="9">
        <v>0</v>
      </c>
      <c r="J860" s="9">
        <v>0</v>
      </c>
      <c r="K860" s="9">
        <v>0</v>
      </c>
      <c r="L860" s="9">
        <v>0</v>
      </c>
      <c r="M860" s="9">
        <v>0</v>
      </c>
      <c r="N860" s="9">
        <v>0</v>
      </c>
      <c r="O860" s="9">
        <v>0</v>
      </c>
      <c r="P860" s="9">
        <v>0</v>
      </c>
      <c r="Q860" s="9">
        <f>MAX(-20,MIN(10,$A860-VLOOKUP(YEAR($A860),'Festive dates'!$A$2:$J$5,8,FALSE)))</f>
        <v>-20</v>
      </c>
      <c r="R860" s="9">
        <f>IF(AND($A860&gt;VLOOKUP(YEAR($A860),'Festive dates'!$A$2:$J$5,2,FALSE),$A860&lt;VLOOKUP(YEAR($A860),'Festive dates'!$A$2:$J$5,3,FALSE)),1,0)</f>
        <v>0</v>
      </c>
      <c r="S860" s="9">
        <f>IF($A860=VLOOKUP(YEAR($A860),'Festive dates'!$A$2:$J$5,2,FALSE),1,0)</f>
        <v>0</v>
      </c>
      <c r="T860" s="9">
        <f>IF($A860=VLOOKUP(YEAR($A860),'Festive dates'!$A$2:$J$5,3,FALSE),1,0)</f>
        <v>0</v>
      </c>
      <c r="U860" s="9">
        <f>IF($A860=VLOOKUP(YEAR($A860),'Festive dates'!$A$2:$J$5,4,FALSE),1,0)</f>
        <v>0</v>
      </c>
      <c r="V860" s="9">
        <f>IF(AND($A860&gt;=VLOOKUP(YEAR($A860),'Festive dates'!$A$2:$J$5,9,FALSE),$A860&lt;=VLOOKUP(YEAR($A860),'Festive dates'!$A$2:$J$5,10,FALSE)),1,0)</f>
        <v>0</v>
      </c>
      <c r="W860" s="9">
        <f>IF($A860=VLOOKUP(YEAR($A860),'Festive dates'!$A$2:$J$5,7,FALSE),1,0)</f>
        <v>0</v>
      </c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</row>
    <row r="861" spans="1:51">
      <c r="A861" s="8">
        <v>45876</v>
      </c>
      <c r="B861" s="9">
        <v>0</v>
      </c>
      <c r="C861" s="9">
        <v>0</v>
      </c>
      <c r="D861" s="9">
        <v>0</v>
      </c>
      <c r="E861" s="9">
        <v>0</v>
      </c>
      <c r="F861" s="9">
        <v>0</v>
      </c>
      <c r="G861" s="9">
        <v>0</v>
      </c>
      <c r="H861" s="9">
        <v>0</v>
      </c>
      <c r="I861" s="9">
        <v>0</v>
      </c>
      <c r="J861" s="9">
        <v>0</v>
      </c>
      <c r="K861" s="9">
        <v>0</v>
      </c>
      <c r="L861" s="9">
        <v>0</v>
      </c>
      <c r="M861" s="9">
        <v>0</v>
      </c>
      <c r="N861" s="9">
        <v>0</v>
      </c>
      <c r="O861" s="9">
        <v>0</v>
      </c>
      <c r="P861" s="9">
        <v>0</v>
      </c>
      <c r="Q861" s="9">
        <f>MAX(-20,MIN(10,$A861-VLOOKUP(YEAR($A861),'Festive dates'!$A$2:$J$5,8,FALSE)))</f>
        <v>-20</v>
      </c>
      <c r="R861" s="9">
        <f>IF(AND($A861&gt;VLOOKUP(YEAR($A861),'Festive dates'!$A$2:$J$5,2,FALSE),$A861&lt;VLOOKUP(YEAR($A861),'Festive dates'!$A$2:$J$5,3,FALSE)),1,0)</f>
        <v>0</v>
      </c>
      <c r="S861" s="9">
        <f>IF($A861=VLOOKUP(YEAR($A861),'Festive dates'!$A$2:$J$5,2,FALSE),1,0)</f>
        <v>0</v>
      </c>
      <c r="T861" s="9">
        <f>IF($A861=VLOOKUP(YEAR($A861),'Festive dates'!$A$2:$J$5,3,FALSE),1,0)</f>
        <v>0</v>
      </c>
      <c r="U861" s="9">
        <f>IF($A861=VLOOKUP(YEAR($A861),'Festive dates'!$A$2:$J$5,4,FALSE),1,0)</f>
        <v>0</v>
      </c>
      <c r="V861" s="9">
        <f>IF(AND($A861&gt;=VLOOKUP(YEAR($A861),'Festive dates'!$A$2:$J$5,9,FALSE),$A861&lt;=VLOOKUP(YEAR($A861),'Festive dates'!$A$2:$J$5,10,FALSE)),1,0)</f>
        <v>0</v>
      </c>
      <c r="W861" s="9">
        <f>IF($A861=VLOOKUP(YEAR($A861),'Festive dates'!$A$2:$J$5,7,FALSE),1,0)</f>
        <v>0</v>
      </c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</row>
    <row r="862" spans="1:51">
      <c r="A862" s="8">
        <v>45877</v>
      </c>
      <c r="B862" s="9">
        <v>0</v>
      </c>
      <c r="C862" s="9">
        <v>0</v>
      </c>
      <c r="D862" s="9">
        <v>0</v>
      </c>
      <c r="E862" s="9">
        <v>0</v>
      </c>
      <c r="F862" s="9">
        <v>0</v>
      </c>
      <c r="G862" s="9">
        <v>0</v>
      </c>
      <c r="H862" s="9">
        <v>0</v>
      </c>
      <c r="I862" s="9">
        <v>0</v>
      </c>
      <c r="J862" s="9">
        <v>0</v>
      </c>
      <c r="K862" s="9">
        <v>0</v>
      </c>
      <c r="L862" s="9">
        <v>0</v>
      </c>
      <c r="M862" s="9">
        <v>0</v>
      </c>
      <c r="N862" s="9">
        <v>0</v>
      </c>
      <c r="O862" s="9">
        <v>0</v>
      </c>
      <c r="P862" s="9">
        <v>0</v>
      </c>
      <c r="Q862" s="9">
        <f>MAX(-20,MIN(10,$A862-VLOOKUP(YEAR($A862),'Festive dates'!$A$2:$J$5,8,FALSE)))</f>
        <v>-20</v>
      </c>
      <c r="R862" s="9">
        <f>IF(AND($A862&gt;VLOOKUP(YEAR($A862),'Festive dates'!$A$2:$J$5,2,FALSE),$A862&lt;VLOOKUP(YEAR($A862),'Festive dates'!$A$2:$J$5,3,FALSE)),1,0)</f>
        <v>0</v>
      </c>
      <c r="S862" s="9">
        <f>IF($A862=VLOOKUP(YEAR($A862),'Festive dates'!$A$2:$J$5,2,FALSE),1,0)</f>
        <v>0</v>
      </c>
      <c r="T862" s="9">
        <f>IF($A862=VLOOKUP(YEAR($A862),'Festive dates'!$A$2:$J$5,3,FALSE),1,0)</f>
        <v>0</v>
      </c>
      <c r="U862" s="9">
        <f>IF($A862=VLOOKUP(YEAR($A862),'Festive dates'!$A$2:$J$5,4,FALSE),1,0)</f>
        <v>0</v>
      </c>
      <c r="V862" s="9">
        <f>IF(AND($A862&gt;=VLOOKUP(YEAR($A862),'Festive dates'!$A$2:$J$5,9,FALSE),$A862&lt;=VLOOKUP(YEAR($A862),'Festive dates'!$A$2:$J$5,10,FALSE)),1,0)</f>
        <v>0</v>
      </c>
      <c r="W862" s="9">
        <f>IF($A862=VLOOKUP(YEAR($A862),'Festive dates'!$A$2:$J$5,7,FALSE),1,0)</f>
        <v>0</v>
      </c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</row>
    <row r="863" spans="1:51">
      <c r="A863" s="8">
        <v>45878</v>
      </c>
      <c r="B863" s="9">
        <v>0</v>
      </c>
      <c r="C863" s="9">
        <v>0</v>
      </c>
      <c r="D863" s="9">
        <v>0</v>
      </c>
      <c r="E863" s="9">
        <v>0</v>
      </c>
      <c r="F863" s="9">
        <v>0</v>
      </c>
      <c r="G863" s="9">
        <v>0</v>
      </c>
      <c r="H863" s="9">
        <v>0</v>
      </c>
      <c r="I863" s="9">
        <v>0</v>
      </c>
      <c r="J863" s="9">
        <v>0</v>
      </c>
      <c r="K863" s="9">
        <v>0</v>
      </c>
      <c r="L863" s="9">
        <v>0</v>
      </c>
      <c r="M863" s="9">
        <v>0</v>
      </c>
      <c r="N863" s="9">
        <v>0</v>
      </c>
      <c r="O863" s="9">
        <v>1</v>
      </c>
      <c r="P863" s="9">
        <v>0</v>
      </c>
      <c r="Q863" s="9">
        <f>MAX(-20,MIN(10,$A863-VLOOKUP(YEAR($A863),'Festive dates'!$A$2:$J$5,8,FALSE)))</f>
        <v>-20</v>
      </c>
      <c r="R863" s="9">
        <f>IF(AND($A863&gt;VLOOKUP(YEAR($A863),'Festive dates'!$A$2:$J$5,2,FALSE),$A863&lt;VLOOKUP(YEAR($A863),'Festive dates'!$A$2:$J$5,3,FALSE)),1,0)</f>
        <v>0</v>
      </c>
      <c r="S863" s="9">
        <f>IF($A863=VLOOKUP(YEAR($A863),'Festive dates'!$A$2:$J$5,2,FALSE),1,0)</f>
        <v>0</v>
      </c>
      <c r="T863" s="9">
        <f>IF($A863=VLOOKUP(YEAR($A863),'Festive dates'!$A$2:$J$5,3,FALSE),1,0)</f>
        <v>0</v>
      </c>
      <c r="U863" s="9">
        <f>IF($A863=VLOOKUP(YEAR($A863),'Festive dates'!$A$2:$J$5,4,FALSE),1,0)</f>
        <v>0</v>
      </c>
      <c r="V863" s="9">
        <f>IF(AND($A863&gt;=VLOOKUP(YEAR($A863),'Festive dates'!$A$2:$J$5,9,FALSE),$A863&lt;=VLOOKUP(YEAR($A863),'Festive dates'!$A$2:$J$5,10,FALSE)),1,0)</f>
        <v>0</v>
      </c>
      <c r="W863" s="9">
        <f>IF($A863=VLOOKUP(YEAR($A863),'Festive dates'!$A$2:$J$5,7,FALSE),1,0)</f>
        <v>0</v>
      </c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</row>
    <row r="864" spans="1:51">
      <c r="A864" s="8">
        <v>45879</v>
      </c>
      <c r="B864" s="9">
        <v>0</v>
      </c>
      <c r="C864" s="9">
        <v>0</v>
      </c>
      <c r="D864" s="9">
        <v>0</v>
      </c>
      <c r="E864" s="9">
        <v>0</v>
      </c>
      <c r="F864" s="9">
        <v>0</v>
      </c>
      <c r="G864" s="9">
        <v>0</v>
      </c>
      <c r="H864" s="9">
        <v>0</v>
      </c>
      <c r="I864" s="9">
        <v>0</v>
      </c>
      <c r="J864" s="9">
        <v>0</v>
      </c>
      <c r="K864" s="9">
        <v>0</v>
      </c>
      <c r="L864" s="9">
        <v>0</v>
      </c>
      <c r="M864" s="9">
        <v>0</v>
      </c>
      <c r="N864" s="9">
        <v>0</v>
      </c>
      <c r="O864" s="9">
        <v>0</v>
      </c>
      <c r="P864" s="9">
        <v>0</v>
      </c>
      <c r="Q864" s="9">
        <f>MAX(-20,MIN(10,$A864-VLOOKUP(YEAR($A864),'Festive dates'!$A$2:$J$5,8,FALSE)))</f>
        <v>-20</v>
      </c>
      <c r="R864" s="9">
        <f>IF(AND($A864&gt;VLOOKUP(YEAR($A864),'Festive dates'!$A$2:$J$5,2,FALSE),$A864&lt;VLOOKUP(YEAR($A864),'Festive dates'!$A$2:$J$5,3,FALSE)),1,0)</f>
        <v>0</v>
      </c>
      <c r="S864" s="9">
        <f>IF($A864=VLOOKUP(YEAR($A864),'Festive dates'!$A$2:$J$5,2,FALSE),1,0)</f>
        <v>0</v>
      </c>
      <c r="T864" s="9">
        <f>IF($A864=VLOOKUP(YEAR($A864),'Festive dates'!$A$2:$J$5,3,FALSE),1,0)</f>
        <v>0</v>
      </c>
      <c r="U864" s="9">
        <f>IF($A864=VLOOKUP(YEAR($A864),'Festive dates'!$A$2:$J$5,4,FALSE),1,0)</f>
        <v>0</v>
      </c>
      <c r="V864" s="9">
        <f>IF(AND($A864&gt;=VLOOKUP(YEAR($A864),'Festive dates'!$A$2:$J$5,9,FALSE),$A864&lt;=VLOOKUP(YEAR($A864),'Festive dates'!$A$2:$J$5,10,FALSE)),1,0)</f>
        <v>0</v>
      </c>
      <c r="W864" s="9">
        <f>IF($A864=VLOOKUP(YEAR($A864),'Festive dates'!$A$2:$J$5,7,FALSE),1,0)</f>
        <v>0</v>
      </c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</row>
    <row r="865" spans="1:51">
      <c r="A865" s="8">
        <v>45880</v>
      </c>
      <c r="B865" s="9">
        <v>0</v>
      </c>
      <c r="C865" s="9">
        <v>0</v>
      </c>
      <c r="D865" s="9">
        <v>0</v>
      </c>
      <c r="E865" s="9">
        <v>0</v>
      </c>
      <c r="F865" s="9">
        <v>0</v>
      </c>
      <c r="G865" s="9">
        <v>0</v>
      </c>
      <c r="H865" s="9">
        <v>0</v>
      </c>
      <c r="I865" s="9">
        <v>0</v>
      </c>
      <c r="J865" s="9">
        <v>0</v>
      </c>
      <c r="K865" s="9">
        <v>0</v>
      </c>
      <c r="L865" s="9">
        <v>0</v>
      </c>
      <c r="M865" s="9">
        <v>0</v>
      </c>
      <c r="N865" s="9">
        <v>0</v>
      </c>
      <c r="O865" s="9">
        <v>0</v>
      </c>
      <c r="P865" s="9">
        <v>0</v>
      </c>
      <c r="Q865" s="9">
        <f>MAX(-20,MIN(10,$A865-VLOOKUP(YEAR($A865),'Festive dates'!$A$2:$J$5,8,FALSE)))</f>
        <v>-20</v>
      </c>
      <c r="R865" s="9">
        <f>IF(AND($A865&gt;VLOOKUP(YEAR($A865),'Festive dates'!$A$2:$J$5,2,FALSE),$A865&lt;VLOOKUP(YEAR($A865),'Festive dates'!$A$2:$J$5,3,FALSE)),1,0)</f>
        <v>0</v>
      </c>
      <c r="S865" s="9">
        <f>IF($A865=VLOOKUP(YEAR($A865),'Festive dates'!$A$2:$J$5,2,FALSE),1,0)</f>
        <v>0</v>
      </c>
      <c r="T865" s="9">
        <f>IF($A865=VLOOKUP(YEAR($A865),'Festive dates'!$A$2:$J$5,3,FALSE),1,0)</f>
        <v>0</v>
      </c>
      <c r="U865" s="9">
        <f>IF($A865=VLOOKUP(YEAR($A865),'Festive dates'!$A$2:$J$5,4,FALSE),1,0)</f>
        <v>0</v>
      </c>
      <c r="V865" s="9">
        <f>IF(AND($A865&gt;=VLOOKUP(YEAR($A865),'Festive dates'!$A$2:$J$5,9,FALSE),$A865&lt;=VLOOKUP(YEAR($A865),'Festive dates'!$A$2:$J$5,10,FALSE)),1,0)</f>
        <v>0</v>
      </c>
      <c r="W865" s="9">
        <f>IF($A865=VLOOKUP(YEAR($A865),'Festive dates'!$A$2:$J$5,7,FALSE),1,0)</f>
        <v>0</v>
      </c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</row>
    <row r="866" spans="1:51">
      <c r="A866" s="8">
        <v>45881</v>
      </c>
      <c r="B866" s="9">
        <v>0</v>
      </c>
      <c r="C866" s="9">
        <v>0</v>
      </c>
      <c r="D866" s="9">
        <v>0</v>
      </c>
      <c r="E866" s="9">
        <v>0</v>
      </c>
      <c r="F866" s="9">
        <v>0</v>
      </c>
      <c r="G866" s="9">
        <v>0</v>
      </c>
      <c r="H866" s="9">
        <v>0</v>
      </c>
      <c r="I866" s="9">
        <v>0</v>
      </c>
      <c r="J866" s="9">
        <v>0</v>
      </c>
      <c r="K866" s="9">
        <v>0</v>
      </c>
      <c r="L866" s="9">
        <v>0</v>
      </c>
      <c r="M866" s="9">
        <v>0</v>
      </c>
      <c r="N866" s="9">
        <v>0</v>
      </c>
      <c r="O866" s="9">
        <v>0</v>
      </c>
      <c r="P866" s="9">
        <v>0</v>
      </c>
      <c r="Q866" s="9">
        <f>MAX(-20,MIN(10,$A866-VLOOKUP(YEAR($A866),'Festive dates'!$A$2:$J$5,8,FALSE)))</f>
        <v>-20</v>
      </c>
      <c r="R866" s="9">
        <f>IF(AND($A866&gt;VLOOKUP(YEAR($A866),'Festive dates'!$A$2:$J$5,2,FALSE),$A866&lt;VLOOKUP(YEAR($A866),'Festive dates'!$A$2:$J$5,3,FALSE)),1,0)</f>
        <v>0</v>
      </c>
      <c r="S866" s="9">
        <f>IF($A866=VLOOKUP(YEAR($A866),'Festive dates'!$A$2:$J$5,2,FALSE),1,0)</f>
        <v>0</v>
      </c>
      <c r="T866" s="9">
        <f>IF($A866=VLOOKUP(YEAR($A866),'Festive dates'!$A$2:$J$5,3,FALSE),1,0)</f>
        <v>0</v>
      </c>
      <c r="U866" s="9">
        <f>IF($A866=VLOOKUP(YEAR($A866),'Festive dates'!$A$2:$J$5,4,FALSE),1,0)</f>
        <v>0</v>
      </c>
      <c r="V866" s="9">
        <f>IF(AND($A866&gt;=VLOOKUP(YEAR($A866),'Festive dates'!$A$2:$J$5,9,FALSE),$A866&lt;=VLOOKUP(YEAR($A866),'Festive dates'!$A$2:$J$5,10,FALSE)),1,0)</f>
        <v>0</v>
      </c>
      <c r="W866" s="9">
        <f>IF($A866=VLOOKUP(YEAR($A866),'Festive dates'!$A$2:$J$5,7,FALSE),1,0)</f>
        <v>0</v>
      </c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</row>
    <row r="867" spans="1:51">
      <c r="A867" s="8">
        <v>45882</v>
      </c>
      <c r="B867" s="9">
        <v>0</v>
      </c>
      <c r="C867" s="9">
        <v>0</v>
      </c>
      <c r="D867" s="9">
        <v>0</v>
      </c>
      <c r="E867" s="9">
        <v>0</v>
      </c>
      <c r="F867" s="9">
        <v>0</v>
      </c>
      <c r="G867" s="9">
        <v>0</v>
      </c>
      <c r="H867" s="9">
        <v>0</v>
      </c>
      <c r="I867" s="9">
        <v>0</v>
      </c>
      <c r="J867" s="9">
        <v>0</v>
      </c>
      <c r="K867" s="9">
        <v>0</v>
      </c>
      <c r="L867" s="9">
        <v>0</v>
      </c>
      <c r="M867" s="9">
        <v>0</v>
      </c>
      <c r="N867" s="9">
        <v>0</v>
      </c>
      <c r="O867" s="9">
        <v>0</v>
      </c>
      <c r="P867" s="9">
        <v>0</v>
      </c>
      <c r="Q867" s="9">
        <f>MAX(-20,MIN(10,$A867-VLOOKUP(YEAR($A867),'Festive dates'!$A$2:$J$5,8,FALSE)))</f>
        <v>-20</v>
      </c>
      <c r="R867" s="9">
        <f>IF(AND($A867&gt;VLOOKUP(YEAR($A867),'Festive dates'!$A$2:$J$5,2,FALSE),$A867&lt;VLOOKUP(YEAR($A867),'Festive dates'!$A$2:$J$5,3,FALSE)),1,0)</f>
        <v>0</v>
      </c>
      <c r="S867" s="9">
        <f>IF($A867=VLOOKUP(YEAR($A867),'Festive dates'!$A$2:$J$5,2,FALSE),1,0)</f>
        <v>0</v>
      </c>
      <c r="T867" s="9">
        <f>IF($A867=VLOOKUP(YEAR($A867),'Festive dates'!$A$2:$J$5,3,FALSE),1,0)</f>
        <v>0</v>
      </c>
      <c r="U867" s="9">
        <f>IF($A867=VLOOKUP(YEAR($A867),'Festive dates'!$A$2:$J$5,4,FALSE),1,0)</f>
        <v>0</v>
      </c>
      <c r="V867" s="9">
        <f>IF(AND($A867&gt;=VLOOKUP(YEAR($A867),'Festive dates'!$A$2:$J$5,9,FALSE),$A867&lt;=VLOOKUP(YEAR($A867),'Festive dates'!$A$2:$J$5,10,FALSE)),1,0)</f>
        <v>0</v>
      </c>
      <c r="W867" s="9">
        <f>IF($A867=VLOOKUP(YEAR($A867),'Festive dates'!$A$2:$J$5,7,FALSE),1,0)</f>
        <v>0</v>
      </c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</row>
    <row r="868" spans="1:51">
      <c r="A868" s="8">
        <v>45883</v>
      </c>
      <c r="B868" s="9">
        <v>0</v>
      </c>
      <c r="C868" s="9">
        <v>0</v>
      </c>
      <c r="D868" s="9">
        <v>0</v>
      </c>
      <c r="E868" s="9">
        <v>0</v>
      </c>
      <c r="F868" s="9">
        <v>0</v>
      </c>
      <c r="G868" s="9">
        <v>0</v>
      </c>
      <c r="H868" s="9">
        <v>0</v>
      </c>
      <c r="I868" s="9">
        <v>0</v>
      </c>
      <c r="J868" s="9">
        <v>0</v>
      </c>
      <c r="K868" s="9">
        <v>0</v>
      </c>
      <c r="L868" s="9">
        <v>0</v>
      </c>
      <c r="M868" s="9">
        <v>0</v>
      </c>
      <c r="N868" s="9">
        <v>0</v>
      </c>
      <c r="O868" s="9">
        <v>0</v>
      </c>
      <c r="P868" s="9">
        <v>0</v>
      </c>
      <c r="Q868" s="9">
        <f>MAX(-20,MIN(10,$A868-VLOOKUP(YEAR($A868),'Festive dates'!$A$2:$J$5,8,FALSE)))</f>
        <v>-20</v>
      </c>
      <c r="R868" s="9">
        <f>IF(AND($A868&gt;VLOOKUP(YEAR($A868),'Festive dates'!$A$2:$J$5,2,FALSE),$A868&lt;VLOOKUP(YEAR($A868),'Festive dates'!$A$2:$J$5,3,FALSE)),1,0)</f>
        <v>0</v>
      </c>
      <c r="S868" s="9">
        <f>IF($A868=VLOOKUP(YEAR($A868),'Festive dates'!$A$2:$J$5,2,FALSE),1,0)</f>
        <v>0</v>
      </c>
      <c r="T868" s="9">
        <f>IF($A868=VLOOKUP(YEAR($A868),'Festive dates'!$A$2:$J$5,3,FALSE),1,0)</f>
        <v>0</v>
      </c>
      <c r="U868" s="9">
        <f>IF($A868=VLOOKUP(YEAR($A868),'Festive dates'!$A$2:$J$5,4,FALSE),1,0)</f>
        <v>0</v>
      </c>
      <c r="V868" s="9">
        <f>IF(AND($A868&gt;=VLOOKUP(YEAR($A868),'Festive dates'!$A$2:$J$5,9,FALSE),$A868&lt;=VLOOKUP(YEAR($A868),'Festive dates'!$A$2:$J$5,10,FALSE)),1,0)</f>
        <v>0</v>
      </c>
      <c r="W868" s="9">
        <f>IF($A868=VLOOKUP(YEAR($A868),'Festive dates'!$A$2:$J$5,7,FALSE),1,0)</f>
        <v>0</v>
      </c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</row>
    <row r="869" spans="1:51">
      <c r="A869" s="8">
        <v>45884</v>
      </c>
      <c r="B869" s="9">
        <v>0</v>
      </c>
      <c r="C869" s="9">
        <v>0</v>
      </c>
      <c r="D869" s="9">
        <v>0</v>
      </c>
      <c r="E869" s="9">
        <v>0</v>
      </c>
      <c r="F869" s="9">
        <v>0</v>
      </c>
      <c r="G869" s="9">
        <v>0</v>
      </c>
      <c r="H869" s="9">
        <v>0</v>
      </c>
      <c r="I869" s="9">
        <v>0</v>
      </c>
      <c r="J869" s="9">
        <v>0</v>
      </c>
      <c r="K869" s="9">
        <v>0</v>
      </c>
      <c r="L869" s="9">
        <v>0</v>
      </c>
      <c r="M869" s="9">
        <v>0</v>
      </c>
      <c r="N869" s="9">
        <v>0</v>
      </c>
      <c r="O869" s="9">
        <v>0</v>
      </c>
      <c r="P869" s="9">
        <v>0</v>
      </c>
      <c r="Q869" s="9">
        <f>MAX(-20,MIN(10,$A869-VLOOKUP(YEAR($A869),'Festive dates'!$A$2:$J$5,8,FALSE)))</f>
        <v>-20</v>
      </c>
      <c r="R869" s="9">
        <f>IF(AND($A869&gt;VLOOKUP(YEAR($A869),'Festive dates'!$A$2:$J$5,2,FALSE),$A869&lt;VLOOKUP(YEAR($A869),'Festive dates'!$A$2:$J$5,3,FALSE)),1,0)</f>
        <v>0</v>
      </c>
      <c r="S869" s="9">
        <f>IF($A869=VLOOKUP(YEAR($A869),'Festive dates'!$A$2:$J$5,2,FALSE),1,0)</f>
        <v>0</v>
      </c>
      <c r="T869" s="9">
        <f>IF($A869=VLOOKUP(YEAR($A869),'Festive dates'!$A$2:$J$5,3,FALSE),1,0)</f>
        <v>0</v>
      </c>
      <c r="U869" s="9">
        <f>IF($A869=VLOOKUP(YEAR($A869),'Festive dates'!$A$2:$J$5,4,FALSE),1,0)</f>
        <v>0</v>
      </c>
      <c r="V869" s="9">
        <f>IF(AND($A869&gt;=VLOOKUP(YEAR($A869),'Festive dates'!$A$2:$J$5,9,FALSE),$A869&lt;=VLOOKUP(YEAR($A869),'Festive dates'!$A$2:$J$5,10,FALSE)),1,0)</f>
        <v>0</v>
      </c>
      <c r="W869" s="9">
        <f>IF($A869=VLOOKUP(YEAR($A869),'Festive dates'!$A$2:$J$5,7,FALSE),1,0)</f>
        <v>0</v>
      </c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</row>
    <row r="870" spans="1:51">
      <c r="A870" s="8">
        <v>45885</v>
      </c>
      <c r="B870" s="9">
        <v>0</v>
      </c>
      <c r="C870" s="9">
        <v>0</v>
      </c>
      <c r="D870" s="9">
        <v>1</v>
      </c>
      <c r="E870" s="9">
        <v>0</v>
      </c>
      <c r="F870" s="9">
        <v>0</v>
      </c>
      <c r="G870" s="9">
        <v>0</v>
      </c>
      <c r="H870" s="9">
        <v>0</v>
      </c>
      <c r="I870" s="9">
        <v>0</v>
      </c>
      <c r="J870" s="9">
        <v>0</v>
      </c>
      <c r="K870" s="9">
        <v>0</v>
      </c>
      <c r="L870" s="9">
        <v>0</v>
      </c>
      <c r="M870" s="9">
        <v>0</v>
      </c>
      <c r="N870" s="9">
        <v>0</v>
      </c>
      <c r="O870" s="9">
        <v>0</v>
      </c>
      <c r="P870" s="9">
        <v>0</v>
      </c>
      <c r="Q870" s="9">
        <f>MAX(-20,MIN(10,$A870-VLOOKUP(YEAR($A870),'Festive dates'!$A$2:$J$5,8,FALSE)))</f>
        <v>-20</v>
      </c>
      <c r="R870" s="9">
        <f>IF(AND($A870&gt;VLOOKUP(YEAR($A870),'Festive dates'!$A$2:$J$5,2,FALSE),$A870&lt;VLOOKUP(YEAR($A870),'Festive dates'!$A$2:$J$5,3,FALSE)),1,0)</f>
        <v>0</v>
      </c>
      <c r="S870" s="9">
        <f>IF($A870=VLOOKUP(YEAR($A870),'Festive dates'!$A$2:$J$5,2,FALSE),1,0)</f>
        <v>0</v>
      </c>
      <c r="T870" s="9">
        <f>IF($A870=VLOOKUP(YEAR($A870),'Festive dates'!$A$2:$J$5,3,FALSE),1,0)</f>
        <v>0</v>
      </c>
      <c r="U870" s="9">
        <f>IF($A870=VLOOKUP(YEAR($A870),'Festive dates'!$A$2:$J$5,4,FALSE),1,0)</f>
        <v>0</v>
      </c>
      <c r="V870" s="9">
        <f>IF(AND($A870&gt;=VLOOKUP(YEAR($A870),'Festive dates'!$A$2:$J$5,9,FALSE),$A870&lt;=VLOOKUP(YEAR($A870),'Festive dates'!$A$2:$J$5,10,FALSE)),1,0)</f>
        <v>0</v>
      </c>
      <c r="W870" s="9">
        <f>IF($A870=VLOOKUP(YEAR($A870),'Festive dates'!$A$2:$J$5,7,FALSE),1,0)</f>
        <v>0</v>
      </c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</row>
    <row r="871" spans="1:51">
      <c r="A871" s="8">
        <v>45886</v>
      </c>
      <c r="B871" s="9">
        <v>0</v>
      </c>
      <c r="C871" s="9">
        <v>0</v>
      </c>
      <c r="D871" s="9">
        <v>0</v>
      </c>
      <c r="E871" s="9">
        <v>0</v>
      </c>
      <c r="F871" s="9">
        <v>0</v>
      </c>
      <c r="G871" s="9">
        <v>0</v>
      </c>
      <c r="H871" s="9">
        <v>0</v>
      </c>
      <c r="I871" s="9">
        <v>0</v>
      </c>
      <c r="J871" s="9">
        <v>0</v>
      </c>
      <c r="K871" s="9">
        <v>0</v>
      </c>
      <c r="L871" s="9">
        <v>0</v>
      </c>
      <c r="M871" s="9">
        <v>0</v>
      </c>
      <c r="N871" s="9">
        <v>0</v>
      </c>
      <c r="O871" s="9">
        <v>0</v>
      </c>
      <c r="P871" s="9">
        <v>0</v>
      </c>
      <c r="Q871" s="9">
        <f>MAX(-20,MIN(10,$A871-VLOOKUP(YEAR($A871),'Festive dates'!$A$2:$J$5,8,FALSE)))</f>
        <v>-20</v>
      </c>
      <c r="R871" s="9">
        <f>IF(AND($A871&gt;VLOOKUP(YEAR($A871),'Festive dates'!$A$2:$J$5,2,FALSE),$A871&lt;VLOOKUP(YEAR($A871),'Festive dates'!$A$2:$J$5,3,FALSE)),1,0)</f>
        <v>0</v>
      </c>
      <c r="S871" s="9">
        <f>IF($A871=VLOOKUP(YEAR($A871),'Festive dates'!$A$2:$J$5,2,FALSE),1,0)</f>
        <v>0</v>
      </c>
      <c r="T871" s="9">
        <f>IF($A871=VLOOKUP(YEAR($A871),'Festive dates'!$A$2:$J$5,3,FALSE),1,0)</f>
        <v>0</v>
      </c>
      <c r="U871" s="9">
        <f>IF($A871=VLOOKUP(YEAR($A871),'Festive dates'!$A$2:$J$5,4,FALSE),1,0)</f>
        <v>0</v>
      </c>
      <c r="V871" s="9">
        <f>IF(AND($A871&gt;=VLOOKUP(YEAR($A871),'Festive dates'!$A$2:$J$5,9,FALSE),$A871&lt;=VLOOKUP(YEAR($A871),'Festive dates'!$A$2:$J$5,10,FALSE)),1,0)</f>
        <v>0</v>
      </c>
      <c r="W871" s="9">
        <f>IF($A871=VLOOKUP(YEAR($A871),'Festive dates'!$A$2:$J$5,7,FALSE),1,0)</f>
        <v>0</v>
      </c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</row>
    <row r="872" spans="1:51">
      <c r="A872" s="8">
        <v>45887</v>
      </c>
      <c r="B872" s="9">
        <v>0</v>
      </c>
      <c r="C872" s="9">
        <v>0</v>
      </c>
      <c r="D872" s="9">
        <v>0</v>
      </c>
      <c r="E872" s="9">
        <v>0</v>
      </c>
      <c r="F872" s="9">
        <v>0</v>
      </c>
      <c r="G872" s="9">
        <v>0</v>
      </c>
      <c r="H872" s="9">
        <v>0</v>
      </c>
      <c r="I872" s="9">
        <v>0</v>
      </c>
      <c r="J872" s="9">
        <v>0</v>
      </c>
      <c r="K872" s="9">
        <v>0</v>
      </c>
      <c r="L872" s="9">
        <v>0</v>
      </c>
      <c r="M872" s="9">
        <v>0</v>
      </c>
      <c r="N872" s="9">
        <v>0</v>
      </c>
      <c r="O872" s="9">
        <v>0</v>
      </c>
      <c r="P872" s="9">
        <v>0</v>
      </c>
      <c r="Q872" s="9">
        <f>MAX(-20,MIN(10,$A872-VLOOKUP(YEAR($A872),'Festive dates'!$A$2:$J$5,8,FALSE)))</f>
        <v>-20</v>
      </c>
      <c r="R872" s="9">
        <f>IF(AND($A872&gt;VLOOKUP(YEAR($A872),'Festive dates'!$A$2:$J$5,2,FALSE),$A872&lt;VLOOKUP(YEAR($A872),'Festive dates'!$A$2:$J$5,3,FALSE)),1,0)</f>
        <v>0</v>
      </c>
      <c r="S872" s="9">
        <f>IF($A872=VLOOKUP(YEAR($A872),'Festive dates'!$A$2:$J$5,2,FALSE),1,0)</f>
        <v>0</v>
      </c>
      <c r="T872" s="9">
        <f>IF($A872=VLOOKUP(YEAR($A872),'Festive dates'!$A$2:$J$5,3,FALSE),1,0)</f>
        <v>0</v>
      </c>
      <c r="U872" s="9">
        <f>IF($A872=VLOOKUP(YEAR($A872),'Festive dates'!$A$2:$J$5,4,FALSE),1,0)</f>
        <v>0</v>
      </c>
      <c r="V872" s="9">
        <f>IF(AND($A872&gt;=VLOOKUP(YEAR($A872),'Festive dates'!$A$2:$J$5,9,FALSE),$A872&lt;=VLOOKUP(YEAR($A872),'Festive dates'!$A$2:$J$5,10,FALSE)),1,0)</f>
        <v>0</v>
      </c>
      <c r="W872" s="9">
        <f>IF($A872=VLOOKUP(YEAR($A872),'Festive dates'!$A$2:$J$5,7,FALSE),1,0)</f>
        <v>0</v>
      </c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</row>
    <row r="873" spans="1:51">
      <c r="A873" s="8">
        <v>45888</v>
      </c>
      <c r="B873" s="9">
        <v>0</v>
      </c>
      <c r="C873" s="9">
        <v>0</v>
      </c>
      <c r="D873" s="9">
        <v>0</v>
      </c>
      <c r="E873" s="9">
        <v>0</v>
      </c>
      <c r="F873" s="9">
        <v>0</v>
      </c>
      <c r="G873" s="9">
        <v>0</v>
      </c>
      <c r="H873" s="9">
        <v>0</v>
      </c>
      <c r="I873" s="9">
        <v>0</v>
      </c>
      <c r="J873" s="9">
        <v>0</v>
      </c>
      <c r="K873" s="9">
        <v>0</v>
      </c>
      <c r="L873" s="9">
        <v>0</v>
      </c>
      <c r="M873" s="9">
        <v>0</v>
      </c>
      <c r="N873" s="9">
        <v>0</v>
      </c>
      <c r="O873" s="9">
        <v>0</v>
      </c>
      <c r="P873" s="9">
        <v>0</v>
      </c>
      <c r="Q873" s="9">
        <f>MAX(-20,MIN(10,$A873-VLOOKUP(YEAR($A873),'Festive dates'!$A$2:$J$5,8,FALSE)))</f>
        <v>-20</v>
      </c>
      <c r="R873" s="9">
        <f>IF(AND($A873&gt;VLOOKUP(YEAR($A873),'Festive dates'!$A$2:$J$5,2,FALSE),$A873&lt;VLOOKUP(YEAR($A873),'Festive dates'!$A$2:$J$5,3,FALSE)),1,0)</f>
        <v>0</v>
      </c>
      <c r="S873" s="9">
        <f>IF($A873=VLOOKUP(YEAR($A873),'Festive dates'!$A$2:$J$5,2,FALSE),1,0)</f>
        <v>0</v>
      </c>
      <c r="T873" s="9">
        <f>IF($A873=VLOOKUP(YEAR($A873),'Festive dates'!$A$2:$J$5,3,FALSE),1,0)</f>
        <v>0</v>
      </c>
      <c r="U873" s="9">
        <f>IF($A873=VLOOKUP(YEAR($A873),'Festive dates'!$A$2:$J$5,4,FALSE),1,0)</f>
        <v>0</v>
      </c>
      <c r="V873" s="9">
        <f>IF(AND($A873&gt;=VLOOKUP(YEAR($A873),'Festive dates'!$A$2:$J$5,9,FALSE),$A873&lt;=VLOOKUP(YEAR($A873),'Festive dates'!$A$2:$J$5,10,FALSE)),1,0)</f>
        <v>0</v>
      </c>
      <c r="W873" s="9">
        <f>IF($A873=VLOOKUP(YEAR($A873),'Festive dates'!$A$2:$J$5,7,FALSE),1,0)</f>
        <v>0</v>
      </c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</row>
    <row r="874" spans="1:51">
      <c r="A874" s="8">
        <v>45889</v>
      </c>
      <c r="B874" s="9">
        <v>0</v>
      </c>
      <c r="C874" s="9">
        <v>0</v>
      </c>
      <c r="D874" s="9">
        <v>0</v>
      </c>
      <c r="E874" s="9">
        <v>0</v>
      </c>
      <c r="F874" s="9">
        <v>0</v>
      </c>
      <c r="G874" s="9">
        <v>0</v>
      </c>
      <c r="H874" s="9">
        <v>0</v>
      </c>
      <c r="I874" s="9">
        <v>0</v>
      </c>
      <c r="J874" s="9">
        <v>0</v>
      </c>
      <c r="K874" s="9">
        <v>0</v>
      </c>
      <c r="L874" s="9">
        <v>0</v>
      </c>
      <c r="M874" s="9">
        <v>0</v>
      </c>
      <c r="N874" s="9">
        <v>0</v>
      </c>
      <c r="O874" s="9">
        <v>0</v>
      </c>
      <c r="P874" s="9">
        <v>0</v>
      </c>
      <c r="Q874" s="9">
        <f>MAX(-20,MIN(10,$A874-VLOOKUP(YEAR($A874),'Festive dates'!$A$2:$J$5,8,FALSE)))</f>
        <v>-20</v>
      </c>
      <c r="R874" s="9">
        <f>IF(AND($A874&gt;VLOOKUP(YEAR($A874),'Festive dates'!$A$2:$J$5,2,FALSE),$A874&lt;VLOOKUP(YEAR($A874),'Festive dates'!$A$2:$J$5,3,FALSE)),1,0)</f>
        <v>0</v>
      </c>
      <c r="S874" s="9">
        <f>IF($A874=VLOOKUP(YEAR($A874),'Festive dates'!$A$2:$J$5,2,FALSE),1,0)</f>
        <v>0</v>
      </c>
      <c r="T874" s="9">
        <f>IF($A874=VLOOKUP(YEAR($A874),'Festive dates'!$A$2:$J$5,3,FALSE),1,0)</f>
        <v>0</v>
      </c>
      <c r="U874" s="9">
        <f>IF($A874=VLOOKUP(YEAR($A874),'Festive dates'!$A$2:$J$5,4,FALSE),1,0)</f>
        <v>0</v>
      </c>
      <c r="V874" s="9">
        <f>IF(AND($A874&gt;=VLOOKUP(YEAR($A874),'Festive dates'!$A$2:$J$5,9,FALSE),$A874&lt;=VLOOKUP(YEAR($A874),'Festive dates'!$A$2:$J$5,10,FALSE)),1,0)</f>
        <v>0</v>
      </c>
      <c r="W874" s="9">
        <f>IF($A874=VLOOKUP(YEAR($A874),'Festive dates'!$A$2:$J$5,7,FALSE),1,0)</f>
        <v>0</v>
      </c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</row>
    <row r="875" spans="1:51">
      <c r="A875" s="8">
        <v>45890</v>
      </c>
      <c r="B875" s="9">
        <v>0</v>
      </c>
      <c r="C875" s="9">
        <v>0</v>
      </c>
      <c r="D875" s="9">
        <v>0</v>
      </c>
      <c r="E875" s="9">
        <v>0</v>
      </c>
      <c r="F875" s="9">
        <v>0</v>
      </c>
      <c r="G875" s="9">
        <v>0</v>
      </c>
      <c r="H875" s="9">
        <v>0</v>
      </c>
      <c r="I875" s="9">
        <v>0</v>
      </c>
      <c r="J875" s="9">
        <v>0</v>
      </c>
      <c r="K875" s="9">
        <v>0</v>
      </c>
      <c r="L875" s="9">
        <v>0</v>
      </c>
      <c r="M875" s="9">
        <v>0</v>
      </c>
      <c r="N875" s="9">
        <v>0</v>
      </c>
      <c r="O875" s="9">
        <v>0</v>
      </c>
      <c r="P875" s="9">
        <v>0</v>
      </c>
      <c r="Q875" s="9">
        <f>MAX(-20,MIN(10,$A875-VLOOKUP(YEAR($A875),'Festive dates'!$A$2:$J$5,8,FALSE)))</f>
        <v>-20</v>
      </c>
      <c r="R875" s="9">
        <f>IF(AND($A875&gt;VLOOKUP(YEAR($A875),'Festive dates'!$A$2:$J$5,2,FALSE),$A875&lt;VLOOKUP(YEAR($A875),'Festive dates'!$A$2:$J$5,3,FALSE)),1,0)</f>
        <v>0</v>
      </c>
      <c r="S875" s="9">
        <f>IF($A875=VLOOKUP(YEAR($A875),'Festive dates'!$A$2:$J$5,2,FALSE),1,0)</f>
        <v>0</v>
      </c>
      <c r="T875" s="9">
        <f>IF($A875=VLOOKUP(YEAR($A875),'Festive dates'!$A$2:$J$5,3,FALSE),1,0)</f>
        <v>0</v>
      </c>
      <c r="U875" s="9">
        <f>IF($A875=VLOOKUP(YEAR($A875),'Festive dates'!$A$2:$J$5,4,FALSE),1,0)</f>
        <v>0</v>
      </c>
      <c r="V875" s="9">
        <f>IF(AND($A875&gt;=VLOOKUP(YEAR($A875),'Festive dates'!$A$2:$J$5,9,FALSE),$A875&lt;=VLOOKUP(YEAR($A875),'Festive dates'!$A$2:$J$5,10,FALSE)),1,0)</f>
        <v>0</v>
      </c>
      <c r="W875" s="9">
        <f>IF($A875=VLOOKUP(YEAR($A875),'Festive dates'!$A$2:$J$5,7,FALSE),1,0)</f>
        <v>0</v>
      </c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</row>
    <row r="876" spans="1:51">
      <c r="A876" s="8">
        <v>45891</v>
      </c>
      <c r="B876" s="9">
        <v>0</v>
      </c>
      <c r="C876" s="9">
        <v>0</v>
      </c>
      <c r="D876" s="9">
        <v>0</v>
      </c>
      <c r="E876" s="9">
        <v>0</v>
      </c>
      <c r="F876" s="9">
        <v>0</v>
      </c>
      <c r="G876" s="9">
        <v>0</v>
      </c>
      <c r="H876" s="9">
        <v>0</v>
      </c>
      <c r="I876" s="9">
        <v>0</v>
      </c>
      <c r="J876" s="9">
        <v>0</v>
      </c>
      <c r="K876" s="9">
        <v>0</v>
      </c>
      <c r="L876" s="9">
        <v>0</v>
      </c>
      <c r="M876" s="9">
        <v>0</v>
      </c>
      <c r="N876" s="9">
        <v>0</v>
      </c>
      <c r="O876" s="9">
        <v>0</v>
      </c>
      <c r="P876" s="9">
        <v>0</v>
      </c>
      <c r="Q876" s="9">
        <f>MAX(-20,MIN(10,$A876-VLOOKUP(YEAR($A876),'Festive dates'!$A$2:$J$5,8,FALSE)))</f>
        <v>-20</v>
      </c>
      <c r="R876" s="9">
        <f>IF(AND($A876&gt;VLOOKUP(YEAR($A876),'Festive dates'!$A$2:$J$5,2,FALSE),$A876&lt;VLOOKUP(YEAR($A876),'Festive dates'!$A$2:$J$5,3,FALSE)),1,0)</f>
        <v>0</v>
      </c>
      <c r="S876" s="9">
        <f>IF($A876=VLOOKUP(YEAR($A876),'Festive dates'!$A$2:$J$5,2,FALSE),1,0)</f>
        <v>0</v>
      </c>
      <c r="T876" s="9">
        <f>IF($A876=VLOOKUP(YEAR($A876),'Festive dates'!$A$2:$J$5,3,FALSE),1,0)</f>
        <v>0</v>
      </c>
      <c r="U876" s="9">
        <f>IF($A876=VLOOKUP(YEAR($A876),'Festive dates'!$A$2:$J$5,4,FALSE),1,0)</f>
        <v>0</v>
      </c>
      <c r="V876" s="9">
        <f>IF(AND($A876&gt;=VLOOKUP(YEAR($A876),'Festive dates'!$A$2:$J$5,9,FALSE),$A876&lt;=VLOOKUP(YEAR($A876),'Festive dates'!$A$2:$J$5,10,FALSE)),1,0)</f>
        <v>0</v>
      </c>
      <c r="W876" s="9">
        <f>IF($A876=VLOOKUP(YEAR($A876),'Festive dates'!$A$2:$J$5,7,FALSE),1,0)</f>
        <v>0</v>
      </c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</row>
    <row r="877" spans="1:51">
      <c r="A877" s="8">
        <v>45892</v>
      </c>
      <c r="B877" s="9">
        <v>0</v>
      </c>
      <c r="C877" s="9">
        <v>0</v>
      </c>
      <c r="D877" s="9">
        <v>0</v>
      </c>
      <c r="E877" s="9">
        <v>0</v>
      </c>
      <c r="F877" s="9">
        <v>0</v>
      </c>
      <c r="G877" s="9">
        <v>0</v>
      </c>
      <c r="H877" s="9">
        <v>0</v>
      </c>
      <c r="I877" s="9">
        <v>0</v>
      </c>
      <c r="J877" s="9">
        <v>0</v>
      </c>
      <c r="K877" s="9">
        <v>0</v>
      </c>
      <c r="L877" s="9">
        <v>0</v>
      </c>
      <c r="M877" s="9">
        <v>0</v>
      </c>
      <c r="N877" s="9">
        <v>0</v>
      </c>
      <c r="O877" s="9">
        <v>0</v>
      </c>
      <c r="P877" s="9">
        <v>0</v>
      </c>
      <c r="Q877" s="9">
        <f>MAX(-20,MIN(10,$A877-VLOOKUP(YEAR($A877),'Festive dates'!$A$2:$J$5,8,FALSE)))</f>
        <v>-20</v>
      </c>
      <c r="R877" s="9">
        <f>IF(AND($A877&gt;VLOOKUP(YEAR($A877),'Festive dates'!$A$2:$J$5,2,FALSE),$A877&lt;VLOOKUP(YEAR($A877),'Festive dates'!$A$2:$J$5,3,FALSE)),1,0)</f>
        <v>0</v>
      </c>
      <c r="S877" s="9">
        <f>IF($A877=VLOOKUP(YEAR($A877),'Festive dates'!$A$2:$J$5,2,FALSE),1,0)</f>
        <v>0</v>
      </c>
      <c r="T877" s="9">
        <f>IF($A877=VLOOKUP(YEAR($A877),'Festive dates'!$A$2:$J$5,3,FALSE),1,0)</f>
        <v>0</v>
      </c>
      <c r="U877" s="9">
        <f>IF($A877=VLOOKUP(YEAR($A877),'Festive dates'!$A$2:$J$5,4,FALSE),1,0)</f>
        <v>0</v>
      </c>
      <c r="V877" s="9">
        <f>IF(AND($A877&gt;=VLOOKUP(YEAR($A877),'Festive dates'!$A$2:$J$5,9,FALSE),$A877&lt;=VLOOKUP(YEAR($A877),'Festive dates'!$A$2:$J$5,10,FALSE)),1,0)</f>
        <v>0</v>
      </c>
      <c r="W877" s="9">
        <f>IF($A877=VLOOKUP(YEAR($A877),'Festive dates'!$A$2:$J$5,7,FALSE),1,0)</f>
        <v>0</v>
      </c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</row>
    <row r="878" spans="1:51">
      <c r="A878" s="8">
        <v>45893</v>
      </c>
      <c r="B878" s="9">
        <v>0</v>
      </c>
      <c r="C878" s="9">
        <v>0</v>
      </c>
      <c r="D878" s="9">
        <v>0</v>
      </c>
      <c r="E878" s="9">
        <v>0</v>
      </c>
      <c r="F878" s="9">
        <v>0</v>
      </c>
      <c r="G878" s="9">
        <v>0</v>
      </c>
      <c r="H878" s="9">
        <v>0</v>
      </c>
      <c r="I878" s="9">
        <v>0</v>
      </c>
      <c r="J878" s="9">
        <v>0</v>
      </c>
      <c r="K878" s="9">
        <v>0</v>
      </c>
      <c r="L878" s="9">
        <v>0</v>
      </c>
      <c r="M878" s="9">
        <v>0</v>
      </c>
      <c r="N878" s="9">
        <v>0</v>
      </c>
      <c r="O878" s="9">
        <v>0</v>
      </c>
      <c r="P878" s="9">
        <v>0</v>
      </c>
      <c r="Q878" s="9">
        <f>MAX(-20,MIN(10,$A878-VLOOKUP(YEAR($A878),'Festive dates'!$A$2:$J$5,8,FALSE)))</f>
        <v>-20</v>
      </c>
      <c r="R878" s="9">
        <f>IF(AND($A878&gt;VLOOKUP(YEAR($A878),'Festive dates'!$A$2:$J$5,2,FALSE),$A878&lt;VLOOKUP(YEAR($A878),'Festive dates'!$A$2:$J$5,3,FALSE)),1,0)</f>
        <v>0</v>
      </c>
      <c r="S878" s="9">
        <f>IF($A878=VLOOKUP(YEAR($A878),'Festive dates'!$A$2:$J$5,2,FALSE),1,0)</f>
        <v>0</v>
      </c>
      <c r="T878" s="9">
        <f>IF($A878=VLOOKUP(YEAR($A878),'Festive dates'!$A$2:$J$5,3,FALSE),1,0)</f>
        <v>0</v>
      </c>
      <c r="U878" s="9">
        <f>IF($A878=VLOOKUP(YEAR($A878),'Festive dates'!$A$2:$J$5,4,FALSE),1,0)</f>
        <v>0</v>
      </c>
      <c r="V878" s="9">
        <f>IF(AND($A878&gt;=VLOOKUP(YEAR($A878),'Festive dates'!$A$2:$J$5,9,FALSE),$A878&lt;=VLOOKUP(YEAR($A878),'Festive dates'!$A$2:$J$5,10,FALSE)),1,0)</f>
        <v>0</v>
      </c>
      <c r="W878" s="9">
        <f>IF($A878=VLOOKUP(YEAR($A878),'Festive dates'!$A$2:$J$5,7,FALSE),1,0)</f>
        <v>0</v>
      </c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</row>
    <row r="879" spans="1:51">
      <c r="A879" s="8">
        <v>45894</v>
      </c>
      <c r="B879" s="9">
        <v>0</v>
      </c>
      <c r="C879" s="9">
        <v>0</v>
      </c>
      <c r="D879" s="9">
        <v>0</v>
      </c>
      <c r="E879" s="9">
        <v>0</v>
      </c>
      <c r="F879" s="9">
        <v>0</v>
      </c>
      <c r="G879" s="9">
        <v>0</v>
      </c>
      <c r="H879" s="9">
        <v>0</v>
      </c>
      <c r="I879" s="9">
        <v>0</v>
      </c>
      <c r="J879" s="9">
        <v>0</v>
      </c>
      <c r="K879" s="9">
        <v>0</v>
      </c>
      <c r="L879" s="9">
        <v>0</v>
      </c>
      <c r="M879" s="9">
        <v>0</v>
      </c>
      <c r="N879" s="9">
        <v>0</v>
      </c>
      <c r="O879" s="9">
        <v>0</v>
      </c>
      <c r="P879" s="9">
        <v>0</v>
      </c>
      <c r="Q879" s="9">
        <f>MAX(-20,MIN(10,$A879-VLOOKUP(YEAR($A879),'Festive dates'!$A$2:$J$5,8,FALSE)))</f>
        <v>-20</v>
      </c>
      <c r="R879" s="9">
        <f>IF(AND($A879&gt;VLOOKUP(YEAR($A879),'Festive dates'!$A$2:$J$5,2,FALSE),$A879&lt;VLOOKUP(YEAR($A879),'Festive dates'!$A$2:$J$5,3,FALSE)),1,0)</f>
        <v>0</v>
      </c>
      <c r="S879" s="9">
        <f>IF($A879=VLOOKUP(YEAR($A879),'Festive dates'!$A$2:$J$5,2,FALSE),1,0)</f>
        <v>0</v>
      </c>
      <c r="T879" s="9">
        <f>IF($A879=VLOOKUP(YEAR($A879),'Festive dates'!$A$2:$J$5,3,FALSE),1,0)</f>
        <v>0</v>
      </c>
      <c r="U879" s="9">
        <f>IF($A879=VLOOKUP(YEAR($A879),'Festive dates'!$A$2:$J$5,4,FALSE),1,0)</f>
        <v>0</v>
      </c>
      <c r="V879" s="9">
        <f>IF(AND($A879&gt;=VLOOKUP(YEAR($A879),'Festive dates'!$A$2:$J$5,9,FALSE),$A879&lt;=VLOOKUP(YEAR($A879),'Festive dates'!$A$2:$J$5,10,FALSE)),1,0)</f>
        <v>0</v>
      </c>
      <c r="W879" s="9">
        <f>IF($A879=VLOOKUP(YEAR($A879),'Festive dates'!$A$2:$J$5,7,FALSE),1,0)</f>
        <v>0</v>
      </c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</row>
    <row r="880" spans="1:51">
      <c r="A880" s="8">
        <v>45895</v>
      </c>
      <c r="B880" s="9">
        <v>0</v>
      </c>
      <c r="C880" s="9">
        <v>0</v>
      </c>
      <c r="D880" s="9">
        <v>0</v>
      </c>
      <c r="E880" s="9">
        <v>0</v>
      </c>
      <c r="F880" s="9">
        <v>0</v>
      </c>
      <c r="G880" s="9">
        <v>0</v>
      </c>
      <c r="H880" s="9">
        <v>0</v>
      </c>
      <c r="I880" s="9">
        <v>0</v>
      </c>
      <c r="J880" s="9">
        <v>0</v>
      </c>
      <c r="K880" s="9">
        <v>0</v>
      </c>
      <c r="L880" s="9">
        <v>0</v>
      </c>
      <c r="M880" s="9">
        <v>0</v>
      </c>
      <c r="N880" s="9">
        <v>0</v>
      </c>
      <c r="O880" s="9">
        <v>0</v>
      </c>
      <c r="P880" s="9">
        <v>0</v>
      </c>
      <c r="Q880" s="9">
        <f>MAX(-20,MIN(10,$A880-VLOOKUP(YEAR($A880),'Festive dates'!$A$2:$J$5,8,FALSE)))</f>
        <v>-20</v>
      </c>
      <c r="R880" s="9">
        <f>IF(AND($A880&gt;VLOOKUP(YEAR($A880),'Festive dates'!$A$2:$J$5,2,FALSE),$A880&lt;VLOOKUP(YEAR($A880),'Festive dates'!$A$2:$J$5,3,FALSE)),1,0)</f>
        <v>0</v>
      </c>
      <c r="S880" s="9">
        <f>IF($A880=VLOOKUP(YEAR($A880),'Festive dates'!$A$2:$J$5,2,FALSE),1,0)</f>
        <v>0</v>
      </c>
      <c r="T880" s="9">
        <f>IF($A880=VLOOKUP(YEAR($A880),'Festive dates'!$A$2:$J$5,3,FALSE),1,0)</f>
        <v>0</v>
      </c>
      <c r="U880" s="9">
        <f>IF($A880=VLOOKUP(YEAR($A880),'Festive dates'!$A$2:$J$5,4,FALSE),1,0)</f>
        <v>0</v>
      </c>
      <c r="V880" s="9">
        <f>IF(AND($A880&gt;=VLOOKUP(YEAR($A880),'Festive dates'!$A$2:$J$5,9,FALSE),$A880&lt;=VLOOKUP(YEAR($A880),'Festive dates'!$A$2:$J$5,10,FALSE)),1,0)</f>
        <v>0</v>
      </c>
      <c r="W880" s="9">
        <f>IF($A880=VLOOKUP(YEAR($A880),'Festive dates'!$A$2:$J$5,7,FALSE),1,0)</f>
        <v>0</v>
      </c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</row>
    <row r="881" spans="1:51">
      <c r="A881" s="8">
        <v>45896</v>
      </c>
      <c r="B881" s="9">
        <v>0</v>
      </c>
      <c r="C881" s="9">
        <v>1</v>
      </c>
      <c r="D881" s="9">
        <v>0</v>
      </c>
      <c r="E881" s="9">
        <v>0</v>
      </c>
      <c r="F881" s="9">
        <v>0</v>
      </c>
      <c r="G881" s="9">
        <v>0</v>
      </c>
      <c r="H881" s="9">
        <v>0</v>
      </c>
      <c r="I881" s="9">
        <v>0</v>
      </c>
      <c r="J881" s="9">
        <v>0</v>
      </c>
      <c r="K881" s="9">
        <v>0</v>
      </c>
      <c r="L881" s="9">
        <v>0</v>
      </c>
      <c r="M881" s="9">
        <v>0</v>
      </c>
      <c r="N881" s="9">
        <v>0</v>
      </c>
      <c r="O881" s="9">
        <v>0</v>
      </c>
      <c r="P881" s="9">
        <v>0</v>
      </c>
      <c r="Q881" s="9">
        <f>MAX(-20,MIN(10,$A881-VLOOKUP(YEAR($A881),'Festive dates'!$A$2:$J$5,8,FALSE)))</f>
        <v>-20</v>
      </c>
      <c r="R881" s="9">
        <f>IF(AND($A881&gt;VLOOKUP(YEAR($A881),'Festive dates'!$A$2:$J$5,2,FALSE),$A881&lt;VLOOKUP(YEAR($A881),'Festive dates'!$A$2:$J$5,3,FALSE)),1,0)</f>
        <v>0</v>
      </c>
      <c r="S881" s="9">
        <f>IF($A881=VLOOKUP(YEAR($A881),'Festive dates'!$A$2:$J$5,2,FALSE),1,0)</f>
        <v>0</v>
      </c>
      <c r="T881" s="9">
        <f>IF($A881=VLOOKUP(YEAR($A881),'Festive dates'!$A$2:$J$5,3,FALSE),1,0)</f>
        <v>0</v>
      </c>
      <c r="U881" s="9">
        <f>IF($A881=VLOOKUP(YEAR($A881),'Festive dates'!$A$2:$J$5,4,FALSE),1,0)</f>
        <v>0</v>
      </c>
      <c r="V881" s="9">
        <f>IF(AND($A881&gt;=VLOOKUP(YEAR($A881),'Festive dates'!$A$2:$J$5,9,FALSE),$A881&lt;=VLOOKUP(YEAR($A881),'Festive dates'!$A$2:$J$5,10,FALSE)),1,0)</f>
        <v>0</v>
      </c>
      <c r="W881" s="9">
        <f>IF($A881=VLOOKUP(YEAR($A881),'Festive dates'!$A$2:$J$5,7,FALSE),1,0)</f>
        <v>0</v>
      </c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</row>
    <row r="882" spans="1:51">
      <c r="A882" s="8">
        <v>45897</v>
      </c>
      <c r="B882" s="9">
        <v>0</v>
      </c>
      <c r="C882" s="9">
        <v>0</v>
      </c>
      <c r="D882" s="9">
        <v>0</v>
      </c>
      <c r="E882" s="9">
        <v>0</v>
      </c>
      <c r="F882" s="9">
        <v>0</v>
      </c>
      <c r="G882" s="9">
        <v>0</v>
      </c>
      <c r="H882" s="9">
        <v>0</v>
      </c>
      <c r="I882" s="9">
        <v>0</v>
      </c>
      <c r="J882" s="9">
        <v>0</v>
      </c>
      <c r="K882" s="9">
        <v>0</v>
      </c>
      <c r="L882" s="9">
        <v>0</v>
      </c>
      <c r="M882" s="9">
        <v>0</v>
      </c>
      <c r="N882" s="9">
        <v>0</v>
      </c>
      <c r="O882" s="9">
        <v>0</v>
      </c>
      <c r="P882" s="9">
        <v>0</v>
      </c>
      <c r="Q882" s="9">
        <f>MAX(-20,MIN(10,$A882-VLOOKUP(YEAR($A882),'Festive dates'!$A$2:$J$5,8,FALSE)))</f>
        <v>-20</v>
      </c>
      <c r="R882" s="9">
        <f>IF(AND($A882&gt;VLOOKUP(YEAR($A882),'Festive dates'!$A$2:$J$5,2,FALSE),$A882&lt;VLOOKUP(YEAR($A882),'Festive dates'!$A$2:$J$5,3,FALSE)),1,0)</f>
        <v>0</v>
      </c>
      <c r="S882" s="9">
        <f>IF($A882=VLOOKUP(YEAR($A882),'Festive dates'!$A$2:$J$5,2,FALSE),1,0)</f>
        <v>0</v>
      </c>
      <c r="T882" s="9">
        <f>IF($A882=VLOOKUP(YEAR($A882),'Festive dates'!$A$2:$J$5,3,FALSE),1,0)</f>
        <v>0</v>
      </c>
      <c r="U882" s="9">
        <f>IF($A882=VLOOKUP(YEAR($A882),'Festive dates'!$A$2:$J$5,4,FALSE),1,0)</f>
        <v>0</v>
      </c>
      <c r="V882" s="9">
        <f>IF(AND($A882&gt;=VLOOKUP(YEAR($A882),'Festive dates'!$A$2:$J$5,9,FALSE),$A882&lt;=VLOOKUP(YEAR($A882),'Festive dates'!$A$2:$J$5,10,FALSE)),1,0)</f>
        <v>0</v>
      </c>
      <c r="W882" s="9">
        <f>IF($A882=VLOOKUP(YEAR($A882),'Festive dates'!$A$2:$J$5,7,FALSE),1,0)</f>
        <v>0</v>
      </c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</row>
    <row r="883" spans="1:51">
      <c r="A883" s="8">
        <v>45898</v>
      </c>
      <c r="B883" s="9">
        <v>0</v>
      </c>
      <c r="C883" s="9">
        <v>0</v>
      </c>
      <c r="D883" s="9">
        <v>0</v>
      </c>
      <c r="E883" s="9">
        <v>0</v>
      </c>
      <c r="F883" s="9">
        <v>0</v>
      </c>
      <c r="G883" s="9">
        <v>0</v>
      </c>
      <c r="H883" s="9">
        <v>0</v>
      </c>
      <c r="I883" s="9">
        <v>0</v>
      </c>
      <c r="J883" s="9">
        <v>0</v>
      </c>
      <c r="K883" s="9">
        <v>0</v>
      </c>
      <c r="L883" s="9">
        <v>0</v>
      </c>
      <c r="M883" s="9">
        <v>0</v>
      </c>
      <c r="N883" s="9">
        <v>0</v>
      </c>
      <c r="O883" s="9">
        <v>0</v>
      </c>
      <c r="P883" s="9">
        <v>0</v>
      </c>
      <c r="Q883" s="9">
        <f>MAX(-20,MIN(10,$A883-VLOOKUP(YEAR($A883),'Festive dates'!$A$2:$J$5,8,FALSE)))</f>
        <v>-20</v>
      </c>
      <c r="R883" s="9">
        <f>IF(AND($A883&gt;VLOOKUP(YEAR($A883),'Festive dates'!$A$2:$J$5,2,FALSE),$A883&lt;VLOOKUP(YEAR($A883),'Festive dates'!$A$2:$J$5,3,FALSE)),1,0)</f>
        <v>0</v>
      </c>
      <c r="S883" s="9">
        <f>IF($A883=VLOOKUP(YEAR($A883),'Festive dates'!$A$2:$J$5,2,FALSE),1,0)</f>
        <v>0</v>
      </c>
      <c r="T883" s="9">
        <f>IF($A883=VLOOKUP(YEAR($A883),'Festive dates'!$A$2:$J$5,3,FALSE),1,0)</f>
        <v>0</v>
      </c>
      <c r="U883" s="9">
        <f>IF($A883=VLOOKUP(YEAR($A883),'Festive dates'!$A$2:$J$5,4,FALSE),1,0)</f>
        <v>0</v>
      </c>
      <c r="V883" s="9">
        <f>IF(AND($A883&gt;=VLOOKUP(YEAR($A883),'Festive dates'!$A$2:$J$5,9,FALSE),$A883&lt;=VLOOKUP(YEAR($A883),'Festive dates'!$A$2:$J$5,10,FALSE)),1,0)</f>
        <v>0</v>
      </c>
      <c r="W883" s="9">
        <f>IF($A883=VLOOKUP(YEAR($A883),'Festive dates'!$A$2:$J$5,7,FALSE),1,0)</f>
        <v>0</v>
      </c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</row>
    <row r="884" spans="1:51">
      <c r="A884" s="8">
        <v>45899</v>
      </c>
      <c r="B884" s="9">
        <v>0</v>
      </c>
      <c r="C884" s="9">
        <v>0</v>
      </c>
      <c r="D884" s="9">
        <v>0</v>
      </c>
      <c r="E884" s="9">
        <v>0</v>
      </c>
      <c r="F884" s="9">
        <v>0</v>
      </c>
      <c r="G884" s="9">
        <v>0</v>
      </c>
      <c r="H884" s="9">
        <v>0</v>
      </c>
      <c r="I884" s="9">
        <v>0</v>
      </c>
      <c r="J884" s="9">
        <v>0</v>
      </c>
      <c r="K884" s="9">
        <v>0</v>
      </c>
      <c r="L884" s="9">
        <v>0</v>
      </c>
      <c r="M884" s="9">
        <v>0</v>
      </c>
      <c r="N884" s="9">
        <v>0</v>
      </c>
      <c r="O884" s="9">
        <v>0</v>
      </c>
      <c r="P884" s="9">
        <v>0</v>
      </c>
      <c r="Q884" s="9">
        <f>MAX(-20,MIN(10,$A884-VLOOKUP(YEAR($A884),'Festive dates'!$A$2:$J$5,8,FALSE)))</f>
        <v>-20</v>
      </c>
      <c r="R884" s="9">
        <f>IF(AND($A884&gt;VLOOKUP(YEAR($A884),'Festive dates'!$A$2:$J$5,2,FALSE),$A884&lt;VLOOKUP(YEAR($A884),'Festive dates'!$A$2:$J$5,3,FALSE)),1,0)</f>
        <v>0</v>
      </c>
      <c r="S884" s="9">
        <f>IF($A884=VLOOKUP(YEAR($A884),'Festive dates'!$A$2:$J$5,2,FALSE),1,0)</f>
        <v>0</v>
      </c>
      <c r="T884" s="9">
        <f>IF($A884=VLOOKUP(YEAR($A884),'Festive dates'!$A$2:$J$5,3,FALSE),1,0)</f>
        <v>0</v>
      </c>
      <c r="U884" s="9">
        <f>IF($A884=VLOOKUP(YEAR($A884),'Festive dates'!$A$2:$J$5,4,FALSE),1,0)</f>
        <v>0</v>
      </c>
      <c r="V884" s="9">
        <f>IF(AND($A884&gt;=VLOOKUP(YEAR($A884),'Festive dates'!$A$2:$J$5,9,FALSE),$A884&lt;=VLOOKUP(YEAR($A884),'Festive dates'!$A$2:$J$5,10,FALSE)),1,0)</f>
        <v>0</v>
      </c>
      <c r="W884" s="9">
        <f>IF($A884=VLOOKUP(YEAR($A884),'Festive dates'!$A$2:$J$5,7,FALSE),1,0)</f>
        <v>0</v>
      </c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</row>
    <row r="885" spans="1:51">
      <c r="A885" s="8">
        <v>45900</v>
      </c>
      <c r="B885" s="9">
        <v>0</v>
      </c>
      <c r="C885" s="9">
        <v>0</v>
      </c>
      <c r="D885" s="9">
        <v>0</v>
      </c>
      <c r="E885" s="9">
        <v>0</v>
      </c>
      <c r="F885" s="9">
        <v>0</v>
      </c>
      <c r="G885" s="9">
        <v>0</v>
      </c>
      <c r="H885" s="9">
        <v>0</v>
      </c>
      <c r="I885" s="9">
        <v>0</v>
      </c>
      <c r="J885" s="9">
        <v>0</v>
      </c>
      <c r="K885" s="9">
        <v>0</v>
      </c>
      <c r="L885" s="9">
        <v>0</v>
      </c>
      <c r="M885" s="9">
        <v>0</v>
      </c>
      <c r="N885" s="9">
        <v>0</v>
      </c>
      <c r="O885" s="9">
        <v>0</v>
      </c>
      <c r="P885" s="9">
        <v>0</v>
      </c>
      <c r="Q885" s="9">
        <f>MAX(-20,MIN(10,$A885-VLOOKUP(YEAR($A885),'Festive dates'!$A$2:$J$5,8,FALSE)))</f>
        <v>-20</v>
      </c>
      <c r="R885" s="9">
        <f>IF(AND($A885&gt;VLOOKUP(YEAR($A885),'Festive dates'!$A$2:$J$5,2,FALSE),$A885&lt;VLOOKUP(YEAR($A885),'Festive dates'!$A$2:$J$5,3,FALSE)),1,0)</f>
        <v>0</v>
      </c>
      <c r="S885" s="9">
        <f>IF($A885=VLOOKUP(YEAR($A885),'Festive dates'!$A$2:$J$5,2,FALSE),1,0)</f>
        <v>0</v>
      </c>
      <c r="T885" s="9">
        <f>IF($A885=VLOOKUP(YEAR($A885),'Festive dates'!$A$2:$J$5,3,FALSE),1,0)</f>
        <v>0</v>
      </c>
      <c r="U885" s="9">
        <f>IF($A885=VLOOKUP(YEAR($A885),'Festive dates'!$A$2:$J$5,4,FALSE),1,0)</f>
        <v>0</v>
      </c>
      <c r="V885" s="9">
        <f>IF(AND($A885&gt;=VLOOKUP(YEAR($A885),'Festive dates'!$A$2:$J$5,9,FALSE),$A885&lt;=VLOOKUP(YEAR($A885),'Festive dates'!$A$2:$J$5,10,FALSE)),1,0)</f>
        <v>0</v>
      </c>
      <c r="W885" s="9">
        <f>IF($A885=VLOOKUP(YEAR($A885),'Festive dates'!$A$2:$J$5,7,FALSE),1,0)</f>
        <v>0</v>
      </c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</row>
    <row r="886" spans="1:51">
      <c r="A886" s="8">
        <v>45901</v>
      </c>
      <c r="B886" s="9">
        <v>0</v>
      </c>
      <c r="C886" s="9">
        <v>0</v>
      </c>
      <c r="D886" s="9">
        <v>0</v>
      </c>
      <c r="E886" s="9">
        <v>0</v>
      </c>
      <c r="F886" s="9">
        <v>0</v>
      </c>
      <c r="G886" s="9">
        <v>0</v>
      </c>
      <c r="H886" s="9">
        <v>0</v>
      </c>
      <c r="I886" s="9">
        <v>0</v>
      </c>
      <c r="J886" s="9">
        <v>0</v>
      </c>
      <c r="K886" s="9">
        <v>0</v>
      </c>
      <c r="L886" s="9">
        <v>0</v>
      </c>
      <c r="M886" s="9">
        <v>0</v>
      </c>
      <c r="N886" s="9">
        <v>0</v>
      </c>
      <c r="O886" s="9">
        <v>0</v>
      </c>
      <c r="P886" s="9">
        <v>0</v>
      </c>
      <c r="Q886" s="9">
        <f>MAX(-20,MIN(10,$A886-VLOOKUP(YEAR($A886),'Festive dates'!$A$2:$J$5,8,FALSE)))</f>
        <v>-20</v>
      </c>
      <c r="R886" s="9">
        <f>IF(AND($A886&gt;VLOOKUP(YEAR($A886),'Festive dates'!$A$2:$J$5,2,FALSE),$A886&lt;VLOOKUP(YEAR($A886),'Festive dates'!$A$2:$J$5,3,FALSE)),1,0)</f>
        <v>0</v>
      </c>
      <c r="S886" s="9">
        <f>IF($A886=VLOOKUP(YEAR($A886),'Festive dates'!$A$2:$J$5,2,FALSE),1,0)</f>
        <v>0</v>
      </c>
      <c r="T886" s="9">
        <f>IF($A886=VLOOKUP(YEAR($A886),'Festive dates'!$A$2:$J$5,3,FALSE),1,0)</f>
        <v>0</v>
      </c>
      <c r="U886" s="9">
        <f>IF($A886=VLOOKUP(YEAR($A886),'Festive dates'!$A$2:$J$5,4,FALSE),1,0)</f>
        <v>0</v>
      </c>
      <c r="V886" s="9">
        <f>IF(AND($A886&gt;=VLOOKUP(YEAR($A886),'Festive dates'!$A$2:$J$5,9,FALSE),$A886&lt;=VLOOKUP(YEAR($A886),'Festive dates'!$A$2:$J$5,10,FALSE)),1,0)</f>
        <v>0</v>
      </c>
      <c r="W886" s="9">
        <f>IF($A886=VLOOKUP(YEAR($A886),'Festive dates'!$A$2:$J$5,7,FALSE),1,0)</f>
        <v>0</v>
      </c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</row>
    <row r="887" spans="1:51">
      <c r="A887" s="8">
        <v>45902</v>
      </c>
      <c r="B887" s="9">
        <v>0</v>
      </c>
      <c r="C887" s="9">
        <v>0</v>
      </c>
      <c r="D887" s="9">
        <v>0</v>
      </c>
      <c r="E887" s="9">
        <v>0</v>
      </c>
      <c r="F887" s="9">
        <v>0</v>
      </c>
      <c r="G887" s="9">
        <v>0</v>
      </c>
      <c r="H887" s="9">
        <v>0</v>
      </c>
      <c r="I887" s="9">
        <v>0</v>
      </c>
      <c r="J887" s="9">
        <v>0</v>
      </c>
      <c r="K887" s="9">
        <v>0</v>
      </c>
      <c r="L887" s="9">
        <v>0</v>
      </c>
      <c r="M887" s="9">
        <v>0</v>
      </c>
      <c r="N887" s="9">
        <v>0</v>
      </c>
      <c r="O887" s="9">
        <v>0</v>
      </c>
      <c r="P887" s="9">
        <v>0</v>
      </c>
      <c r="Q887" s="9">
        <f>MAX(-20,MIN(10,$A887-VLOOKUP(YEAR($A887),'Festive dates'!$A$2:$J$5,8,FALSE)))</f>
        <v>-20</v>
      </c>
      <c r="R887" s="9">
        <f>IF(AND($A887&gt;VLOOKUP(YEAR($A887),'Festive dates'!$A$2:$J$5,2,FALSE),$A887&lt;VLOOKUP(YEAR($A887),'Festive dates'!$A$2:$J$5,3,FALSE)),1,0)</f>
        <v>0</v>
      </c>
      <c r="S887" s="9">
        <f>IF($A887=VLOOKUP(YEAR($A887),'Festive dates'!$A$2:$J$5,2,FALSE),1,0)</f>
        <v>0</v>
      </c>
      <c r="T887" s="9">
        <f>IF($A887=VLOOKUP(YEAR($A887),'Festive dates'!$A$2:$J$5,3,FALSE),1,0)</f>
        <v>0</v>
      </c>
      <c r="U887" s="9">
        <f>IF($A887=VLOOKUP(YEAR($A887),'Festive dates'!$A$2:$J$5,4,FALSE),1,0)</f>
        <v>0</v>
      </c>
      <c r="V887" s="9">
        <f>IF(AND($A887&gt;=VLOOKUP(YEAR($A887),'Festive dates'!$A$2:$J$5,9,FALSE),$A887&lt;=VLOOKUP(YEAR($A887),'Festive dates'!$A$2:$J$5,10,FALSE)),1,0)</f>
        <v>0</v>
      </c>
      <c r="W887" s="9">
        <f>IF($A887=VLOOKUP(YEAR($A887),'Festive dates'!$A$2:$J$5,7,FALSE),1,0)</f>
        <v>0</v>
      </c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</row>
    <row r="888" spans="1:51">
      <c r="A888" s="8">
        <v>45903</v>
      </c>
      <c r="B888" s="9">
        <v>0</v>
      </c>
      <c r="C888" s="9">
        <v>0</v>
      </c>
      <c r="D888" s="9">
        <v>0</v>
      </c>
      <c r="E888" s="9">
        <v>0</v>
      </c>
      <c r="F888" s="9">
        <v>0</v>
      </c>
      <c r="G888" s="9">
        <v>0</v>
      </c>
      <c r="H888" s="9">
        <v>0</v>
      </c>
      <c r="I888" s="9">
        <v>0</v>
      </c>
      <c r="J888" s="9">
        <v>0</v>
      </c>
      <c r="K888" s="9">
        <v>0</v>
      </c>
      <c r="L888" s="9">
        <v>0</v>
      </c>
      <c r="M888" s="9">
        <v>0</v>
      </c>
      <c r="N888" s="9">
        <v>0</v>
      </c>
      <c r="O888" s="9">
        <v>0</v>
      </c>
      <c r="P888" s="9">
        <v>0</v>
      </c>
      <c r="Q888" s="9">
        <f>MAX(-20,MIN(10,$A888-VLOOKUP(YEAR($A888),'Festive dates'!$A$2:$J$5,8,FALSE)))</f>
        <v>-20</v>
      </c>
      <c r="R888" s="9">
        <f>IF(AND($A888&gt;VLOOKUP(YEAR($A888),'Festive dates'!$A$2:$J$5,2,FALSE),$A888&lt;VLOOKUP(YEAR($A888),'Festive dates'!$A$2:$J$5,3,FALSE)),1,0)</f>
        <v>0</v>
      </c>
      <c r="S888" s="9">
        <f>IF($A888=VLOOKUP(YEAR($A888),'Festive dates'!$A$2:$J$5,2,FALSE),1,0)</f>
        <v>0</v>
      </c>
      <c r="T888" s="9">
        <f>IF($A888=VLOOKUP(YEAR($A888),'Festive dates'!$A$2:$J$5,3,FALSE),1,0)</f>
        <v>0</v>
      </c>
      <c r="U888" s="9">
        <f>IF($A888=VLOOKUP(YEAR($A888),'Festive dates'!$A$2:$J$5,4,FALSE),1,0)</f>
        <v>0</v>
      </c>
      <c r="V888" s="9">
        <f>IF(AND($A888&gt;=VLOOKUP(YEAR($A888),'Festive dates'!$A$2:$J$5,9,FALSE),$A888&lt;=VLOOKUP(YEAR($A888),'Festive dates'!$A$2:$J$5,10,FALSE)),1,0)</f>
        <v>0</v>
      </c>
      <c r="W888" s="9">
        <f>IF($A888=VLOOKUP(YEAR($A888),'Festive dates'!$A$2:$J$5,7,FALSE),1,0)</f>
        <v>0</v>
      </c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</row>
    <row r="889" spans="1:51">
      <c r="A889" s="8">
        <v>45904</v>
      </c>
      <c r="B889" s="9">
        <v>0</v>
      </c>
      <c r="C889" s="9">
        <v>0</v>
      </c>
      <c r="D889" s="9">
        <v>0</v>
      </c>
      <c r="E889" s="9">
        <v>0</v>
      </c>
      <c r="F889" s="9">
        <v>0</v>
      </c>
      <c r="G889" s="9">
        <v>0</v>
      </c>
      <c r="H889" s="9">
        <v>0</v>
      </c>
      <c r="I889" s="9">
        <v>0</v>
      </c>
      <c r="J889" s="9">
        <v>0</v>
      </c>
      <c r="K889" s="9">
        <v>0</v>
      </c>
      <c r="L889" s="9">
        <v>0</v>
      </c>
      <c r="M889" s="9">
        <v>0</v>
      </c>
      <c r="N889" s="9">
        <v>0</v>
      </c>
      <c r="O889" s="9">
        <v>0</v>
      </c>
      <c r="P889" s="9">
        <v>0</v>
      </c>
      <c r="Q889" s="9">
        <f>MAX(-20,MIN(10,$A889-VLOOKUP(YEAR($A889),'Festive dates'!$A$2:$J$5,8,FALSE)))</f>
        <v>-20</v>
      </c>
      <c r="R889" s="9">
        <f>IF(AND($A889&gt;VLOOKUP(YEAR($A889),'Festive dates'!$A$2:$J$5,2,FALSE),$A889&lt;VLOOKUP(YEAR($A889),'Festive dates'!$A$2:$J$5,3,FALSE)),1,0)</f>
        <v>0</v>
      </c>
      <c r="S889" s="9">
        <f>IF($A889=VLOOKUP(YEAR($A889),'Festive dates'!$A$2:$J$5,2,FALSE),1,0)</f>
        <v>0</v>
      </c>
      <c r="T889" s="9">
        <f>IF($A889=VLOOKUP(YEAR($A889),'Festive dates'!$A$2:$J$5,3,FALSE),1,0)</f>
        <v>0</v>
      </c>
      <c r="U889" s="9">
        <f>IF($A889=VLOOKUP(YEAR($A889),'Festive dates'!$A$2:$J$5,4,FALSE),1,0)</f>
        <v>0</v>
      </c>
      <c r="V889" s="9">
        <f>IF(AND($A889&gt;=VLOOKUP(YEAR($A889),'Festive dates'!$A$2:$J$5,9,FALSE),$A889&lt;=VLOOKUP(YEAR($A889),'Festive dates'!$A$2:$J$5,10,FALSE)),1,0)</f>
        <v>0</v>
      </c>
      <c r="W889" s="9">
        <f>IF($A889=VLOOKUP(YEAR($A889),'Festive dates'!$A$2:$J$5,7,FALSE),1,0)</f>
        <v>0</v>
      </c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</row>
    <row r="890" spans="1:51">
      <c r="A890" s="8">
        <v>45905</v>
      </c>
      <c r="B890" s="9">
        <v>0</v>
      </c>
      <c r="C890" s="9">
        <v>0</v>
      </c>
      <c r="D890" s="9">
        <v>0</v>
      </c>
      <c r="E890" s="9">
        <v>0</v>
      </c>
      <c r="F890" s="9">
        <v>0</v>
      </c>
      <c r="G890" s="9">
        <v>1</v>
      </c>
      <c r="H890" s="9">
        <v>0</v>
      </c>
      <c r="I890" s="9">
        <v>0</v>
      </c>
      <c r="J890" s="9">
        <v>0</v>
      </c>
      <c r="K890" s="9">
        <v>0</v>
      </c>
      <c r="L890" s="9">
        <v>0</v>
      </c>
      <c r="M890" s="9">
        <v>0</v>
      </c>
      <c r="N890" s="9">
        <v>0</v>
      </c>
      <c r="O890" s="9">
        <v>0</v>
      </c>
      <c r="P890" s="9">
        <v>0</v>
      </c>
      <c r="Q890" s="9">
        <f>MAX(-20,MIN(10,$A890-VLOOKUP(YEAR($A890),'Festive dates'!$A$2:$J$5,8,FALSE)))</f>
        <v>-20</v>
      </c>
      <c r="R890" s="9">
        <f>IF(AND($A890&gt;VLOOKUP(YEAR($A890),'Festive dates'!$A$2:$J$5,2,FALSE),$A890&lt;VLOOKUP(YEAR($A890),'Festive dates'!$A$2:$J$5,3,FALSE)),1,0)</f>
        <v>0</v>
      </c>
      <c r="S890" s="9">
        <f>IF($A890=VLOOKUP(YEAR($A890),'Festive dates'!$A$2:$J$5,2,FALSE),1,0)</f>
        <v>0</v>
      </c>
      <c r="T890" s="9">
        <f>IF($A890=VLOOKUP(YEAR($A890),'Festive dates'!$A$2:$J$5,3,FALSE),1,0)</f>
        <v>0</v>
      </c>
      <c r="U890" s="9">
        <f>IF($A890=VLOOKUP(YEAR($A890),'Festive dates'!$A$2:$J$5,4,FALSE),1,0)</f>
        <v>0</v>
      </c>
      <c r="V890" s="9">
        <f>IF(AND($A890&gt;=VLOOKUP(YEAR($A890),'Festive dates'!$A$2:$J$5,9,FALSE),$A890&lt;=VLOOKUP(YEAR($A890),'Festive dates'!$A$2:$J$5,10,FALSE)),1,0)</f>
        <v>0</v>
      </c>
      <c r="W890" s="9">
        <f>IF($A890=VLOOKUP(YEAR($A890),'Festive dates'!$A$2:$J$5,7,FALSE),1,0)</f>
        <v>0</v>
      </c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</row>
    <row r="891" spans="1:51">
      <c r="A891" s="8">
        <v>45906</v>
      </c>
      <c r="B891" s="9">
        <v>0</v>
      </c>
      <c r="C891" s="9">
        <v>0</v>
      </c>
      <c r="D891" s="9">
        <v>0</v>
      </c>
      <c r="E891" s="9">
        <v>0</v>
      </c>
      <c r="F891" s="9">
        <v>0</v>
      </c>
      <c r="G891" s="9">
        <v>0</v>
      </c>
      <c r="H891" s="9">
        <v>0</v>
      </c>
      <c r="I891" s="9">
        <v>0</v>
      </c>
      <c r="J891" s="9">
        <v>0</v>
      </c>
      <c r="K891" s="9">
        <v>0</v>
      </c>
      <c r="L891" s="9">
        <v>0</v>
      </c>
      <c r="M891" s="9">
        <v>0</v>
      </c>
      <c r="N891" s="9">
        <v>0</v>
      </c>
      <c r="O891" s="9">
        <v>0</v>
      </c>
      <c r="P891" s="9">
        <v>0</v>
      </c>
      <c r="Q891" s="9">
        <f>MAX(-20,MIN(10,$A891-VLOOKUP(YEAR($A891),'Festive dates'!$A$2:$J$5,8,FALSE)))</f>
        <v>-20</v>
      </c>
      <c r="R891" s="9">
        <f>IF(AND($A891&gt;VLOOKUP(YEAR($A891),'Festive dates'!$A$2:$J$5,2,FALSE),$A891&lt;VLOOKUP(YEAR($A891),'Festive dates'!$A$2:$J$5,3,FALSE)),1,0)</f>
        <v>0</v>
      </c>
      <c r="S891" s="9">
        <f>IF($A891=VLOOKUP(YEAR($A891),'Festive dates'!$A$2:$J$5,2,FALSE),1,0)</f>
        <v>0</v>
      </c>
      <c r="T891" s="9">
        <f>IF($A891=VLOOKUP(YEAR($A891),'Festive dates'!$A$2:$J$5,3,FALSE),1,0)</f>
        <v>0</v>
      </c>
      <c r="U891" s="9">
        <f>IF($A891=VLOOKUP(YEAR($A891),'Festive dates'!$A$2:$J$5,4,FALSE),1,0)</f>
        <v>0</v>
      </c>
      <c r="V891" s="9">
        <f>IF(AND($A891&gt;=VLOOKUP(YEAR($A891),'Festive dates'!$A$2:$J$5,9,FALSE),$A891&lt;=VLOOKUP(YEAR($A891),'Festive dates'!$A$2:$J$5,10,FALSE)),1,0)</f>
        <v>1</v>
      </c>
      <c r="W891" s="9">
        <f>IF($A891=VLOOKUP(YEAR($A891),'Festive dates'!$A$2:$J$5,7,FALSE),1,0)</f>
        <v>0</v>
      </c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</row>
    <row r="892" spans="1:51">
      <c r="A892" s="8">
        <v>45907</v>
      </c>
      <c r="B892" s="9">
        <v>0</v>
      </c>
      <c r="C892" s="9">
        <v>0</v>
      </c>
      <c r="D892" s="9">
        <v>0</v>
      </c>
      <c r="E892" s="9">
        <v>0</v>
      </c>
      <c r="F892" s="9">
        <v>0</v>
      </c>
      <c r="G892" s="9">
        <v>0</v>
      </c>
      <c r="H892" s="9">
        <v>0</v>
      </c>
      <c r="I892" s="9">
        <v>0</v>
      </c>
      <c r="J892" s="9">
        <v>0</v>
      </c>
      <c r="K892" s="9">
        <v>0</v>
      </c>
      <c r="L892" s="9">
        <v>0</v>
      </c>
      <c r="M892" s="9">
        <v>0</v>
      </c>
      <c r="N892" s="9">
        <v>0</v>
      </c>
      <c r="O892" s="9">
        <v>0</v>
      </c>
      <c r="P892" s="9">
        <v>0</v>
      </c>
      <c r="Q892" s="9">
        <f>MAX(-20,MIN(10,$A892-VLOOKUP(YEAR($A892),'Festive dates'!$A$2:$J$5,8,FALSE)))</f>
        <v>-20</v>
      </c>
      <c r="R892" s="9">
        <f>IF(AND($A892&gt;VLOOKUP(YEAR($A892),'Festive dates'!$A$2:$J$5,2,FALSE),$A892&lt;VLOOKUP(YEAR($A892),'Festive dates'!$A$2:$J$5,3,FALSE)),1,0)</f>
        <v>0</v>
      </c>
      <c r="S892" s="9">
        <f>IF($A892=VLOOKUP(YEAR($A892),'Festive dates'!$A$2:$J$5,2,FALSE),1,0)</f>
        <v>0</v>
      </c>
      <c r="T892" s="9">
        <f>IF($A892=VLOOKUP(YEAR($A892),'Festive dates'!$A$2:$J$5,3,FALSE),1,0)</f>
        <v>0</v>
      </c>
      <c r="U892" s="9">
        <f>IF($A892=VLOOKUP(YEAR($A892),'Festive dates'!$A$2:$J$5,4,FALSE),1,0)</f>
        <v>0</v>
      </c>
      <c r="V892" s="9">
        <f>IF(AND($A892&gt;=VLOOKUP(YEAR($A892),'Festive dates'!$A$2:$J$5,9,FALSE),$A892&lt;=VLOOKUP(YEAR($A892),'Festive dates'!$A$2:$J$5,10,FALSE)),1,0)</f>
        <v>1</v>
      </c>
      <c r="W892" s="9">
        <f>IF($A892=VLOOKUP(YEAR($A892),'Festive dates'!$A$2:$J$5,7,FALSE),1,0)</f>
        <v>0</v>
      </c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</row>
    <row r="893" spans="1:51">
      <c r="A893" s="8">
        <v>45908</v>
      </c>
      <c r="B893" s="9">
        <v>0</v>
      </c>
      <c r="C893" s="9">
        <v>0</v>
      </c>
      <c r="D893" s="9">
        <v>0</v>
      </c>
      <c r="E893" s="9">
        <v>0</v>
      </c>
      <c r="F893" s="9">
        <v>0</v>
      </c>
      <c r="G893" s="9">
        <v>0</v>
      </c>
      <c r="H893" s="9">
        <v>0</v>
      </c>
      <c r="I893" s="9">
        <v>0</v>
      </c>
      <c r="J893" s="9">
        <v>0</v>
      </c>
      <c r="K893" s="9">
        <v>0</v>
      </c>
      <c r="L893" s="9">
        <v>0</v>
      </c>
      <c r="M893" s="9">
        <v>0</v>
      </c>
      <c r="N893" s="9">
        <v>0</v>
      </c>
      <c r="O893" s="9">
        <v>0</v>
      </c>
      <c r="P893" s="9">
        <v>0</v>
      </c>
      <c r="Q893" s="9">
        <f>MAX(-20,MIN(10,$A893-VLOOKUP(YEAR($A893),'Festive dates'!$A$2:$J$5,8,FALSE)))</f>
        <v>-20</v>
      </c>
      <c r="R893" s="9">
        <f>IF(AND($A893&gt;VLOOKUP(YEAR($A893),'Festive dates'!$A$2:$J$5,2,FALSE),$A893&lt;VLOOKUP(YEAR($A893),'Festive dates'!$A$2:$J$5,3,FALSE)),1,0)</f>
        <v>0</v>
      </c>
      <c r="S893" s="9">
        <f>IF($A893=VLOOKUP(YEAR($A893),'Festive dates'!$A$2:$J$5,2,FALSE),1,0)</f>
        <v>0</v>
      </c>
      <c r="T893" s="9">
        <f>IF($A893=VLOOKUP(YEAR($A893),'Festive dates'!$A$2:$J$5,3,FALSE),1,0)</f>
        <v>0</v>
      </c>
      <c r="U893" s="9">
        <f>IF($A893=VLOOKUP(YEAR($A893),'Festive dates'!$A$2:$J$5,4,FALSE),1,0)</f>
        <v>0</v>
      </c>
      <c r="V893" s="9">
        <f>IF(AND($A893&gt;=VLOOKUP(YEAR($A893),'Festive dates'!$A$2:$J$5,9,FALSE),$A893&lt;=VLOOKUP(YEAR($A893),'Festive dates'!$A$2:$J$5,10,FALSE)),1,0)</f>
        <v>1</v>
      </c>
      <c r="W893" s="9">
        <f>IF($A893=VLOOKUP(YEAR($A893),'Festive dates'!$A$2:$J$5,7,FALSE),1,0)</f>
        <v>0</v>
      </c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</row>
    <row r="894" spans="1:51">
      <c r="A894" s="8">
        <v>45909</v>
      </c>
      <c r="B894" s="9">
        <v>0</v>
      </c>
      <c r="C894" s="9">
        <v>0</v>
      </c>
      <c r="D894" s="9">
        <v>0</v>
      </c>
      <c r="E894" s="9">
        <v>0</v>
      </c>
      <c r="F894" s="9">
        <v>0</v>
      </c>
      <c r="G894" s="9">
        <v>0</v>
      </c>
      <c r="H894" s="9">
        <v>0</v>
      </c>
      <c r="I894" s="9">
        <v>0</v>
      </c>
      <c r="J894" s="9">
        <v>0</v>
      </c>
      <c r="K894" s="9">
        <v>0</v>
      </c>
      <c r="L894" s="9">
        <v>0</v>
      </c>
      <c r="M894" s="9">
        <v>0</v>
      </c>
      <c r="N894" s="9">
        <v>0</v>
      </c>
      <c r="O894" s="9">
        <v>0</v>
      </c>
      <c r="P894" s="9">
        <v>0</v>
      </c>
      <c r="Q894" s="9">
        <f>MAX(-20,MIN(10,$A894-VLOOKUP(YEAR($A894),'Festive dates'!$A$2:$J$5,8,FALSE)))</f>
        <v>-20</v>
      </c>
      <c r="R894" s="9">
        <f>IF(AND($A894&gt;VLOOKUP(YEAR($A894),'Festive dates'!$A$2:$J$5,2,FALSE),$A894&lt;VLOOKUP(YEAR($A894),'Festive dates'!$A$2:$J$5,3,FALSE)),1,0)</f>
        <v>0</v>
      </c>
      <c r="S894" s="9">
        <f>IF($A894=VLOOKUP(YEAR($A894),'Festive dates'!$A$2:$J$5,2,FALSE),1,0)</f>
        <v>0</v>
      </c>
      <c r="T894" s="9">
        <f>IF($A894=VLOOKUP(YEAR($A894),'Festive dates'!$A$2:$J$5,3,FALSE),1,0)</f>
        <v>0</v>
      </c>
      <c r="U894" s="9">
        <f>IF($A894=VLOOKUP(YEAR($A894),'Festive dates'!$A$2:$J$5,4,FALSE),1,0)</f>
        <v>0</v>
      </c>
      <c r="V894" s="9">
        <f>IF(AND($A894&gt;=VLOOKUP(YEAR($A894),'Festive dates'!$A$2:$J$5,9,FALSE),$A894&lt;=VLOOKUP(YEAR($A894),'Festive dates'!$A$2:$J$5,10,FALSE)),1,0)</f>
        <v>1</v>
      </c>
      <c r="W894" s="9">
        <f>IF($A894=VLOOKUP(YEAR($A894),'Festive dates'!$A$2:$J$5,7,FALSE),1,0)</f>
        <v>0</v>
      </c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</row>
    <row r="895" spans="1:51">
      <c r="A895" s="8">
        <v>45910</v>
      </c>
      <c r="B895" s="9">
        <v>0</v>
      </c>
      <c r="C895" s="9">
        <v>0</v>
      </c>
      <c r="D895" s="9">
        <v>0</v>
      </c>
      <c r="E895" s="9">
        <v>0</v>
      </c>
      <c r="F895" s="9">
        <v>0</v>
      </c>
      <c r="G895" s="9">
        <v>0</v>
      </c>
      <c r="H895" s="9">
        <v>0</v>
      </c>
      <c r="I895" s="9">
        <v>0</v>
      </c>
      <c r="J895" s="9">
        <v>0</v>
      </c>
      <c r="K895" s="9">
        <v>0</v>
      </c>
      <c r="L895" s="9">
        <v>0</v>
      </c>
      <c r="M895" s="9">
        <v>0</v>
      </c>
      <c r="N895" s="9">
        <v>0</v>
      </c>
      <c r="O895" s="9">
        <v>0</v>
      </c>
      <c r="P895" s="9">
        <v>0</v>
      </c>
      <c r="Q895" s="9">
        <f>MAX(-20,MIN(10,$A895-VLOOKUP(YEAR($A895),'Festive dates'!$A$2:$J$5,8,FALSE)))</f>
        <v>-20</v>
      </c>
      <c r="R895" s="9">
        <f>IF(AND($A895&gt;VLOOKUP(YEAR($A895),'Festive dates'!$A$2:$J$5,2,FALSE),$A895&lt;VLOOKUP(YEAR($A895),'Festive dates'!$A$2:$J$5,3,FALSE)),1,0)</f>
        <v>0</v>
      </c>
      <c r="S895" s="9">
        <f>IF($A895=VLOOKUP(YEAR($A895),'Festive dates'!$A$2:$J$5,2,FALSE),1,0)</f>
        <v>0</v>
      </c>
      <c r="T895" s="9">
        <f>IF($A895=VLOOKUP(YEAR($A895),'Festive dates'!$A$2:$J$5,3,FALSE),1,0)</f>
        <v>0</v>
      </c>
      <c r="U895" s="9">
        <f>IF($A895=VLOOKUP(YEAR($A895),'Festive dates'!$A$2:$J$5,4,FALSE),1,0)</f>
        <v>0</v>
      </c>
      <c r="V895" s="9">
        <f>IF(AND($A895&gt;=VLOOKUP(YEAR($A895),'Festive dates'!$A$2:$J$5,9,FALSE),$A895&lt;=VLOOKUP(YEAR($A895),'Festive dates'!$A$2:$J$5,10,FALSE)),1,0)</f>
        <v>1</v>
      </c>
      <c r="W895" s="9">
        <f>IF($A895=VLOOKUP(YEAR($A895),'Festive dates'!$A$2:$J$5,7,FALSE),1,0)</f>
        <v>0</v>
      </c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</row>
    <row r="896" spans="1:51">
      <c r="A896" s="8">
        <v>45911</v>
      </c>
      <c r="B896" s="9">
        <v>0</v>
      </c>
      <c r="C896" s="9">
        <v>0</v>
      </c>
      <c r="D896" s="9">
        <v>0</v>
      </c>
      <c r="E896" s="9">
        <v>0</v>
      </c>
      <c r="F896" s="9">
        <v>0</v>
      </c>
      <c r="G896" s="9">
        <v>0</v>
      </c>
      <c r="H896" s="9">
        <v>0</v>
      </c>
      <c r="I896" s="9">
        <v>0</v>
      </c>
      <c r="J896" s="9">
        <v>0</v>
      </c>
      <c r="K896" s="9">
        <v>0</v>
      </c>
      <c r="L896" s="9">
        <v>0</v>
      </c>
      <c r="M896" s="9">
        <v>0</v>
      </c>
      <c r="N896" s="9">
        <v>0</v>
      </c>
      <c r="O896" s="9">
        <v>0</v>
      </c>
      <c r="P896" s="9">
        <v>0</v>
      </c>
      <c r="Q896" s="9">
        <f>MAX(-20,MIN(10,$A896-VLOOKUP(YEAR($A896),'Festive dates'!$A$2:$J$5,8,FALSE)))</f>
        <v>-20</v>
      </c>
      <c r="R896" s="9">
        <f>IF(AND($A896&gt;VLOOKUP(YEAR($A896),'Festive dates'!$A$2:$J$5,2,FALSE),$A896&lt;VLOOKUP(YEAR($A896),'Festive dates'!$A$2:$J$5,3,FALSE)),1,0)</f>
        <v>0</v>
      </c>
      <c r="S896" s="9">
        <f>IF($A896=VLOOKUP(YEAR($A896),'Festive dates'!$A$2:$J$5,2,FALSE),1,0)</f>
        <v>0</v>
      </c>
      <c r="T896" s="9">
        <f>IF($A896=VLOOKUP(YEAR($A896),'Festive dates'!$A$2:$J$5,3,FALSE),1,0)</f>
        <v>0</v>
      </c>
      <c r="U896" s="9">
        <f>IF($A896=VLOOKUP(YEAR($A896),'Festive dates'!$A$2:$J$5,4,FALSE),1,0)</f>
        <v>0</v>
      </c>
      <c r="V896" s="9">
        <f>IF(AND($A896&gt;=VLOOKUP(YEAR($A896),'Festive dates'!$A$2:$J$5,9,FALSE),$A896&lt;=VLOOKUP(YEAR($A896),'Festive dates'!$A$2:$J$5,10,FALSE)),1,0)</f>
        <v>1</v>
      </c>
      <c r="W896" s="9">
        <f>IF($A896=VLOOKUP(YEAR($A896),'Festive dates'!$A$2:$J$5,7,FALSE),1,0)</f>
        <v>0</v>
      </c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</row>
    <row r="897" spans="1:51">
      <c r="A897" s="8">
        <v>45912</v>
      </c>
      <c r="B897" s="9">
        <v>0</v>
      </c>
      <c r="C897" s="9">
        <v>0</v>
      </c>
      <c r="D897" s="9">
        <v>0</v>
      </c>
      <c r="E897" s="9">
        <v>0</v>
      </c>
      <c r="F897" s="9">
        <v>0</v>
      </c>
      <c r="G897" s="9">
        <v>0</v>
      </c>
      <c r="H897" s="9">
        <v>0</v>
      </c>
      <c r="I897" s="9">
        <v>0</v>
      </c>
      <c r="J897" s="9">
        <v>0</v>
      </c>
      <c r="K897" s="9">
        <v>0</v>
      </c>
      <c r="L897" s="9">
        <v>0</v>
      </c>
      <c r="M897" s="9">
        <v>0</v>
      </c>
      <c r="N897" s="9">
        <v>0</v>
      </c>
      <c r="O897" s="9">
        <v>0</v>
      </c>
      <c r="P897" s="9">
        <v>0</v>
      </c>
      <c r="Q897" s="9">
        <f>MAX(-20,MIN(10,$A897-VLOOKUP(YEAR($A897),'Festive dates'!$A$2:$J$5,8,FALSE)))</f>
        <v>-20</v>
      </c>
      <c r="R897" s="9">
        <f>IF(AND($A897&gt;VLOOKUP(YEAR($A897),'Festive dates'!$A$2:$J$5,2,FALSE),$A897&lt;VLOOKUP(YEAR($A897),'Festive dates'!$A$2:$J$5,3,FALSE)),1,0)</f>
        <v>0</v>
      </c>
      <c r="S897" s="9">
        <f>IF($A897=VLOOKUP(YEAR($A897),'Festive dates'!$A$2:$J$5,2,FALSE),1,0)</f>
        <v>0</v>
      </c>
      <c r="T897" s="9">
        <f>IF($A897=VLOOKUP(YEAR($A897),'Festive dates'!$A$2:$J$5,3,FALSE),1,0)</f>
        <v>0</v>
      </c>
      <c r="U897" s="9">
        <f>IF($A897=VLOOKUP(YEAR($A897),'Festive dates'!$A$2:$J$5,4,FALSE),1,0)</f>
        <v>0</v>
      </c>
      <c r="V897" s="9">
        <f>IF(AND($A897&gt;=VLOOKUP(YEAR($A897),'Festive dates'!$A$2:$J$5,9,FALSE),$A897&lt;=VLOOKUP(YEAR($A897),'Festive dates'!$A$2:$J$5,10,FALSE)),1,0)</f>
        <v>1</v>
      </c>
      <c r="W897" s="9">
        <f>IF($A897=VLOOKUP(YEAR($A897),'Festive dates'!$A$2:$J$5,7,FALSE),1,0)</f>
        <v>0</v>
      </c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</row>
    <row r="898" spans="1:51">
      <c r="A898" s="8">
        <v>45913</v>
      </c>
      <c r="B898" s="9">
        <v>0</v>
      </c>
      <c r="C898" s="9">
        <v>0</v>
      </c>
      <c r="D898" s="9">
        <v>0</v>
      </c>
      <c r="E898" s="9">
        <v>0</v>
      </c>
      <c r="F898" s="9">
        <v>0</v>
      </c>
      <c r="G898" s="9">
        <v>0</v>
      </c>
      <c r="H898" s="9">
        <v>0</v>
      </c>
      <c r="I898" s="9">
        <v>0</v>
      </c>
      <c r="J898" s="9">
        <v>0</v>
      </c>
      <c r="K898" s="9">
        <v>0</v>
      </c>
      <c r="L898" s="9">
        <v>0</v>
      </c>
      <c r="M898" s="9">
        <v>0</v>
      </c>
      <c r="N898" s="9">
        <v>0</v>
      </c>
      <c r="O898" s="9">
        <v>0</v>
      </c>
      <c r="P898" s="9">
        <v>0</v>
      </c>
      <c r="Q898" s="9">
        <f>MAX(-20,MIN(10,$A898-VLOOKUP(YEAR($A898),'Festive dates'!$A$2:$J$5,8,FALSE)))</f>
        <v>-20</v>
      </c>
      <c r="R898" s="9">
        <f>IF(AND($A898&gt;VLOOKUP(YEAR($A898),'Festive dates'!$A$2:$J$5,2,FALSE),$A898&lt;VLOOKUP(YEAR($A898),'Festive dates'!$A$2:$J$5,3,FALSE)),1,0)</f>
        <v>0</v>
      </c>
      <c r="S898" s="9">
        <f>IF($A898=VLOOKUP(YEAR($A898),'Festive dates'!$A$2:$J$5,2,FALSE),1,0)</f>
        <v>0</v>
      </c>
      <c r="T898" s="9">
        <f>IF($A898=VLOOKUP(YEAR($A898),'Festive dates'!$A$2:$J$5,3,FALSE),1,0)</f>
        <v>0</v>
      </c>
      <c r="U898" s="9">
        <f>IF($A898=VLOOKUP(YEAR($A898),'Festive dates'!$A$2:$J$5,4,FALSE),1,0)</f>
        <v>0</v>
      </c>
      <c r="V898" s="9">
        <f>IF(AND($A898&gt;=VLOOKUP(YEAR($A898),'Festive dates'!$A$2:$J$5,9,FALSE),$A898&lt;=VLOOKUP(YEAR($A898),'Festive dates'!$A$2:$J$5,10,FALSE)),1,0)</f>
        <v>1</v>
      </c>
      <c r="W898" s="9">
        <f>IF($A898=VLOOKUP(YEAR($A898),'Festive dates'!$A$2:$J$5,7,FALSE),1,0)</f>
        <v>0</v>
      </c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</row>
    <row r="899" spans="1:51">
      <c r="A899" s="8">
        <v>45914</v>
      </c>
      <c r="B899" s="9">
        <v>0</v>
      </c>
      <c r="C899" s="9">
        <v>0</v>
      </c>
      <c r="D899" s="9">
        <v>0</v>
      </c>
      <c r="E899" s="9">
        <v>0</v>
      </c>
      <c r="F899" s="9">
        <v>0</v>
      </c>
      <c r="G899" s="9">
        <v>0</v>
      </c>
      <c r="H899" s="9">
        <v>0</v>
      </c>
      <c r="I899" s="9">
        <v>0</v>
      </c>
      <c r="J899" s="9">
        <v>0</v>
      </c>
      <c r="K899" s="9">
        <v>0</v>
      </c>
      <c r="L899" s="9">
        <v>0</v>
      </c>
      <c r="M899" s="9">
        <v>0</v>
      </c>
      <c r="N899" s="9">
        <v>0</v>
      </c>
      <c r="O899" s="9">
        <v>0</v>
      </c>
      <c r="P899" s="9">
        <v>0</v>
      </c>
      <c r="Q899" s="9">
        <f>MAX(-20,MIN(10,$A899-VLOOKUP(YEAR($A899),'Festive dates'!$A$2:$J$5,8,FALSE)))</f>
        <v>-20</v>
      </c>
      <c r="R899" s="9">
        <f>IF(AND($A899&gt;VLOOKUP(YEAR($A899),'Festive dates'!$A$2:$J$5,2,FALSE),$A899&lt;VLOOKUP(YEAR($A899),'Festive dates'!$A$2:$J$5,3,FALSE)),1,0)</f>
        <v>0</v>
      </c>
      <c r="S899" s="9">
        <f>IF($A899=VLOOKUP(YEAR($A899),'Festive dates'!$A$2:$J$5,2,FALSE),1,0)</f>
        <v>0</v>
      </c>
      <c r="T899" s="9">
        <f>IF($A899=VLOOKUP(YEAR($A899),'Festive dates'!$A$2:$J$5,3,FALSE),1,0)</f>
        <v>0</v>
      </c>
      <c r="U899" s="9">
        <f>IF($A899=VLOOKUP(YEAR($A899),'Festive dates'!$A$2:$J$5,4,FALSE),1,0)</f>
        <v>0</v>
      </c>
      <c r="V899" s="9">
        <f>IF(AND($A899&gt;=VLOOKUP(YEAR($A899),'Festive dates'!$A$2:$J$5,9,FALSE),$A899&lt;=VLOOKUP(YEAR($A899),'Festive dates'!$A$2:$J$5,10,FALSE)),1,0)</f>
        <v>1</v>
      </c>
      <c r="W899" s="9">
        <f>IF($A899=VLOOKUP(YEAR($A899),'Festive dates'!$A$2:$J$5,7,FALSE),1,0)</f>
        <v>0</v>
      </c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</row>
    <row r="900" spans="1:51">
      <c r="A900" s="8">
        <v>45915</v>
      </c>
      <c r="B900" s="9">
        <v>0</v>
      </c>
      <c r="C900" s="9">
        <v>0</v>
      </c>
      <c r="D900" s="9">
        <v>0</v>
      </c>
      <c r="E900" s="9">
        <v>0</v>
      </c>
      <c r="F900" s="9">
        <v>0</v>
      </c>
      <c r="G900" s="9">
        <v>0</v>
      </c>
      <c r="H900" s="9">
        <v>0</v>
      </c>
      <c r="I900" s="9">
        <v>0</v>
      </c>
      <c r="J900" s="9">
        <v>0</v>
      </c>
      <c r="K900" s="9">
        <v>0</v>
      </c>
      <c r="L900" s="9">
        <v>0</v>
      </c>
      <c r="M900" s="9">
        <v>0</v>
      </c>
      <c r="N900" s="9">
        <v>0</v>
      </c>
      <c r="O900" s="9">
        <v>0</v>
      </c>
      <c r="P900" s="9">
        <v>0</v>
      </c>
      <c r="Q900" s="9">
        <f>MAX(-20,MIN(10,$A900-VLOOKUP(YEAR($A900),'Festive dates'!$A$2:$J$5,8,FALSE)))</f>
        <v>-20</v>
      </c>
      <c r="R900" s="9">
        <f>IF(AND($A900&gt;VLOOKUP(YEAR($A900),'Festive dates'!$A$2:$J$5,2,FALSE),$A900&lt;VLOOKUP(YEAR($A900),'Festive dates'!$A$2:$J$5,3,FALSE)),1,0)</f>
        <v>0</v>
      </c>
      <c r="S900" s="9">
        <f>IF($A900=VLOOKUP(YEAR($A900),'Festive dates'!$A$2:$J$5,2,FALSE),1,0)</f>
        <v>0</v>
      </c>
      <c r="T900" s="9">
        <f>IF($A900=VLOOKUP(YEAR($A900),'Festive dates'!$A$2:$J$5,3,FALSE),1,0)</f>
        <v>0</v>
      </c>
      <c r="U900" s="9">
        <f>IF($A900=VLOOKUP(YEAR($A900),'Festive dates'!$A$2:$J$5,4,FALSE),1,0)</f>
        <v>0</v>
      </c>
      <c r="V900" s="9">
        <f>IF(AND($A900&gt;=VLOOKUP(YEAR($A900),'Festive dates'!$A$2:$J$5,9,FALSE),$A900&lt;=VLOOKUP(YEAR($A900),'Festive dates'!$A$2:$J$5,10,FALSE)),1,0)</f>
        <v>1</v>
      </c>
      <c r="W900" s="9">
        <f>IF($A900=VLOOKUP(YEAR($A900),'Festive dates'!$A$2:$J$5,7,FALSE),1,0)</f>
        <v>0</v>
      </c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</row>
    <row r="901" spans="1:51">
      <c r="A901" s="8">
        <v>45916</v>
      </c>
      <c r="B901" s="9">
        <v>0</v>
      </c>
      <c r="C901" s="9">
        <v>0</v>
      </c>
      <c r="D901" s="9">
        <v>0</v>
      </c>
      <c r="E901" s="9">
        <v>0</v>
      </c>
      <c r="F901" s="9">
        <v>0</v>
      </c>
      <c r="G901" s="9">
        <v>0</v>
      </c>
      <c r="H901" s="9">
        <v>0</v>
      </c>
      <c r="I901" s="9">
        <v>0</v>
      </c>
      <c r="J901" s="9">
        <v>0</v>
      </c>
      <c r="K901" s="9">
        <v>0</v>
      </c>
      <c r="L901" s="9">
        <v>0</v>
      </c>
      <c r="M901" s="9">
        <v>0</v>
      </c>
      <c r="N901" s="9">
        <v>0</v>
      </c>
      <c r="O901" s="9">
        <v>0</v>
      </c>
      <c r="P901" s="9">
        <v>0</v>
      </c>
      <c r="Q901" s="9">
        <f>MAX(-20,MIN(10,$A901-VLOOKUP(YEAR($A901),'Festive dates'!$A$2:$J$5,8,FALSE)))</f>
        <v>-20</v>
      </c>
      <c r="R901" s="9">
        <f>IF(AND($A901&gt;VLOOKUP(YEAR($A901),'Festive dates'!$A$2:$J$5,2,FALSE),$A901&lt;VLOOKUP(YEAR($A901),'Festive dates'!$A$2:$J$5,3,FALSE)),1,0)</f>
        <v>0</v>
      </c>
      <c r="S901" s="9">
        <f>IF($A901=VLOOKUP(YEAR($A901),'Festive dates'!$A$2:$J$5,2,FALSE),1,0)</f>
        <v>0</v>
      </c>
      <c r="T901" s="9">
        <f>IF($A901=VLOOKUP(YEAR($A901),'Festive dates'!$A$2:$J$5,3,FALSE),1,0)</f>
        <v>0</v>
      </c>
      <c r="U901" s="9">
        <f>IF($A901=VLOOKUP(YEAR($A901),'Festive dates'!$A$2:$J$5,4,FALSE),1,0)</f>
        <v>0</v>
      </c>
      <c r="V901" s="9">
        <f>IF(AND($A901&gt;=VLOOKUP(YEAR($A901),'Festive dates'!$A$2:$J$5,9,FALSE),$A901&lt;=VLOOKUP(YEAR($A901),'Festive dates'!$A$2:$J$5,10,FALSE)),1,0)</f>
        <v>1</v>
      </c>
      <c r="W901" s="9">
        <f>IF($A901=VLOOKUP(YEAR($A901),'Festive dates'!$A$2:$J$5,7,FALSE),1,0)</f>
        <v>0</v>
      </c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</row>
    <row r="902" spans="1:51">
      <c r="A902" s="8">
        <v>45917</v>
      </c>
      <c r="B902" s="9">
        <v>0</v>
      </c>
      <c r="C902" s="9">
        <v>0</v>
      </c>
      <c r="D902" s="9">
        <v>0</v>
      </c>
      <c r="E902" s="9">
        <v>1</v>
      </c>
      <c r="F902" s="9">
        <v>0</v>
      </c>
      <c r="G902" s="9">
        <v>0</v>
      </c>
      <c r="H902" s="9">
        <v>0</v>
      </c>
      <c r="I902" s="9">
        <v>0</v>
      </c>
      <c r="J902" s="9">
        <v>0</v>
      </c>
      <c r="K902" s="9">
        <v>0</v>
      </c>
      <c r="L902" s="9">
        <v>0</v>
      </c>
      <c r="M902" s="9">
        <v>0</v>
      </c>
      <c r="N902" s="9">
        <v>0</v>
      </c>
      <c r="O902" s="9">
        <v>0</v>
      </c>
      <c r="P902" s="9">
        <v>0</v>
      </c>
      <c r="Q902" s="9">
        <f>MAX(-20,MIN(10,$A902-VLOOKUP(YEAR($A902),'Festive dates'!$A$2:$J$5,8,FALSE)))</f>
        <v>-20</v>
      </c>
      <c r="R902" s="9">
        <f>IF(AND($A902&gt;VLOOKUP(YEAR($A902),'Festive dates'!$A$2:$J$5,2,FALSE),$A902&lt;VLOOKUP(YEAR($A902),'Festive dates'!$A$2:$J$5,3,FALSE)),1,0)</f>
        <v>0</v>
      </c>
      <c r="S902" s="9">
        <f>IF($A902=VLOOKUP(YEAR($A902),'Festive dates'!$A$2:$J$5,2,FALSE),1,0)</f>
        <v>0</v>
      </c>
      <c r="T902" s="9">
        <f>IF($A902=VLOOKUP(YEAR($A902),'Festive dates'!$A$2:$J$5,3,FALSE),1,0)</f>
        <v>0</v>
      </c>
      <c r="U902" s="9">
        <f>IF($A902=VLOOKUP(YEAR($A902),'Festive dates'!$A$2:$J$5,4,FALSE),1,0)</f>
        <v>0</v>
      </c>
      <c r="V902" s="9">
        <f>IF(AND($A902&gt;=VLOOKUP(YEAR($A902),'Festive dates'!$A$2:$J$5,9,FALSE),$A902&lt;=VLOOKUP(YEAR($A902),'Festive dates'!$A$2:$J$5,10,FALSE)),1,0)</f>
        <v>1</v>
      </c>
      <c r="W902" s="9">
        <f>IF($A902=VLOOKUP(YEAR($A902),'Festive dates'!$A$2:$J$5,7,FALSE),1,0)</f>
        <v>0</v>
      </c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</row>
    <row r="903" spans="1:51">
      <c r="A903" s="8">
        <v>45918</v>
      </c>
      <c r="B903" s="9">
        <v>0</v>
      </c>
      <c r="C903" s="9">
        <v>0</v>
      </c>
      <c r="D903" s="9">
        <v>0</v>
      </c>
      <c r="E903" s="9">
        <v>0</v>
      </c>
      <c r="F903" s="9">
        <v>0</v>
      </c>
      <c r="G903" s="9">
        <v>0</v>
      </c>
      <c r="H903" s="9">
        <v>0</v>
      </c>
      <c r="I903" s="9">
        <v>0</v>
      </c>
      <c r="J903" s="9">
        <v>0</v>
      </c>
      <c r="K903" s="9">
        <v>0</v>
      </c>
      <c r="L903" s="9">
        <v>0</v>
      </c>
      <c r="M903" s="9">
        <v>0</v>
      </c>
      <c r="N903" s="9">
        <v>0</v>
      </c>
      <c r="O903" s="9">
        <v>0</v>
      </c>
      <c r="P903" s="9">
        <v>0</v>
      </c>
      <c r="Q903" s="9">
        <f>MAX(-20,MIN(10,$A903-VLOOKUP(YEAR($A903),'Festive dates'!$A$2:$J$5,8,FALSE)))</f>
        <v>-20</v>
      </c>
      <c r="R903" s="9">
        <f>IF(AND($A903&gt;VLOOKUP(YEAR($A903),'Festive dates'!$A$2:$J$5,2,FALSE),$A903&lt;VLOOKUP(YEAR($A903),'Festive dates'!$A$2:$J$5,3,FALSE)),1,0)</f>
        <v>0</v>
      </c>
      <c r="S903" s="9">
        <f>IF($A903=VLOOKUP(YEAR($A903),'Festive dates'!$A$2:$J$5,2,FALSE),1,0)</f>
        <v>0</v>
      </c>
      <c r="T903" s="9">
        <f>IF($A903=VLOOKUP(YEAR($A903),'Festive dates'!$A$2:$J$5,3,FALSE),1,0)</f>
        <v>0</v>
      </c>
      <c r="U903" s="9">
        <f>IF($A903=VLOOKUP(YEAR($A903),'Festive dates'!$A$2:$J$5,4,FALSE),1,0)</f>
        <v>0</v>
      </c>
      <c r="V903" s="9">
        <f>IF(AND($A903&gt;=VLOOKUP(YEAR($A903),'Festive dates'!$A$2:$J$5,9,FALSE),$A903&lt;=VLOOKUP(YEAR($A903),'Festive dates'!$A$2:$J$5,10,FALSE)),1,0)</f>
        <v>1</v>
      </c>
      <c r="W903" s="9">
        <f>IF($A903=VLOOKUP(YEAR($A903),'Festive dates'!$A$2:$J$5,7,FALSE),1,0)</f>
        <v>0</v>
      </c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</row>
    <row r="904" spans="1:51">
      <c r="A904" s="8">
        <v>45919</v>
      </c>
      <c r="B904" s="9">
        <v>0</v>
      </c>
      <c r="C904" s="9">
        <v>0</v>
      </c>
      <c r="D904" s="9">
        <v>0</v>
      </c>
      <c r="E904" s="9">
        <v>0</v>
      </c>
      <c r="F904" s="9">
        <v>0</v>
      </c>
      <c r="G904" s="9">
        <v>0</v>
      </c>
      <c r="H904" s="9">
        <v>0</v>
      </c>
      <c r="I904" s="9">
        <v>0</v>
      </c>
      <c r="J904" s="9">
        <v>0</v>
      </c>
      <c r="K904" s="9">
        <v>0</v>
      </c>
      <c r="L904" s="9">
        <v>0</v>
      </c>
      <c r="M904" s="9">
        <v>0</v>
      </c>
      <c r="N904" s="9">
        <v>0</v>
      </c>
      <c r="O904" s="9">
        <v>0</v>
      </c>
      <c r="P904" s="9">
        <v>0</v>
      </c>
      <c r="Q904" s="9">
        <f>MAX(-20,MIN(10,$A904-VLOOKUP(YEAR($A904),'Festive dates'!$A$2:$J$5,8,FALSE)))</f>
        <v>-20</v>
      </c>
      <c r="R904" s="9">
        <f>IF(AND($A904&gt;VLOOKUP(YEAR($A904),'Festive dates'!$A$2:$J$5,2,FALSE),$A904&lt;VLOOKUP(YEAR($A904),'Festive dates'!$A$2:$J$5,3,FALSE)),1,0)</f>
        <v>0</v>
      </c>
      <c r="S904" s="9">
        <f>IF($A904=VLOOKUP(YEAR($A904),'Festive dates'!$A$2:$J$5,2,FALSE),1,0)</f>
        <v>0</v>
      </c>
      <c r="T904" s="9">
        <f>IF($A904=VLOOKUP(YEAR($A904),'Festive dates'!$A$2:$J$5,3,FALSE),1,0)</f>
        <v>0</v>
      </c>
      <c r="U904" s="9">
        <f>IF($A904=VLOOKUP(YEAR($A904),'Festive dates'!$A$2:$J$5,4,FALSE),1,0)</f>
        <v>0</v>
      </c>
      <c r="V904" s="9">
        <f>IF(AND($A904&gt;=VLOOKUP(YEAR($A904),'Festive dates'!$A$2:$J$5,9,FALSE),$A904&lt;=VLOOKUP(YEAR($A904),'Festive dates'!$A$2:$J$5,10,FALSE)),1,0)</f>
        <v>1</v>
      </c>
      <c r="W904" s="9">
        <f>IF($A904=VLOOKUP(YEAR($A904),'Festive dates'!$A$2:$J$5,7,FALSE),1,0)</f>
        <v>0</v>
      </c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</row>
    <row r="905" spans="1:51">
      <c r="A905" s="8">
        <v>45920</v>
      </c>
      <c r="B905" s="9">
        <v>0</v>
      </c>
      <c r="C905" s="9">
        <v>0</v>
      </c>
      <c r="D905" s="9">
        <v>0</v>
      </c>
      <c r="E905" s="9">
        <v>0</v>
      </c>
      <c r="F905" s="9">
        <v>0</v>
      </c>
      <c r="G905" s="9">
        <v>0</v>
      </c>
      <c r="H905" s="9">
        <v>0</v>
      </c>
      <c r="I905" s="9">
        <v>0</v>
      </c>
      <c r="J905" s="9">
        <v>0</v>
      </c>
      <c r="K905" s="9">
        <v>0</v>
      </c>
      <c r="L905" s="9">
        <v>0</v>
      </c>
      <c r="M905" s="9">
        <v>0</v>
      </c>
      <c r="N905" s="9">
        <v>0</v>
      </c>
      <c r="O905" s="9">
        <v>0</v>
      </c>
      <c r="P905" s="9">
        <v>0</v>
      </c>
      <c r="Q905" s="9">
        <f>MAX(-20,MIN(10,$A905-VLOOKUP(YEAR($A905),'Festive dates'!$A$2:$J$5,8,FALSE)))</f>
        <v>-20</v>
      </c>
      <c r="R905" s="9">
        <f>IF(AND($A905&gt;VLOOKUP(YEAR($A905),'Festive dates'!$A$2:$J$5,2,FALSE),$A905&lt;VLOOKUP(YEAR($A905),'Festive dates'!$A$2:$J$5,3,FALSE)),1,0)</f>
        <v>0</v>
      </c>
      <c r="S905" s="9">
        <f>IF($A905=VLOOKUP(YEAR($A905),'Festive dates'!$A$2:$J$5,2,FALSE),1,0)</f>
        <v>0</v>
      </c>
      <c r="T905" s="9">
        <f>IF($A905=VLOOKUP(YEAR($A905),'Festive dates'!$A$2:$J$5,3,FALSE),1,0)</f>
        <v>0</v>
      </c>
      <c r="U905" s="9">
        <f>IF($A905=VLOOKUP(YEAR($A905),'Festive dates'!$A$2:$J$5,4,FALSE),1,0)</f>
        <v>0</v>
      </c>
      <c r="V905" s="9">
        <f>IF(AND($A905&gt;=VLOOKUP(YEAR($A905),'Festive dates'!$A$2:$J$5,9,FALSE),$A905&lt;=VLOOKUP(YEAR($A905),'Festive dates'!$A$2:$J$5,10,FALSE)),1,0)</f>
        <v>1</v>
      </c>
      <c r="W905" s="9">
        <f>IF($A905=VLOOKUP(YEAR($A905),'Festive dates'!$A$2:$J$5,7,FALSE),1,0)</f>
        <v>0</v>
      </c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</row>
    <row r="906" spans="1:51">
      <c r="A906" s="8">
        <v>45921</v>
      </c>
      <c r="B906" s="9">
        <v>0</v>
      </c>
      <c r="C906" s="9">
        <v>0</v>
      </c>
      <c r="D906" s="9">
        <v>0</v>
      </c>
      <c r="E906" s="9">
        <v>0</v>
      </c>
      <c r="F906" s="9">
        <v>0</v>
      </c>
      <c r="G906" s="9">
        <v>0</v>
      </c>
      <c r="H906" s="9">
        <v>0</v>
      </c>
      <c r="I906" s="9">
        <v>0</v>
      </c>
      <c r="J906" s="9">
        <v>0</v>
      </c>
      <c r="K906" s="9">
        <v>0</v>
      </c>
      <c r="L906" s="9">
        <v>0</v>
      </c>
      <c r="M906" s="9">
        <v>0</v>
      </c>
      <c r="N906" s="9">
        <v>0</v>
      </c>
      <c r="O906" s="9">
        <v>0</v>
      </c>
      <c r="P906" s="9">
        <v>0</v>
      </c>
      <c r="Q906" s="9">
        <f>MAX(-20,MIN(10,$A906-VLOOKUP(YEAR($A906),'Festive dates'!$A$2:$J$5,8,FALSE)))</f>
        <v>-20</v>
      </c>
      <c r="R906" s="9">
        <f>IF(AND($A906&gt;VLOOKUP(YEAR($A906),'Festive dates'!$A$2:$J$5,2,FALSE),$A906&lt;VLOOKUP(YEAR($A906),'Festive dates'!$A$2:$J$5,3,FALSE)),1,0)</f>
        <v>0</v>
      </c>
      <c r="S906" s="9">
        <f>IF($A906=VLOOKUP(YEAR($A906),'Festive dates'!$A$2:$J$5,2,FALSE),1,0)</f>
        <v>0</v>
      </c>
      <c r="T906" s="9">
        <f>IF($A906=VLOOKUP(YEAR($A906),'Festive dates'!$A$2:$J$5,3,FALSE),1,0)</f>
        <v>0</v>
      </c>
      <c r="U906" s="9">
        <f>IF($A906=VLOOKUP(YEAR($A906),'Festive dates'!$A$2:$J$5,4,FALSE),1,0)</f>
        <v>0</v>
      </c>
      <c r="V906" s="9">
        <f>IF(AND($A906&gt;=VLOOKUP(YEAR($A906),'Festive dates'!$A$2:$J$5,9,FALSE),$A906&lt;=VLOOKUP(YEAR($A906),'Festive dates'!$A$2:$J$5,10,FALSE)),1,0)</f>
        <v>1</v>
      </c>
      <c r="W906" s="9">
        <f>IF($A906=VLOOKUP(YEAR($A906),'Festive dates'!$A$2:$J$5,7,FALSE),1,0)</f>
        <v>0</v>
      </c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</row>
    <row r="907" spans="1:51">
      <c r="A907" s="8">
        <v>45922</v>
      </c>
      <c r="B907" s="9">
        <v>0</v>
      </c>
      <c r="C907" s="9">
        <v>0</v>
      </c>
      <c r="D907" s="9">
        <v>0</v>
      </c>
      <c r="E907" s="9">
        <v>0</v>
      </c>
      <c r="F907" s="9">
        <v>0</v>
      </c>
      <c r="G907" s="9">
        <v>0</v>
      </c>
      <c r="H907" s="9">
        <v>0</v>
      </c>
      <c r="I907" s="9">
        <v>0</v>
      </c>
      <c r="J907" s="9">
        <v>0</v>
      </c>
      <c r="K907" s="9">
        <v>0</v>
      </c>
      <c r="L907" s="9">
        <v>0</v>
      </c>
      <c r="M907" s="9">
        <v>0</v>
      </c>
      <c r="N907" s="9">
        <v>0</v>
      </c>
      <c r="O907" s="9">
        <v>0</v>
      </c>
      <c r="P907" s="9">
        <v>0</v>
      </c>
      <c r="Q907" s="9">
        <f>MAX(-20,MIN(10,$A907-VLOOKUP(YEAR($A907),'Festive dates'!$A$2:$J$5,8,FALSE)))</f>
        <v>-20</v>
      </c>
      <c r="R907" s="9">
        <f>IF(AND($A907&gt;VLOOKUP(YEAR($A907),'Festive dates'!$A$2:$J$5,2,FALSE),$A907&lt;VLOOKUP(YEAR($A907),'Festive dates'!$A$2:$J$5,3,FALSE)),1,0)</f>
        <v>0</v>
      </c>
      <c r="S907" s="9">
        <f>IF($A907=VLOOKUP(YEAR($A907),'Festive dates'!$A$2:$J$5,2,FALSE),1,0)</f>
        <v>1</v>
      </c>
      <c r="T907" s="9">
        <f>IF($A907=VLOOKUP(YEAR($A907),'Festive dates'!$A$2:$J$5,3,FALSE),1,0)</f>
        <v>0</v>
      </c>
      <c r="U907" s="9">
        <f>IF($A907=VLOOKUP(YEAR($A907),'Festive dates'!$A$2:$J$5,4,FALSE),1,0)</f>
        <v>0</v>
      </c>
      <c r="V907" s="9">
        <f>IF(AND($A907&gt;=VLOOKUP(YEAR($A907),'Festive dates'!$A$2:$J$5,9,FALSE),$A907&lt;=VLOOKUP(YEAR($A907),'Festive dates'!$A$2:$J$5,10,FALSE)),1,0)</f>
        <v>0</v>
      </c>
      <c r="W907" s="9">
        <f>IF($A907=VLOOKUP(YEAR($A907),'Festive dates'!$A$2:$J$5,7,FALSE),1,0)</f>
        <v>0</v>
      </c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</row>
    <row r="908" spans="1:51">
      <c r="A908" s="8">
        <v>45923</v>
      </c>
      <c r="B908" s="9">
        <v>0</v>
      </c>
      <c r="C908" s="9">
        <v>0</v>
      </c>
      <c r="D908" s="9">
        <v>0</v>
      </c>
      <c r="E908" s="9">
        <v>0</v>
      </c>
      <c r="F908" s="9">
        <v>0</v>
      </c>
      <c r="G908" s="9">
        <v>0</v>
      </c>
      <c r="H908" s="9">
        <v>0</v>
      </c>
      <c r="I908" s="9">
        <v>0</v>
      </c>
      <c r="J908" s="9">
        <v>0</v>
      </c>
      <c r="K908" s="9">
        <v>0</v>
      </c>
      <c r="L908" s="9">
        <v>0</v>
      </c>
      <c r="M908" s="9">
        <v>0</v>
      </c>
      <c r="N908" s="9">
        <v>0</v>
      </c>
      <c r="O908" s="9">
        <v>0</v>
      </c>
      <c r="P908" s="9">
        <v>0</v>
      </c>
      <c r="Q908" s="9">
        <f>MAX(-20,MIN(10,$A908-VLOOKUP(YEAR($A908),'Festive dates'!$A$2:$J$5,8,FALSE)))</f>
        <v>-20</v>
      </c>
      <c r="R908" s="9">
        <f>IF(AND($A908&gt;VLOOKUP(YEAR($A908),'Festive dates'!$A$2:$J$5,2,FALSE),$A908&lt;VLOOKUP(YEAR($A908),'Festive dates'!$A$2:$J$5,3,FALSE)),1,0)</f>
        <v>1</v>
      </c>
      <c r="S908" s="9">
        <f>IF($A908=VLOOKUP(YEAR($A908),'Festive dates'!$A$2:$J$5,2,FALSE),1,0)</f>
        <v>0</v>
      </c>
      <c r="T908" s="9">
        <f>IF($A908=VLOOKUP(YEAR($A908),'Festive dates'!$A$2:$J$5,3,FALSE),1,0)</f>
        <v>0</v>
      </c>
      <c r="U908" s="9">
        <f>IF($A908=VLOOKUP(YEAR($A908),'Festive dates'!$A$2:$J$5,4,FALSE),1,0)</f>
        <v>0</v>
      </c>
      <c r="V908" s="9">
        <f>IF(AND($A908&gt;=VLOOKUP(YEAR($A908),'Festive dates'!$A$2:$J$5,9,FALSE),$A908&lt;=VLOOKUP(YEAR($A908),'Festive dates'!$A$2:$J$5,10,FALSE)),1,0)</f>
        <v>0</v>
      </c>
      <c r="W908" s="9">
        <f>IF($A908=VLOOKUP(YEAR($A908),'Festive dates'!$A$2:$J$5,7,FALSE),1,0)</f>
        <v>0</v>
      </c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</row>
    <row r="909" spans="1:51">
      <c r="A909" s="8">
        <v>45924</v>
      </c>
      <c r="B909" s="9">
        <v>0</v>
      </c>
      <c r="C909" s="9">
        <v>0</v>
      </c>
      <c r="D909" s="9">
        <v>0</v>
      </c>
      <c r="E909" s="9">
        <v>0</v>
      </c>
      <c r="F909" s="9">
        <v>0</v>
      </c>
      <c r="G909" s="9">
        <v>0</v>
      </c>
      <c r="H909" s="9">
        <v>0</v>
      </c>
      <c r="I909" s="9">
        <v>0</v>
      </c>
      <c r="J909" s="9">
        <v>0</v>
      </c>
      <c r="K909" s="9">
        <v>0</v>
      </c>
      <c r="L909" s="9">
        <v>0</v>
      </c>
      <c r="M909" s="9">
        <v>0</v>
      </c>
      <c r="N909" s="9">
        <v>0</v>
      </c>
      <c r="O909" s="9">
        <v>0</v>
      </c>
      <c r="P909" s="9">
        <v>0</v>
      </c>
      <c r="Q909" s="9">
        <f>MAX(-20,MIN(10,$A909-VLOOKUP(YEAR($A909),'Festive dates'!$A$2:$J$5,8,FALSE)))</f>
        <v>-20</v>
      </c>
      <c r="R909" s="9">
        <f>IF(AND($A909&gt;VLOOKUP(YEAR($A909),'Festive dates'!$A$2:$J$5,2,FALSE),$A909&lt;VLOOKUP(YEAR($A909),'Festive dates'!$A$2:$J$5,3,FALSE)),1,0)</f>
        <v>1</v>
      </c>
      <c r="S909" s="9">
        <f>IF($A909=VLOOKUP(YEAR($A909),'Festive dates'!$A$2:$J$5,2,FALSE),1,0)</f>
        <v>0</v>
      </c>
      <c r="T909" s="9">
        <f>IF($A909=VLOOKUP(YEAR($A909),'Festive dates'!$A$2:$J$5,3,FALSE),1,0)</f>
        <v>0</v>
      </c>
      <c r="U909" s="9">
        <f>IF($A909=VLOOKUP(YEAR($A909),'Festive dates'!$A$2:$J$5,4,FALSE),1,0)</f>
        <v>0</v>
      </c>
      <c r="V909" s="9">
        <f>IF(AND($A909&gt;=VLOOKUP(YEAR($A909),'Festive dates'!$A$2:$J$5,9,FALSE),$A909&lt;=VLOOKUP(YEAR($A909),'Festive dates'!$A$2:$J$5,10,FALSE)),1,0)</f>
        <v>0</v>
      </c>
      <c r="W909" s="9">
        <f>IF($A909=VLOOKUP(YEAR($A909),'Festive dates'!$A$2:$J$5,7,FALSE),1,0)</f>
        <v>0</v>
      </c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</row>
    <row r="910" spans="1:51">
      <c r="A910" s="8">
        <v>45925</v>
      </c>
      <c r="B910" s="9">
        <v>0</v>
      </c>
      <c r="C910" s="9">
        <v>0</v>
      </c>
      <c r="D910" s="9">
        <v>0</v>
      </c>
      <c r="E910" s="9">
        <v>0</v>
      </c>
      <c r="F910" s="9">
        <v>0</v>
      </c>
      <c r="G910" s="9">
        <v>0</v>
      </c>
      <c r="H910" s="9">
        <v>0</v>
      </c>
      <c r="I910" s="9">
        <v>0</v>
      </c>
      <c r="J910" s="9">
        <v>0</v>
      </c>
      <c r="K910" s="9">
        <v>0</v>
      </c>
      <c r="L910" s="9">
        <v>0</v>
      </c>
      <c r="M910" s="9">
        <v>0</v>
      </c>
      <c r="N910" s="9">
        <v>0</v>
      </c>
      <c r="O910" s="9">
        <v>0</v>
      </c>
      <c r="P910" s="9">
        <v>0</v>
      </c>
      <c r="Q910" s="9">
        <f>MAX(-20,MIN(10,$A910-VLOOKUP(YEAR($A910),'Festive dates'!$A$2:$J$5,8,FALSE)))</f>
        <v>-20</v>
      </c>
      <c r="R910" s="9">
        <f>IF(AND($A910&gt;VLOOKUP(YEAR($A910),'Festive dates'!$A$2:$J$5,2,FALSE),$A910&lt;VLOOKUP(YEAR($A910),'Festive dates'!$A$2:$J$5,3,FALSE)),1,0)</f>
        <v>1</v>
      </c>
      <c r="S910" s="9">
        <f>IF($A910=VLOOKUP(YEAR($A910),'Festive dates'!$A$2:$J$5,2,FALSE),1,0)</f>
        <v>0</v>
      </c>
      <c r="T910" s="9">
        <f>IF($A910=VLOOKUP(YEAR($A910),'Festive dates'!$A$2:$J$5,3,FALSE),1,0)</f>
        <v>0</v>
      </c>
      <c r="U910" s="9">
        <f>IF($A910=VLOOKUP(YEAR($A910),'Festive dates'!$A$2:$J$5,4,FALSE),1,0)</f>
        <v>0</v>
      </c>
      <c r="V910" s="9">
        <f>IF(AND($A910&gt;=VLOOKUP(YEAR($A910),'Festive dates'!$A$2:$J$5,9,FALSE),$A910&lt;=VLOOKUP(YEAR($A910),'Festive dates'!$A$2:$J$5,10,FALSE)),1,0)</f>
        <v>0</v>
      </c>
      <c r="W910" s="9">
        <f>IF($A910=VLOOKUP(YEAR($A910),'Festive dates'!$A$2:$J$5,7,FALSE),1,0)</f>
        <v>0</v>
      </c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</row>
    <row r="911" spans="1:51">
      <c r="A911" s="8">
        <v>45926</v>
      </c>
      <c r="B911" s="9">
        <v>0</v>
      </c>
      <c r="C911" s="9">
        <v>0</v>
      </c>
      <c r="D911" s="9">
        <v>0</v>
      </c>
      <c r="E911" s="9">
        <v>0</v>
      </c>
      <c r="F911" s="9">
        <v>0</v>
      </c>
      <c r="G911" s="9">
        <v>0</v>
      </c>
      <c r="H911" s="9">
        <v>0</v>
      </c>
      <c r="I911" s="9">
        <v>0</v>
      </c>
      <c r="J911" s="9">
        <v>0</v>
      </c>
      <c r="K911" s="9">
        <v>0</v>
      </c>
      <c r="L911" s="9">
        <v>0</v>
      </c>
      <c r="M911" s="9">
        <v>0</v>
      </c>
      <c r="N911" s="9">
        <v>0</v>
      </c>
      <c r="O911" s="9">
        <v>0</v>
      </c>
      <c r="P911" s="9">
        <v>0</v>
      </c>
      <c r="Q911" s="9">
        <f>MAX(-20,MIN(10,$A911-VLOOKUP(YEAR($A911),'Festive dates'!$A$2:$J$5,8,FALSE)))</f>
        <v>-20</v>
      </c>
      <c r="R911" s="9">
        <f>IF(AND($A911&gt;VLOOKUP(YEAR($A911),'Festive dates'!$A$2:$J$5,2,FALSE),$A911&lt;VLOOKUP(YEAR($A911),'Festive dates'!$A$2:$J$5,3,FALSE)),1,0)</f>
        <v>1</v>
      </c>
      <c r="S911" s="9">
        <f>IF($A911=VLOOKUP(YEAR($A911),'Festive dates'!$A$2:$J$5,2,FALSE),1,0)</f>
        <v>0</v>
      </c>
      <c r="T911" s="9">
        <f>IF($A911=VLOOKUP(YEAR($A911),'Festive dates'!$A$2:$J$5,3,FALSE),1,0)</f>
        <v>0</v>
      </c>
      <c r="U911" s="9">
        <f>IF($A911=VLOOKUP(YEAR($A911),'Festive dates'!$A$2:$J$5,4,FALSE),1,0)</f>
        <v>0</v>
      </c>
      <c r="V911" s="9">
        <f>IF(AND($A911&gt;=VLOOKUP(YEAR($A911),'Festive dates'!$A$2:$J$5,9,FALSE),$A911&lt;=VLOOKUP(YEAR($A911),'Festive dates'!$A$2:$J$5,10,FALSE)),1,0)</f>
        <v>0</v>
      </c>
      <c r="W911" s="9">
        <f>IF($A911=VLOOKUP(YEAR($A911),'Festive dates'!$A$2:$J$5,7,FALSE),1,0)</f>
        <v>0</v>
      </c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</row>
    <row r="912" spans="1:51">
      <c r="A912" s="8">
        <v>45927</v>
      </c>
      <c r="B912" s="9">
        <v>0</v>
      </c>
      <c r="C912" s="9">
        <v>0</v>
      </c>
      <c r="D912" s="9">
        <v>0</v>
      </c>
      <c r="E912" s="9">
        <v>0</v>
      </c>
      <c r="F912" s="9">
        <v>0</v>
      </c>
      <c r="G912" s="9">
        <v>0</v>
      </c>
      <c r="H912" s="9">
        <v>0</v>
      </c>
      <c r="I912" s="9">
        <v>0</v>
      </c>
      <c r="J912" s="9">
        <v>0</v>
      </c>
      <c r="K912" s="9">
        <v>0</v>
      </c>
      <c r="L912" s="9">
        <v>0</v>
      </c>
      <c r="M912" s="9">
        <v>0</v>
      </c>
      <c r="N912" s="9">
        <v>0</v>
      </c>
      <c r="O912" s="9">
        <v>0</v>
      </c>
      <c r="P912" s="9">
        <v>0</v>
      </c>
      <c r="Q912" s="9">
        <f>MAX(-20,MIN(10,$A912-VLOOKUP(YEAR($A912),'Festive dates'!$A$2:$J$5,8,FALSE)))</f>
        <v>-20</v>
      </c>
      <c r="R912" s="9">
        <f>IF(AND($A912&gt;VLOOKUP(YEAR($A912),'Festive dates'!$A$2:$J$5,2,FALSE),$A912&lt;VLOOKUP(YEAR($A912),'Festive dates'!$A$2:$J$5,3,FALSE)),1,0)</f>
        <v>1</v>
      </c>
      <c r="S912" s="9">
        <f>IF($A912=VLOOKUP(YEAR($A912),'Festive dates'!$A$2:$J$5,2,FALSE),1,0)</f>
        <v>0</v>
      </c>
      <c r="T912" s="9">
        <f>IF($A912=VLOOKUP(YEAR($A912),'Festive dates'!$A$2:$J$5,3,FALSE),1,0)</f>
        <v>0</v>
      </c>
      <c r="U912" s="9">
        <f>IF($A912=VLOOKUP(YEAR($A912),'Festive dates'!$A$2:$J$5,4,FALSE),1,0)</f>
        <v>0</v>
      </c>
      <c r="V912" s="9">
        <f>IF(AND($A912&gt;=VLOOKUP(YEAR($A912),'Festive dates'!$A$2:$J$5,9,FALSE),$A912&lt;=VLOOKUP(YEAR($A912),'Festive dates'!$A$2:$J$5,10,FALSE)),1,0)</f>
        <v>0</v>
      </c>
      <c r="W912" s="9">
        <f>IF($A912=VLOOKUP(YEAR($A912),'Festive dates'!$A$2:$J$5,7,FALSE),1,0)</f>
        <v>0</v>
      </c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</row>
    <row r="913" spans="1:51">
      <c r="A913" s="8">
        <v>45928</v>
      </c>
      <c r="B913" s="9">
        <v>0</v>
      </c>
      <c r="C913" s="9">
        <v>0</v>
      </c>
      <c r="D913" s="9">
        <v>0</v>
      </c>
      <c r="E913" s="9">
        <v>0</v>
      </c>
      <c r="F913" s="9">
        <v>0</v>
      </c>
      <c r="G913" s="9">
        <v>0</v>
      </c>
      <c r="H913" s="9">
        <v>0</v>
      </c>
      <c r="I913" s="9">
        <v>0</v>
      </c>
      <c r="J913" s="9">
        <v>0</v>
      </c>
      <c r="K913" s="9">
        <v>0</v>
      </c>
      <c r="L913" s="9">
        <v>0</v>
      </c>
      <c r="M913" s="9">
        <v>0</v>
      </c>
      <c r="N913" s="9">
        <v>0</v>
      </c>
      <c r="O913" s="9">
        <v>0</v>
      </c>
      <c r="P913" s="9">
        <v>0</v>
      </c>
      <c r="Q913" s="9">
        <f>MAX(-20,MIN(10,$A913-VLOOKUP(YEAR($A913),'Festive dates'!$A$2:$J$5,8,FALSE)))</f>
        <v>-20</v>
      </c>
      <c r="R913" s="9">
        <f>IF(AND($A913&gt;VLOOKUP(YEAR($A913),'Festive dates'!$A$2:$J$5,2,FALSE),$A913&lt;VLOOKUP(YEAR($A913),'Festive dates'!$A$2:$J$5,3,FALSE)),1,0)</f>
        <v>1</v>
      </c>
      <c r="S913" s="9">
        <f>IF($A913=VLOOKUP(YEAR($A913),'Festive dates'!$A$2:$J$5,2,FALSE),1,0)</f>
        <v>0</v>
      </c>
      <c r="T913" s="9">
        <f>IF($A913=VLOOKUP(YEAR($A913),'Festive dates'!$A$2:$J$5,3,FALSE),1,0)</f>
        <v>0</v>
      </c>
      <c r="U913" s="9">
        <f>IF($A913=VLOOKUP(YEAR($A913),'Festive dates'!$A$2:$J$5,4,FALSE),1,0)</f>
        <v>0</v>
      </c>
      <c r="V913" s="9">
        <f>IF(AND($A913&gt;=VLOOKUP(YEAR($A913),'Festive dates'!$A$2:$J$5,9,FALSE),$A913&lt;=VLOOKUP(YEAR($A913),'Festive dates'!$A$2:$J$5,10,FALSE)),1,0)</f>
        <v>0</v>
      </c>
      <c r="W913" s="9">
        <f>IF($A913=VLOOKUP(YEAR($A913),'Festive dates'!$A$2:$J$5,7,FALSE),1,0)</f>
        <v>0</v>
      </c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</row>
    <row r="914" spans="1:51">
      <c r="A914" s="8">
        <v>45929</v>
      </c>
      <c r="B914" s="9">
        <v>0</v>
      </c>
      <c r="C914" s="9">
        <v>0</v>
      </c>
      <c r="D914" s="9">
        <v>0</v>
      </c>
      <c r="E914" s="9">
        <v>0</v>
      </c>
      <c r="F914" s="9">
        <v>0</v>
      </c>
      <c r="G914" s="9">
        <v>0</v>
      </c>
      <c r="H914" s="9">
        <v>0</v>
      </c>
      <c r="I914" s="9">
        <v>0</v>
      </c>
      <c r="J914" s="9">
        <v>0</v>
      </c>
      <c r="K914" s="9">
        <v>0</v>
      </c>
      <c r="L914" s="9">
        <v>0</v>
      </c>
      <c r="M914" s="9">
        <v>0</v>
      </c>
      <c r="N914" s="9">
        <v>0</v>
      </c>
      <c r="O914" s="9">
        <v>0</v>
      </c>
      <c r="P914" s="9">
        <v>0</v>
      </c>
      <c r="Q914" s="9">
        <f>MAX(-20,MIN(10,$A914-VLOOKUP(YEAR($A914),'Festive dates'!$A$2:$J$5,8,FALSE)))</f>
        <v>-20</v>
      </c>
      <c r="R914" s="9">
        <f>IF(AND($A914&gt;VLOOKUP(YEAR($A914),'Festive dates'!$A$2:$J$5,2,FALSE),$A914&lt;VLOOKUP(YEAR($A914),'Festive dates'!$A$2:$J$5,3,FALSE)),1,0)</f>
        <v>1</v>
      </c>
      <c r="S914" s="9">
        <f>IF($A914=VLOOKUP(YEAR($A914),'Festive dates'!$A$2:$J$5,2,FALSE),1,0)</f>
        <v>0</v>
      </c>
      <c r="T914" s="9">
        <f>IF($A914=VLOOKUP(YEAR($A914),'Festive dates'!$A$2:$J$5,3,FALSE),1,0)</f>
        <v>0</v>
      </c>
      <c r="U914" s="9">
        <f>IF($A914=VLOOKUP(YEAR($A914),'Festive dates'!$A$2:$J$5,4,FALSE),1,0)</f>
        <v>0</v>
      </c>
      <c r="V914" s="9">
        <f>IF(AND($A914&gt;=VLOOKUP(YEAR($A914),'Festive dates'!$A$2:$J$5,9,FALSE),$A914&lt;=VLOOKUP(YEAR($A914),'Festive dates'!$A$2:$J$5,10,FALSE)),1,0)</f>
        <v>0</v>
      </c>
      <c r="W914" s="9">
        <f>IF($A914=VLOOKUP(YEAR($A914),'Festive dates'!$A$2:$J$5,7,FALSE),1,0)</f>
        <v>0</v>
      </c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</row>
    <row r="915" spans="1:51">
      <c r="A915" s="8">
        <v>45930</v>
      </c>
      <c r="B915" s="9">
        <v>0</v>
      </c>
      <c r="C915" s="9">
        <v>0</v>
      </c>
      <c r="D915" s="9">
        <v>0</v>
      </c>
      <c r="E915" s="9">
        <v>0</v>
      </c>
      <c r="F915" s="9">
        <v>0</v>
      </c>
      <c r="G915" s="9">
        <v>0</v>
      </c>
      <c r="H915" s="9">
        <v>0</v>
      </c>
      <c r="I915" s="9">
        <v>0</v>
      </c>
      <c r="J915" s="9">
        <v>0</v>
      </c>
      <c r="K915" s="9">
        <v>0</v>
      </c>
      <c r="L915" s="9">
        <v>0</v>
      </c>
      <c r="M915" s="9">
        <v>0</v>
      </c>
      <c r="N915" s="9">
        <v>0</v>
      </c>
      <c r="O915" s="9">
        <v>0</v>
      </c>
      <c r="P915" s="9">
        <v>0</v>
      </c>
      <c r="Q915" s="9">
        <f>MAX(-20,MIN(10,$A915-VLOOKUP(YEAR($A915),'Festive dates'!$A$2:$J$5,8,FALSE)))</f>
        <v>-20</v>
      </c>
      <c r="R915" s="9">
        <f>IF(AND($A915&gt;VLOOKUP(YEAR($A915),'Festive dates'!$A$2:$J$5,2,FALSE),$A915&lt;VLOOKUP(YEAR($A915),'Festive dates'!$A$2:$J$5,3,FALSE)),1,0)</f>
        <v>1</v>
      </c>
      <c r="S915" s="9">
        <f>IF($A915=VLOOKUP(YEAR($A915),'Festive dates'!$A$2:$J$5,2,FALSE),1,0)</f>
        <v>0</v>
      </c>
      <c r="T915" s="9">
        <f>IF($A915=VLOOKUP(YEAR($A915),'Festive dates'!$A$2:$J$5,3,FALSE),1,0)</f>
        <v>0</v>
      </c>
      <c r="U915" s="9">
        <f>IF($A915=VLOOKUP(YEAR($A915),'Festive dates'!$A$2:$J$5,4,FALSE),1,0)</f>
        <v>0</v>
      </c>
      <c r="V915" s="9">
        <f>IF(AND($A915&gt;=VLOOKUP(YEAR($A915),'Festive dates'!$A$2:$J$5,9,FALSE),$A915&lt;=VLOOKUP(YEAR($A915),'Festive dates'!$A$2:$J$5,10,FALSE)),1,0)</f>
        <v>0</v>
      </c>
      <c r="W915" s="9">
        <f>IF($A915=VLOOKUP(YEAR($A915),'Festive dates'!$A$2:$J$5,7,FALSE),1,0)</f>
        <v>0</v>
      </c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</row>
    <row r="916" spans="1:51">
      <c r="A916" s="8">
        <v>45931</v>
      </c>
      <c r="B916" s="9">
        <v>0</v>
      </c>
      <c r="C916" s="9">
        <v>0</v>
      </c>
      <c r="D916" s="9">
        <v>0</v>
      </c>
      <c r="E916" s="9">
        <v>0</v>
      </c>
      <c r="F916" s="9">
        <v>0</v>
      </c>
      <c r="G916" s="9">
        <v>0</v>
      </c>
      <c r="H916" s="9">
        <v>0</v>
      </c>
      <c r="I916" s="9">
        <v>0</v>
      </c>
      <c r="J916" s="9">
        <v>0</v>
      </c>
      <c r="K916" s="9">
        <v>0</v>
      </c>
      <c r="L916" s="9">
        <v>0</v>
      </c>
      <c r="M916" s="9">
        <v>0</v>
      </c>
      <c r="N916" s="9">
        <v>0</v>
      </c>
      <c r="O916" s="9">
        <v>0</v>
      </c>
      <c r="P916" s="9">
        <v>0</v>
      </c>
      <c r="Q916" s="9">
        <f>MAX(-20,MIN(10,$A916-VLOOKUP(YEAR($A916),'Festive dates'!$A$2:$J$5,8,FALSE)))</f>
        <v>-19</v>
      </c>
      <c r="R916" s="9">
        <f>IF(AND($A916&gt;VLOOKUP(YEAR($A916),'Festive dates'!$A$2:$J$5,2,FALSE),$A916&lt;VLOOKUP(YEAR($A916),'Festive dates'!$A$2:$J$5,3,FALSE)),1,0)</f>
        <v>0</v>
      </c>
      <c r="S916" s="9">
        <f>IF($A916=VLOOKUP(YEAR($A916),'Festive dates'!$A$2:$J$5,2,FALSE),1,0)</f>
        <v>0</v>
      </c>
      <c r="T916" s="9">
        <f>IF($A916=VLOOKUP(YEAR($A916),'Festive dates'!$A$2:$J$5,3,FALSE),1,0)</f>
        <v>1</v>
      </c>
      <c r="U916" s="9">
        <f>IF($A916=VLOOKUP(YEAR($A916),'Festive dates'!$A$2:$J$5,4,FALSE),1,0)</f>
        <v>0</v>
      </c>
      <c r="V916" s="9">
        <f>IF(AND($A916&gt;=VLOOKUP(YEAR($A916),'Festive dates'!$A$2:$J$5,9,FALSE),$A916&lt;=VLOOKUP(YEAR($A916),'Festive dates'!$A$2:$J$5,10,FALSE)),1,0)</f>
        <v>0</v>
      </c>
      <c r="W916" s="9">
        <f>IF($A916=VLOOKUP(YEAR($A916),'Festive dates'!$A$2:$J$5,7,FALSE),1,0)</f>
        <v>0</v>
      </c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</row>
    <row r="917" spans="1:51">
      <c r="A917" s="8">
        <v>45932</v>
      </c>
      <c r="B917" s="9">
        <v>0</v>
      </c>
      <c r="C917" s="9">
        <v>0</v>
      </c>
      <c r="D917" s="9">
        <v>0</v>
      </c>
      <c r="E917" s="9">
        <v>0</v>
      </c>
      <c r="F917" s="9">
        <v>0</v>
      </c>
      <c r="G917" s="9">
        <v>0</v>
      </c>
      <c r="H917" s="9">
        <v>0</v>
      </c>
      <c r="I917" s="9">
        <v>0</v>
      </c>
      <c r="J917" s="9">
        <v>0</v>
      </c>
      <c r="K917" s="9">
        <v>0</v>
      </c>
      <c r="L917" s="9">
        <v>0</v>
      </c>
      <c r="M917" s="9">
        <v>0</v>
      </c>
      <c r="N917" s="9">
        <v>0</v>
      </c>
      <c r="O917" s="9">
        <v>0</v>
      </c>
      <c r="P917" s="9">
        <v>0</v>
      </c>
      <c r="Q917" s="9">
        <f>MAX(-20,MIN(10,$A917-VLOOKUP(YEAR($A917),'Festive dates'!$A$2:$J$5,8,FALSE)))</f>
        <v>-18</v>
      </c>
      <c r="R917" s="9">
        <f>IF(AND($A917&gt;VLOOKUP(YEAR($A917),'Festive dates'!$A$2:$J$5,2,FALSE),$A917&lt;VLOOKUP(YEAR($A917),'Festive dates'!$A$2:$J$5,3,FALSE)),1,0)</f>
        <v>0</v>
      </c>
      <c r="S917" s="9">
        <f>IF($A917=VLOOKUP(YEAR($A917),'Festive dates'!$A$2:$J$5,2,FALSE),1,0)</f>
        <v>0</v>
      </c>
      <c r="T917" s="9">
        <f>IF($A917=VLOOKUP(YEAR($A917),'Festive dates'!$A$2:$J$5,3,FALSE),1,0)</f>
        <v>0</v>
      </c>
      <c r="U917" s="9">
        <f>IF($A917=VLOOKUP(YEAR($A917),'Festive dates'!$A$2:$J$5,4,FALSE),1,0)</f>
        <v>1</v>
      </c>
      <c r="V917" s="9">
        <f>IF(AND($A917&gt;=VLOOKUP(YEAR($A917),'Festive dates'!$A$2:$J$5,9,FALSE),$A917&lt;=VLOOKUP(YEAR($A917),'Festive dates'!$A$2:$J$5,10,FALSE)),1,0)</f>
        <v>0</v>
      </c>
      <c r="W917" s="9">
        <f>IF($A917=VLOOKUP(YEAR($A917),'Festive dates'!$A$2:$J$5,7,FALSE),1,0)</f>
        <v>0</v>
      </c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</row>
    <row r="918" spans="1:51">
      <c r="A918" s="8">
        <v>45933</v>
      </c>
      <c r="B918" s="9">
        <v>0</v>
      </c>
      <c r="C918" s="9">
        <v>0</v>
      </c>
      <c r="D918" s="9">
        <v>0</v>
      </c>
      <c r="E918" s="9">
        <v>0</v>
      </c>
      <c r="F918" s="9">
        <v>0</v>
      </c>
      <c r="G918" s="9">
        <v>0</v>
      </c>
      <c r="H918" s="9">
        <v>0</v>
      </c>
      <c r="I918" s="9">
        <v>0</v>
      </c>
      <c r="J918" s="9">
        <v>0</v>
      </c>
      <c r="K918" s="9">
        <v>0</v>
      </c>
      <c r="L918" s="9">
        <v>0</v>
      </c>
      <c r="M918" s="9">
        <v>0</v>
      </c>
      <c r="N918" s="9">
        <v>0</v>
      </c>
      <c r="O918" s="9">
        <v>0</v>
      </c>
      <c r="P918" s="9">
        <v>0</v>
      </c>
      <c r="Q918" s="9">
        <f>MAX(-20,MIN(10,$A918-VLOOKUP(YEAR($A918),'Festive dates'!$A$2:$J$5,8,FALSE)))</f>
        <v>-17</v>
      </c>
      <c r="R918" s="9">
        <f>IF(AND($A918&gt;VLOOKUP(YEAR($A918),'Festive dates'!$A$2:$J$5,2,FALSE),$A918&lt;VLOOKUP(YEAR($A918),'Festive dates'!$A$2:$J$5,3,FALSE)),1,0)</f>
        <v>0</v>
      </c>
      <c r="S918" s="9">
        <f>IF($A918=VLOOKUP(YEAR($A918),'Festive dates'!$A$2:$J$5,2,FALSE),1,0)</f>
        <v>0</v>
      </c>
      <c r="T918" s="9">
        <f>IF($A918=VLOOKUP(YEAR($A918),'Festive dates'!$A$2:$J$5,3,FALSE),1,0)</f>
        <v>0</v>
      </c>
      <c r="U918" s="9">
        <f>IF($A918=VLOOKUP(YEAR($A918),'Festive dates'!$A$2:$J$5,4,FALSE),1,0)</f>
        <v>0</v>
      </c>
      <c r="V918" s="9">
        <f>IF(AND($A918&gt;=VLOOKUP(YEAR($A918),'Festive dates'!$A$2:$J$5,9,FALSE),$A918&lt;=VLOOKUP(YEAR($A918),'Festive dates'!$A$2:$J$5,10,FALSE)),1,0)</f>
        <v>0</v>
      </c>
      <c r="W918" s="9">
        <f>IF($A918=VLOOKUP(YEAR($A918),'Festive dates'!$A$2:$J$5,7,FALSE),1,0)</f>
        <v>0</v>
      </c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</row>
    <row r="919" spans="1:51">
      <c r="A919" s="8">
        <v>45934</v>
      </c>
      <c r="B919" s="9">
        <v>0</v>
      </c>
      <c r="C919" s="9">
        <v>0</v>
      </c>
      <c r="D919" s="9">
        <v>0</v>
      </c>
      <c r="E919" s="9">
        <v>0</v>
      </c>
      <c r="F919" s="9">
        <v>0</v>
      </c>
      <c r="G919" s="9">
        <v>0</v>
      </c>
      <c r="H919" s="9">
        <v>0</v>
      </c>
      <c r="I919" s="9">
        <v>0</v>
      </c>
      <c r="J919" s="9">
        <v>0</v>
      </c>
      <c r="K919" s="9">
        <v>0</v>
      </c>
      <c r="L919" s="9">
        <v>0</v>
      </c>
      <c r="M919" s="9">
        <v>0</v>
      </c>
      <c r="N919" s="9">
        <v>0</v>
      </c>
      <c r="O919" s="9">
        <v>0</v>
      </c>
      <c r="P919" s="9">
        <v>0</v>
      </c>
      <c r="Q919" s="9">
        <f>MAX(-20,MIN(10,$A919-VLOOKUP(YEAR($A919),'Festive dates'!$A$2:$J$5,8,FALSE)))</f>
        <v>-16</v>
      </c>
      <c r="R919" s="9">
        <f>IF(AND($A919&gt;VLOOKUP(YEAR($A919),'Festive dates'!$A$2:$J$5,2,FALSE),$A919&lt;VLOOKUP(YEAR($A919),'Festive dates'!$A$2:$J$5,3,FALSE)),1,0)</f>
        <v>0</v>
      </c>
      <c r="S919" s="9">
        <f>IF($A919=VLOOKUP(YEAR($A919),'Festive dates'!$A$2:$J$5,2,FALSE),1,0)</f>
        <v>0</v>
      </c>
      <c r="T919" s="9">
        <f>IF($A919=VLOOKUP(YEAR($A919),'Festive dates'!$A$2:$J$5,3,FALSE),1,0)</f>
        <v>0</v>
      </c>
      <c r="U919" s="9">
        <f>IF($A919=VLOOKUP(YEAR($A919),'Festive dates'!$A$2:$J$5,4,FALSE),1,0)</f>
        <v>0</v>
      </c>
      <c r="V919" s="9">
        <f>IF(AND($A919&gt;=VLOOKUP(YEAR($A919),'Festive dates'!$A$2:$J$5,9,FALSE),$A919&lt;=VLOOKUP(YEAR($A919),'Festive dates'!$A$2:$J$5,10,FALSE)),1,0)</f>
        <v>0</v>
      </c>
      <c r="W919" s="9">
        <f>IF($A919=VLOOKUP(YEAR($A919),'Festive dates'!$A$2:$J$5,7,FALSE),1,0)</f>
        <v>0</v>
      </c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</row>
    <row r="920" spans="1:51">
      <c r="A920" s="8">
        <v>45935</v>
      </c>
      <c r="B920" s="9">
        <v>0</v>
      </c>
      <c r="C920" s="9">
        <v>0</v>
      </c>
      <c r="D920" s="9">
        <v>0</v>
      </c>
      <c r="E920" s="9">
        <v>0</v>
      </c>
      <c r="F920" s="9">
        <v>0</v>
      </c>
      <c r="G920" s="9">
        <v>0</v>
      </c>
      <c r="H920" s="9">
        <v>0</v>
      </c>
      <c r="I920" s="9">
        <v>0</v>
      </c>
      <c r="J920" s="9">
        <v>0</v>
      </c>
      <c r="K920" s="9">
        <v>0</v>
      </c>
      <c r="L920" s="9">
        <v>0</v>
      </c>
      <c r="M920" s="9">
        <v>0</v>
      </c>
      <c r="N920" s="9">
        <v>0</v>
      </c>
      <c r="O920" s="9">
        <v>0</v>
      </c>
      <c r="P920" s="9">
        <v>0</v>
      </c>
      <c r="Q920" s="9">
        <f>MAX(-20,MIN(10,$A920-VLOOKUP(YEAR($A920),'Festive dates'!$A$2:$J$5,8,FALSE)))</f>
        <v>-15</v>
      </c>
      <c r="R920" s="9">
        <f>IF(AND($A920&gt;VLOOKUP(YEAR($A920),'Festive dates'!$A$2:$J$5,2,FALSE),$A920&lt;VLOOKUP(YEAR($A920),'Festive dates'!$A$2:$J$5,3,FALSE)),1,0)</f>
        <v>0</v>
      </c>
      <c r="S920" s="9">
        <f>IF($A920=VLOOKUP(YEAR($A920),'Festive dates'!$A$2:$J$5,2,FALSE),1,0)</f>
        <v>0</v>
      </c>
      <c r="T920" s="9">
        <f>IF($A920=VLOOKUP(YEAR($A920),'Festive dates'!$A$2:$J$5,3,FALSE),1,0)</f>
        <v>0</v>
      </c>
      <c r="U920" s="9">
        <f>IF($A920=VLOOKUP(YEAR($A920),'Festive dates'!$A$2:$J$5,4,FALSE),1,0)</f>
        <v>0</v>
      </c>
      <c r="V920" s="9">
        <f>IF(AND($A920&gt;=VLOOKUP(YEAR($A920),'Festive dates'!$A$2:$J$5,9,FALSE),$A920&lt;=VLOOKUP(YEAR($A920),'Festive dates'!$A$2:$J$5,10,FALSE)),1,0)</f>
        <v>0</v>
      </c>
      <c r="W920" s="9">
        <f>IF($A920=VLOOKUP(YEAR($A920),'Festive dates'!$A$2:$J$5,7,FALSE),1,0)</f>
        <v>0</v>
      </c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</row>
    <row r="921" spans="1:51">
      <c r="A921" s="8">
        <v>45936</v>
      </c>
      <c r="B921" s="9">
        <v>0</v>
      </c>
      <c r="C921" s="9">
        <v>0</v>
      </c>
      <c r="D921" s="9">
        <v>0</v>
      </c>
      <c r="E921" s="9">
        <v>0</v>
      </c>
      <c r="F921" s="9">
        <v>0</v>
      </c>
      <c r="G921" s="9">
        <v>0</v>
      </c>
      <c r="H921" s="9">
        <v>0</v>
      </c>
      <c r="I921" s="9">
        <v>0</v>
      </c>
      <c r="J921" s="9">
        <v>0</v>
      </c>
      <c r="K921" s="9">
        <v>0</v>
      </c>
      <c r="L921" s="9">
        <v>0</v>
      </c>
      <c r="M921" s="9">
        <v>0</v>
      </c>
      <c r="N921" s="9">
        <v>0</v>
      </c>
      <c r="O921" s="9">
        <v>0</v>
      </c>
      <c r="P921" s="9">
        <v>0</v>
      </c>
      <c r="Q921" s="9">
        <f>MAX(-20,MIN(10,$A921-VLOOKUP(YEAR($A921),'Festive dates'!$A$2:$J$5,8,FALSE)))</f>
        <v>-14</v>
      </c>
      <c r="R921" s="9">
        <f>IF(AND($A921&gt;VLOOKUP(YEAR($A921),'Festive dates'!$A$2:$J$5,2,FALSE),$A921&lt;VLOOKUP(YEAR($A921),'Festive dates'!$A$2:$J$5,3,FALSE)),1,0)</f>
        <v>0</v>
      </c>
      <c r="S921" s="9">
        <f>IF($A921=VLOOKUP(YEAR($A921),'Festive dates'!$A$2:$J$5,2,FALSE),1,0)</f>
        <v>0</v>
      </c>
      <c r="T921" s="9">
        <f>IF($A921=VLOOKUP(YEAR($A921),'Festive dates'!$A$2:$J$5,3,FALSE),1,0)</f>
        <v>0</v>
      </c>
      <c r="U921" s="9">
        <f>IF($A921=VLOOKUP(YEAR($A921),'Festive dates'!$A$2:$J$5,4,FALSE),1,0)</f>
        <v>0</v>
      </c>
      <c r="V921" s="9">
        <f>IF(AND($A921&gt;=VLOOKUP(YEAR($A921),'Festive dates'!$A$2:$J$5,9,FALSE),$A921&lt;=VLOOKUP(YEAR($A921),'Festive dates'!$A$2:$J$5,10,FALSE)),1,0)</f>
        <v>0</v>
      </c>
      <c r="W921" s="9">
        <f>IF($A921=VLOOKUP(YEAR($A921),'Festive dates'!$A$2:$J$5,7,FALSE),1,0)</f>
        <v>0</v>
      </c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</row>
    <row r="922" spans="1:51">
      <c r="A922" s="8">
        <v>45937</v>
      </c>
      <c r="B922" s="9">
        <v>0</v>
      </c>
      <c r="C922" s="9">
        <v>0</v>
      </c>
      <c r="D922" s="9">
        <v>0</v>
      </c>
      <c r="E922" s="9">
        <v>0</v>
      </c>
      <c r="F922" s="9">
        <v>0</v>
      </c>
      <c r="G922" s="9">
        <v>0</v>
      </c>
      <c r="H922" s="9">
        <v>0</v>
      </c>
      <c r="I922" s="9">
        <v>0</v>
      </c>
      <c r="J922" s="9">
        <v>0</v>
      </c>
      <c r="K922" s="9">
        <v>0</v>
      </c>
      <c r="L922" s="9">
        <v>0</v>
      </c>
      <c r="M922" s="9">
        <v>0</v>
      </c>
      <c r="N922" s="9">
        <v>0</v>
      </c>
      <c r="O922" s="9">
        <v>0</v>
      </c>
      <c r="P922" s="9">
        <v>0</v>
      </c>
      <c r="Q922" s="9">
        <f>MAX(-20,MIN(10,$A922-VLOOKUP(YEAR($A922),'Festive dates'!$A$2:$J$5,8,FALSE)))</f>
        <v>-13</v>
      </c>
      <c r="R922" s="9">
        <f>IF(AND($A922&gt;VLOOKUP(YEAR($A922),'Festive dates'!$A$2:$J$5,2,FALSE),$A922&lt;VLOOKUP(YEAR($A922),'Festive dates'!$A$2:$J$5,3,FALSE)),1,0)</f>
        <v>0</v>
      </c>
      <c r="S922" s="9">
        <f>IF($A922=VLOOKUP(YEAR($A922),'Festive dates'!$A$2:$J$5,2,FALSE),1,0)</f>
        <v>0</v>
      </c>
      <c r="T922" s="9">
        <f>IF($A922=VLOOKUP(YEAR($A922),'Festive dates'!$A$2:$J$5,3,FALSE),1,0)</f>
        <v>0</v>
      </c>
      <c r="U922" s="9">
        <f>IF($A922=VLOOKUP(YEAR($A922),'Festive dates'!$A$2:$J$5,4,FALSE),1,0)</f>
        <v>0</v>
      </c>
      <c r="V922" s="9">
        <f>IF(AND($A922&gt;=VLOOKUP(YEAR($A922),'Festive dates'!$A$2:$J$5,9,FALSE),$A922&lt;=VLOOKUP(YEAR($A922),'Festive dates'!$A$2:$J$5,10,FALSE)),1,0)</f>
        <v>0</v>
      </c>
      <c r="W922" s="9">
        <f>IF($A922=VLOOKUP(YEAR($A922),'Festive dates'!$A$2:$J$5,7,FALSE),1,0)</f>
        <v>0</v>
      </c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</row>
    <row r="923" spans="1:51">
      <c r="A923" s="8">
        <v>45938</v>
      </c>
      <c r="B923" s="9">
        <v>0</v>
      </c>
      <c r="C923" s="9">
        <v>0</v>
      </c>
      <c r="D923" s="9">
        <v>0</v>
      </c>
      <c r="E923" s="9">
        <v>0</v>
      </c>
      <c r="F923" s="9">
        <v>0</v>
      </c>
      <c r="G923" s="9">
        <v>0</v>
      </c>
      <c r="H923" s="9">
        <v>0</v>
      </c>
      <c r="I923" s="9">
        <v>0</v>
      </c>
      <c r="J923" s="9">
        <v>0</v>
      </c>
      <c r="K923" s="9">
        <v>0</v>
      </c>
      <c r="L923" s="9">
        <v>0</v>
      </c>
      <c r="M923" s="9">
        <v>0</v>
      </c>
      <c r="N923" s="9">
        <v>0</v>
      </c>
      <c r="O923" s="9">
        <v>0</v>
      </c>
      <c r="P923" s="9">
        <v>0</v>
      </c>
      <c r="Q923" s="9">
        <f>MAX(-20,MIN(10,$A923-VLOOKUP(YEAR($A923),'Festive dates'!$A$2:$J$5,8,FALSE)))</f>
        <v>-12</v>
      </c>
      <c r="R923" s="9">
        <f>IF(AND($A923&gt;VLOOKUP(YEAR($A923),'Festive dates'!$A$2:$J$5,2,FALSE),$A923&lt;VLOOKUP(YEAR($A923),'Festive dates'!$A$2:$J$5,3,FALSE)),1,0)</f>
        <v>0</v>
      </c>
      <c r="S923" s="9">
        <f>IF($A923=VLOOKUP(YEAR($A923),'Festive dates'!$A$2:$J$5,2,FALSE),1,0)</f>
        <v>0</v>
      </c>
      <c r="T923" s="9">
        <f>IF($A923=VLOOKUP(YEAR($A923),'Festive dates'!$A$2:$J$5,3,FALSE),1,0)</f>
        <v>0</v>
      </c>
      <c r="U923" s="9">
        <f>IF($A923=VLOOKUP(YEAR($A923),'Festive dates'!$A$2:$J$5,4,FALSE),1,0)</f>
        <v>0</v>
      </c>
      <c r="V923" s="9">
        <f>IF(AND($A923&gt;=VLOOKUP(YEAR($A923),'Festive dates'!$A$2:$J$5,9,FALSE),$A923&lt;=VLOOKUP(YEAR($A923),'Festive dates'!$A$2:$J$5,10,FALSE)),1,0)</f>
        <v>0</v>
      </c>
      <c r="W923" s="9">
        <f>IF($A923=VLOOKUP(YEAR($A923),'Festive dates'!$A$2:$J$5,7,FALSE),1,0)</f>
        <v>0</v>
      </c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</row>
    <row r="924" spans="1:51">
      <c r="A924" s="8">
        <v>45939</v>
      </c>
      <c r="B924" s="9">
        <v>0</v>
      </c>
      <c r="C924" s="9">
        <v>0</v>
      </c>
      <c r="D924" s="9">
        <v>0</v>
      </c>
      <c r="E924" s="9">
        <v>0</v>
      </c>
      <c r="F924" s="9">
        <v>0</v>
      </c>
      <c r="G924" s="9">
        <v>0</v>
      </c>
      <c r="H924" s="9">
        <v>0</v>
      </c>
      <c r="I924" s="9">
        <v>0</v>
      </c>
      <c r="J924" s="9">
        <v>0</v>
      </c>
      <c r="K924" s="9">
        <v>0</v>
      </c>
      <c r="L924" s="9">
        <v>0</v>
      </c>
      <c r="M924" s="9">
        <v>0</v>
      </c>
      <c r="N924" s="9">
        <v>0</v>
      </c>
      <c r="O924" s="9">
        <v>0</v>
      </c>
      <c r="P924" s="9">
        <v>0</v>
      </c>
      <c r="Q924" s="9">
        <f>MAX(-20,MIN(10,$A924-VLOOKUP(YEAR($A924),'Festive dates'!$A$2:$J$5,8,FALSE)))</f>
        <v>-11</v>
      </c>
      <c r="R924" s="9">
        <f>IF(AND($A924&gt;VLOOKUP(YEAR($A924),'Festive dates'!$A$2:$J$5,2,FALSE),$A924&lt;VLOOKUP(YEAR($A924),'Festive dates'!$A$2:$J$5,3,FALSE)),1,0)</f>
        <v>0</v>
      </c>
      <c r="S924" s="9">
        <f>IF($A924=VLOOKUP(YEAR($A924),'Festive dates'!$A$2:$J$5,2,FALSE),1,0)</f>
        <v>0</v>
      </c>
      <c r="T924" s="9">
        <f>IF($A924=VLOOKUP(YEAR($A924),'Festive dates'!$A$2:$J$5,3,FALSE),1,0)</f>
        <v>0</v>
      </c>
      <c r="U924" s="9">
        <f>IF($A924=VLOOKUP(YEAR($A924),'Festive dates'!$A$2:$J$5,4,FALSE),1,0)</f>
        <v>0</v>
      </c>
      <c r="V924" s="9">
        <f>IF(AND($A924&gt;=VLOOKUP(YEAR($A924),'Festive dates'!$A$2:$J$5,9,FALSE),$A924&lt;=VLOOKUP(YEAR($A924),'Festive dates'!$A$2:$J$5,10,FALSE)),1,0)</f>
        <v>0</v>
      </c>
      <c r="W924" s="9">
        <f>IF($A924=VLOOKUP(YEAR($A924),'Festive dates'!$A$2:$J$5,7,FALSE),1,0)</f>
        <v>0</v>
      </c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</row>
    <row r="925" spans="1:51">
      <c r="A925" s="8">
        <v>45940</v>
      </c>
      <c r="B925" s="9">
        <v>0</v>
      </c>
      <c r="C925" s="9">
        <v>0</v>
      </c>
      <c r="D925" s="9">
        <v>0</v>
      </c>
      <c r="E925" s="9">
        <v>0</v>
      </c>
      <c r="F925" s="9">
        <v>1</v>
      </c>
      <c r="G925" s="9">
        <v>0</v>
      </c>
      <c r="H925" s="9">
        <v>0</v>
      </c>
      <c r="I925" s="9">
        <v>0</v>
      </c>
      <c r="J925" s="9">
        <v>0</v>
      </c>
      <c r="K925" s="9">
        <v>0</v>
      </c>
      <c r="L925" s="9">
        <v>0</v>
      </c>
      <c r="M925" s="9">
        <v>0</v>
      </c>
      <c r="N925" s="9">
        <v>0</v>
      </c>
      <c r="O925" s="9">
        <v>0</v>
      </c>
      <c r="P925" s="9">
        <v>0</v>
      </c>
      <c r="Q925" s="9">
        <f>MAX(-20,MIN(10,$A925-VLOOKUP(YEAR($A925),'Festive dates'!$A$2:$J$5,8,FALSE)))</f>
        <v>-10</v>
      </c>
      <c r="R925" s="9">
        <f>IF(AND($A925&gt;VLOOKUP(YEAR($A925),'Festive dates'!$A$2:$J$5,2,FALSE),$A925&lt;VLOOKUP(YEAR($A925),'Festive dates'!$A$2:$J$5,3,FALSE)),1,0)</f>
        <v>0</v>
      </c>
      <c r="S925" s="9">
        <f>IF($A925=VLOOKUP(YEAR($A925),'Festive dates'!$A$2:$J$5,2,FALSE),1,0)</f>
        <v>0</v>
      </c>
      <c r="T925" s="9">
        <f>IF($A925=VLOOKUP(YEAR($A925),'Festive dates'!$A$2:$J$5,3,FALSE),1,0)</f>
        <v>0</v>
      </c>
      <c r="U925" s="9">
        <f>IF($A925=VLOOKUP(YEAR($A925),'Festive dates'!$A$2:$J$5,4,FALSE),1,0)</f>
        <v>0</v>
      </c>
      <c r="V925" s="9">
        <f>IF(AND($A925&gt;=VLOOKUP(YEAR($A925),'Festive dates'!$A$2:$J$5,9,FALSE),$A925&lt;=VLOOKUP(YEAR($A925),'Festive dates'!$A$2:$J$5,10,FALSE)),1,0)</f>
        <v>0</v>
      </c>
      <c r="W925" s="9">
        <f>IF($A925=VLOOKUP(YEAR($A925),'Festive dates'!$A$2:$J$5,7,FALSE),1,0)</f>
        <v>0</v>
      </c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</row>
    <row r="926" spans="1:51">
      <c r="A926" s="8">
        <v>45941</v>
      </c>
      <c r="B926" s="9">
        <v>0</v>
      </c>
      <c r="C926" s="9">
        <v>0</v>
      </c>
      <c r="D926" s="9">
        <v>0</v>
      </c>
      <c r="E926" s="9">
        <v>0</v>
      </c>
      <c r="F926" s="9">
        <v>0</v>
      </c>
      <c r="G926" s="9">
        <v>0</v>
      </c>
      <c r="H926" s="9">
        <v>0</v>
      </c>
      <c r="I926" s="9">
        <v>0</v>
      </c>
      <c r="J926" s="9">
        <v>0</v>
      </c>
      <c r="K926" s="9">
        <v>0</v>
      </c>
      <c r="L926" s="9">
        <v>0</v>
      </c>
      <c r="M926" s="9">
        <v>0</v>
      </c>
      <c r="N926" s="9">
        <v>0</v>
      </c>
      <c r="O926" s="9">
        <v>0</v>
      </c>
      <c r="P926" s="9">
        <v>0</v>
      </c>
      <c r="Q926" s="9">
        <f>MAX(-20,MIN(10,$A926-VLOOKUP(YEAR($A926),'Festive dates'!$A$2:$J$5,8,FALSE)))</f>
        <v>-9</v>
      </c>
      <c r="R926" s="9">
        <f>IF(AND($A926&gt;VLOOKUP(YEAR($A926),'Festive dates'!$A$2:$J$5,2,FALSE),$A926&lt;VLOOKUP(YEAR($A926),'Festive dates'!$A$2:$J$5,3,FALSE)),1,0)</f>
        <v>0</v>
      </c>
      <c r="S926" s="9">
        <f>IF($A926=VLOOKUP(YEAR($A926),'Festive dates'!$A$2:$J$5,2,FALSE),1,0)</f>
        <v>0</v>
      </c>
      <c r="T926" s="9">
        <f>IF($A926=VLOOKUP(YEAR($A926),'Festive dates'!$A$2:$J$5,3,FALSE),1,0)</f>
        <v>0</v>
      </c>
      <c r="U926" s="9">
        <f>IF($A926=VLOOKUP(YEAR($A926),'Festive dates'!$A$2:$J$5,4,FALSE),1,0)</f>
        <v>0</v>
      </c>
      <c r="V926" s="9">
        <f>IF(AND($A926&gt;=VLOOKUP(YEAR($A926),'Festive dates'!$A$2:$J$5,9,FALSE),$A926&lt;=VLOOKUP(YEAR($A926),'Festive dates'!$A$2:$J$5,10,FALSE)),1,0)</f>
        <v>0</v>
      </c>
      <c r="W926" s="9">
        <f>IF($A926=VLOOKUP(YEAR($A926),'Festive dates'!$A$2:$J$5,7,FALSE),1,0)</f>
        <v>0</v>
      </c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</row>
    <row r="927" spans="1:51">
      <c r="A927" s="8">
        <v>45942</v>
      </c>
      <c r="B927" s="9">
        <v>0</v>
      </c>
      <c r="C927" s="9">
        <v>0</v>
      </c>
      <c r="D927" s="9">
        <v>0</v>
      </c>
      <c r="E927" s="9">
        <v>0</v>
      </c>
      <c r="F927" s="9">
        <v>0</v>
      </c>
      <c r="G927" s="9">
        <v>0</v>
      </c>
      <c r="H927" s="9">
        <v>0</v>
      </c>
      <c r="I927" s="9">
        <v>0</v>
      </c>
      <c r="J927" s="9">
        <v>0</v>
      </c>
      <c r="K927" s="9">
        <v>0</v>
      </c>
      <c r="L927" s="9">
        <v>0</v>
      </c>
      <c r="M927" s="9">
        <v>0</v>
      </c>
      <c r="N927" s="9">
        <v>0</v>
      </c>
      <c r="O927" s="9">
        <v>0</v>
      </c>
      <c r="P927" s="9">
        <v>0</v>
      </c>
      <c r="Q927" s="9">
        <f>MAX(-20,MIN(10,$A927-VLOOKUP(YEAR($A927),'Festive dates'!$A$2:$J$5,8,FALSE)))</f>
        <v>-8</v>
      </c>
      <c r="R927" s="9">
        <f>IF(AND($A927&gt;VLOOKUP(YEAR($A927),'Festive dates'!$A$2:$J$5,2,FALSE),$A927&lt;VLOOKUP(YEAR($A927),'Festive dates'!$A$2:$J$5,3,FALSE)),1,0)</f>
        <v>0</v>
      </c>
      <c r="S927" s="9">
        <f>IF($A927=VLOOKUP(YEAR($A927),'Festive dates'!$A$2:$J$5,2,FALSE),1,0)</f>
        <v>0</v>
      </c>
      <c r="T927" s="9">
        <f>IF($A927=VLOOKUP(YEAR($A927),'Festive dates'!$A$2:$J$5,3,FALSE),1,0)</f>
        <v>0</v>
      </c>
      <c r="U927" s="9">
        <f>IF($A927=VLOOKUP(YEAR($A927),'Festive dates'!$A$2:$J$5,4,FALSE),1,0)</f>
        <v>0</v>
      </c>
      <c r="V927" s="9">
        <f>IF(AND($A927&gt;=VLOOKUP(YEAR($A927),'Festive dates'!$A$2:$J$5,9,FALSE),$A927&lt;=VLOOKUP(YEAR($A927),'Festive dates'!$A$2:$J$5,10,FALSE)),1,0)</f>
        <v>0</v>
      </c>
      <c r="W927" s="9">
        <f>IF($A927=VLOOKUP(YEAR($A927),'Festive dates'!$A$2:$J$5,7,FALSE),1,0)</f>
        <v>0</v>
      </c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</row>
    <row r="928" spans="1:51">
      <c r="A928" s="8">
        <v>45943</v>
      </c>
      <c r="B928" s="9">
        <v>0</v>
      </c>
      <c r="C928" s="9">
        <v>0</v>
      </c>
      <c r="D928" s="9">
        <v>0</v>
      </c>
      <c r="E928" s="9">
        <v>0</v>
      </c>
      <c r="F928" s="9">
        <v>0</v>
      </c>
      <c r="G928" s="9">
        <v>0</v>
      </c>
      <c r="H928" s="9">
        <v>0</v>
      </c>
      <c r="I928" s="9">
        <v>0</v>
      </c>
      <c r="J928" s="9">
        <v>0</v>
      </c>
      <c r="K928" s="9">
        <v>0</v>
      </c>
      <c r="L928" s="9">
        <v>0</v>
      </c>
      <c r="M928" s="9">
        <v>0</v>
      </c>
      <c r="N928" s="9">
        <v>0</v>
      </c>
      <c r="O928" s="9">
        <v>0</v>
      </c>
      <c r="P928" s="9">
        <v>0</v>
      </c>
      <c r="Q928" s="9">
        <f>MAX(-20,MIN(10,$A928-VLOOKUP(YEAR($A928),'Festive dates'!$A$2:$J$5,8,FALSE)))</f>
        <v>-7</v>
      </c>
      <c r="R928" s="9">
        <f>IF(AND($A928&gt;VLOOKUP(YEAR($A928),'Festive dates'!$A$2:$J$5,2,FALSE),$A928&lt;VLOOKUP(YEAR($A928),'Festive dates'!$A$2:$J$5,3,FALSE)),1,0)</f>
        <v>0</v>
      </c>
      <c r="S928" s="9">
        <f>IF($A928=VLOOKUP(YEAR($A928),'Festive dates'!$A$2:$J$5,2,FALSE),1,0)</f>
        <v>0</v>
      </c>
      <c r="T928" s="9">
        <f>IF($A928=VLOOKUP(YEAR($A928),'Festive dates'!$A$2:$J$5,3,FALSE),1,0)</f>
        <v>0</v>
      </c>
      <c r="U928" s="9">
        <f>IF($A928=VLOOKUP(YEAR($A928),'Festive dates'!$A$2:$J$5,4,FALSE),1,0)</f>
        <v>0</v>
      </c>
      <c r="V928" s="9">
        <f>IF(AND($A928&gt;=VLOOKUP(YEAR($A928),'Festive dates'!$A$2:$J$5,9,FALSE),$A928&lt;=VLOOKUP(YEAR($A928),'Festive dates'!$A$2:$J$5,10,FALSE)),1,0)</f>
        <v>0</v>
      </c>
      <c r="W928" s="9">
        <f>IF($A928=VLOOKUP(YEAR($A928),'Festive dates'!$A$2:$J$5,7,FALSE),1,0)</f>
        <v>0</v>
      </c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</row>
    <row r="929" spans="1:51">
      <c r="A929" s="8">
        <v>45944</v>
      </c>
      <c r="B929" s="9">
        <v>0</v>
      </c>
      <c r="C929" s="9">
        <v>0</v>
      </c>
      <c r="D929" s="9">
        <v>0</v>
      </c>
      <c r="E929" s="9">
        <v>0</v>
      </c>
      <c r="F929" s="9">
        <v>0</v>
      </c>
      <c r="G929" s="9">
        <v>0</v>
      </c>
      <c r="H929" s="9">
        <v>0</v>
      </c>
      <c r="I929" s="9">
        <v>0</v>
      </c>
      <c r="J929" s="9">
        <v>0</v>
      </c>
      <c r="K929" s="9">
        <v>0</v>
      </c>
      <c r="L929" s="9">
        <v>0</v>
      </c>
      <c r="M929" s="9">
        <v>0</v>
      </c>
      <c r="N929" s="9">
        <v>0</v>
      </c>
      <c r="O929" s="9">
        <v>0</v>
      </c>
      <c r="P929" s="9">
        <v>0</v>
      </c>
      <c r="Q929" s="9">
        <f>MAX(-20,MIN(10,$A929-VLOOKUP(YEAR($A929),'Festive dates'!$A$2:$J$5,8,FALSE)))</f>
        <v>-6</v>
      </c>
      <c r="R929" s="9">
        <f>IF(AND($A929&gt;VLOOKUP(YEAR($A929),'Festive dates'!$A$2:$J$5,2,FALSE),$A929&lt;VLOOKUP(YEAR($A929),'Festive dates'!$A$2:$J$5,3,FALSE)),1,0)</f>
        <v>0</v>
      </c>
      <c r="S929" s="9">
        <f>IF($A929=VLOOKUP(YEAR($A929),'Festive dates'!$A$2:$J$5,2,FALSE),1,0)</f>
        <v>0</v>
      </c>
      <c r="T929" s="9">
        <f>IF($A929=VLOOKUP(YEAR($A929),'Festive dates'!$A$2:$J$5,3,FALSE),1,0)</f>
        <v>0</v>
      </c>
      <c r="U929" s="9">
        <f>IF($A929=VLOOKUP(YEAR($A929),'Festive dates'!$A$2:$J$5,4,FALSE),1,0)</f>
        <v>0</v>
      </c>
      <c r="V929" s="9">
        <f>IF(AND($A929&gt;=VLOOKUP(YEAR($A929),'Festive dates'!$A$2:$J$5,9,FALSE),$A929&lt;=VLOOKUP(YEAR($A929),'Festive dates'!$A$2:$J$5,10,FALSE)),1,0)</f>
        <v>0</v>
      </c>
      <c r="W929" s="9">
        <f>IF($A929=VLOOKUP(YEAR($A929),'Festive dates'!$A$2:$J$5,7,FALSE),1,0)</f>
        <v>0</v>
      </c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</row>
    <row r="930" spans="1:51">
      <c r="A930" s="8">
        <v>45945</v>
      </c>
      <c r="B930" s="9">
        <v>0</v>
      </c>
      <c r="C930" s="9">
        <v>0</v>
      </c>
      <c r="D930" s="9">
        <v>0</v>
      </c>
      <c r="E930" s="9">
        <v>0</v>
      </c>
      <c r="F930" s="9">
        <v>0</v>
      </c>
      <c r="G930" s="9">
        <v>0</v>
      </c>
      <c r="H930" s="9">
        <v>0</v>
      </c>
      <c r="I930" s="9">
        <v>0</v>
      </c>
      <c r="J930" s="9">
        <v>0</v>
      </c>
      <c r="K930" s="9">
        <v>0</v>
      </c>
      <c r="L930" s="9">
        <v>0</v>
      </c>
      <c r="M930" s="9">
        <v>0</v>
      </c>
      <c r="N930" s="9">
        <v>0</v>
      </c>
      <c r="O930" s="9">
        <v>0</v>
      </c>
      <c r="P930" s="9">
        <v>0</v>
      </c>
      <c r="Q930" s="9">
        <f>MAX(-20,MIN(10,$A930-VLOOKUP(YEAR($A930),'Festive dates'!$A$2:$J$5,8,FALSE)))</f>
        <v>-5</v>
      </c>
      <c r="R930" s="9">
        <f>IF(AND($A930&gt;VLOOKUP(YEAR($A930),'Festive dates'!$A$2:$J$5,2,FALSE),$A930&lt;VLOOKUP(YEAR($A930),'Festive dates'!$A$2:$J$5,3,FALSE)),1,0)</f>
        <v>0</v>
      </c>
      <c r="S930" s="9">
        <f>IF($A930=VLOOKUP(YEAR($A930),'Festive dates'!$A$2:$J$5,2,FALSE),1,0)</f>
        <v>0</v>
      </c>
      <c r="T930" s="9">
        <f>IF($A930=VLOOKUP(YEAR($A930),'Festive dates'!$A$2:$J$5,3,FALSE),1,0)</f>
        <v>0</v>
      </c>
      <c r="U930" s="9">
        <f>IF($A930=VLOOKUP(YEAR($A930),'Festive dates'!$A$2:$J$5,4,FALSE),1,0)</f>
        <v>0</v>
      </c>
      <c r="V930" s="9">
        <f>IF(AND($A930&gt;=VLOOKUP(YEAR($A930),'Festive dates'!$A$2:$J$5,9,FALSE),$A930&lt;=VLOOKUP(YEAR($A930),'Festive dates'!$A$2:$J$5,10,FALSE)),1,0)</f>
        <v>0</v>
      </c>
      <c r="W930" s="9">
        <f>IF($A930=VLOOKUP(YEAR($A930),'Festive dates'!$A$2:$J$5,7,FALSE),1,0)</f>
        <v>0</v>
      </c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</row>
    <row r="931" spans="1:51">
      <c r="A931" s="8">
        <v>45946</v>
      </c>
      <c r="B931" s="9">
        <v>0</v>
      </c>
      <c r="C931" s="9">
        <v>0</v>
      </c>
      <c r="D931" s="9">
        <v>0</v>
      </c>
      <c r="E931" s="9">
        <v>0</v>
      </c>
      <c r="F931" s="9">
        <v>0</v>
      </c>
      <c r="G931" s="9">
        <v>0</v>
      </c>
      <c r="H931" s="9">
        <v>0</v>
      </c>
      <c r="I931" s="9">
        <v>0</v>
      </c>
      <c r="J931" s="9">
        <v>0</v>
      </c>
      <c r="K931" s="9">
        <v>0</v>
      </c>
      <c r="L931" s="9">
        <v>0</v>
      </c>
      <c r="M931" s="9">
        <v>0</v>
      </c>
      <c r="N931" s="9">
        <v>0</v>
      </c>
      <c r="O931" s="9">
        <v>0</v>
      </c>
      <c r="P931" s="9">
        <v>0</v>
      </c>
      <c r="Q931" s="9">
        <f>MAX(-20,MIN(10,$A931-VLOOKUP(YEAR($A931),'Festive dates'!$A$2:$J$5,8,FALSE)))</f>
        <v>-4</v>
      </c>
      <c r="R931" s="9">
        <f>IF(AND($A931&gt;VLOOKUP(YEAR($A931),'Festive dates'!$A$2:$J$5,2,FALSE),$A931&lt;VLOOKUP(YEAR($A931),'Festive dates'!$A$2:$J$5,3,FALSE)),1,0)</f>
        <v>0</v>
      </c>
      <c r="S931" s="9">
        <f>IF($A931=VLOOKUP(YEAR($A931),'Festive dates'!$A$2:$J$5,2,FALSE),1,0)</f>
        <v>0</v>
      </c>
      <c r="T931" s="9">
        <f>IF($A931=VLOOKUP(YEAR($A931),'Festive dates'!$A$2:$J$5,3,FALSE),1,0)</f>
        <v>0</v>
      </c>
      <c r="U931" s="9">
        <f>IF($A931=VLOOKUP(YEAR($A931),'Festive dates'!$A$2:$J$5,4,FALSE),1,0)</f>
        <v>0</v>
      </c>
      <c r="V931" s="9">
        <f>IF(AND($A931&gt;=VLOOKUP(YEAR($A931),'Festive dates'!$A$2:$J$5,9,FALSE),$A931&lt;=VLOOKUP(YEAR($A931),'Festive dates'!$A$2:$J$5,10,FALSE)),1,0)</f>
        <v>0</v>
      </c>
      <c r="W931" s="9">
        <f>IF($A931=VLOOKUP(YEAR($A931),'Festive dates'!$A$2:$J$5,7,FALSE),1,0)</f>
        <v>0</v>
      </c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</row>
    <row r="932" spans="1:51">
      <c r="A932" s="8">
        <v>45947</v>
      </c>
      <c r="B932" s="9">
        <v>0</v>
      </c>
      <c r="C932" s="9">
        <v>0</v>
      </c>
      <c r="D932" s="9">
        <v>0</v>
      </c>
      <c r="E932" s="9">
        <v>0</v>
      </c>
      <c r="F932" s="9">
        <v>0</v>
      </c>
      <c r="G932" s="9">
        <v>0</v>
      </c>
      <c r="H932" s="9">
        <v>0</v>
      </c>
      <c r="I932" s="9">
        <v>0</v>
      </c>
      <c r="J932" s="9">
        <v>0</v>
      </c>
      <c r="K932" s="9">
        <v>0</v>
      </c>
      <c r="L932" s="9">
        <v>0</v>
      </c>
      <c r="M932" s="9">
        <v>0</v>
      </c>
      <c r="N932" s="9">
        <v>0</v>
      </c>
      <c r="O932" s="9">
        <v>0</v>
      </c>
      <c r="P932" s="9">
        <v>0</v>
      </c>
      <c r="Q932" s="9">
        <f>MAX(-20,MIN(10,$A932-VLOOKUP(YEAR($A932),'Festive dates'!$A$2:$J$5,8,FALSE)))</f>
        <v>-3</v>
      </c>
      <c r="R932" s="9">
        <f>IF(AND($A932&gt;VLOOKUP(YEAR($A932),'Festive dates'!$A$2:$J$5,2,FALSE),$A932&lt;VLOOKUP(YEAR($A932),'Festive dates'!$A$2:$J$5,3,FALSE)),1,0)</f>
        <v>0</v>
      </c>
      <c r="S932" s="9">
        <f>IF($A932=VLOOKUP(YEAR($A932),'Festive dates'!$A$2:$J$5,2,FALSE),1,0)</f>
        <v>0</v>
      </c>
      <c r="T932" s="9">
        <f>IF($A932=VLOOKUP(YEAR($A932),'Festive dates'!$A$2:$J$5,3,FALSE),1,0)</f>
        <v>0</v>
      </c>
      <c r="U932" s="9">
        <f>IF($A932=VLOOKUP(YEAR($A932),'Festive dates'!$A$2:$J$5,4,FALSE),1,0)</f>
        <v>0</v>
      </c>
      <c r="V932" s="9">
        <f>IF(AND($A932&gt;=VLOOKUP(YEAR($A932),'Festive dates'!$A$2:$J$5,9,FALSE),$A932&lt;=VLOOKUP(YEAR($A932),'Festive dates'!$A$2:$J$5,10,FALSE)),1,0)</f>
        <v>0</v>
      </c>
      <c r="W932" s="9">
        <f>IF($A932=VLOOKUP(YEAR($A932),'Festive dates'!$A$2:$J$5,7,FALSE),1,0)</f>
        <v>0</v>
      </c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</row>
    <row r="933" spans="1:51">
      <c r="A933" s="8">
        <v>45948</v>
      </c>
      <c r="B933" s="9">
        <v>0</v>
      </c>
      <c r="C933" s="9">
        <v>0</v>
      </c>
      <c r="D933" s="9">
        <v>0</v>
      </c>
      <c r="E933" s="9">
        <v>0</v>
      </c>
      <c r="F933" s="9">
        <v>0</v>
      </c>
      <c r="G933" s="9">
        <v>0</v>
      </c>
      <c r="H933" s="9">
        <v>0</v>
      </c>
      <c r="I933" s="9">
        <v>0</v>
      </c>
      <c r="J933" s="9">
        <v>0</v>
      </c>
      <c r="K933" s="9">
        <v>0</v>
      </c>
      <c r="L933" s="9">
        <v>0</v>
      </c>
      <c r="M933" s="9">
        <v>0</v>
      </c>
      <c r="N933" s="9">
        <v>0</v>
      </c>
      <c r="O933" s="9">
        <v>0</v>
      </c>
      <c r="P933" s="9">
        <v>0</v>
      </c>
      <c r="Q933" s="9">
        <f>MAX(-20,MIN(10,$A933-VLOOKUP(YEAR($A933),'Festive dates'!$A$2:$J$5,8,FALSE)))</f>
        <v>-2</v>
      </c>
      <c r="R933" s="9">
        <f>IF(AND($A933&gt;VLOOKUP(YEAR($A933),'Festive dates'!$A$2:$J$5,2,FALSE),$A933&lt;VLOOKUP(YEAR($A933),'Festive dates'!$A$2:$J$5,3,FALSE)),1,0)</f>
        <v>0</v>
      </c>
      <c r="S933" s="9">
        <f>IF($A933=VLOOKUP(YEAR($A933),'Festive dates'!$A$2:$J$5,2,FALSE),1,0)</f>
        <v>0</v>
      </c>
      <c r="T933" s="9">
        <f>IF($A933=VLOOKUP(YEAR($A933),'Festive dates'!$A$2:$J$5,3,FALSE),1,0)</f>
        <v>0</v>
      </c>
      <c r="U933" s="9">
        <f>IF($A933=VLOOKUP(YEAR($A933),'Festive dates'!$A$2:$J$5,4,FALSE),1,0)</f>
        <v>0</v>
      </c>
      <c r="V933" s="9">
        <f>IF(AND($A933&gt;=VLOOKUP(YEAR($A933),'Festive dates'!$A$2:$J$5,9,FALSE),$A933&lt;=VLOOKUP(YEAR($A933),'Festive dates'!$A$2:$J$5,10,FALSE)),1,0)</f>
        <v>0</v>
      </c>
      <c r="W933" s="9">
        <f>IF($A933=VLOOKUP(YEAR($A933),'Festive dates'!$A$2:$J$5,7,FALSE),1,0)</f>
        <v>1</v>
      </c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</row>
    <row r="934" spans="1:51">
      <c r="A934" s="8">
        <v>45949</v>
      </c>
      <c r="B934" s="9">
        <v>0</v>
      </c>
      <c r="C934" s="9">
        <v>0</v>
      </c>
      <c r="D934" s="9">
        <v>0</v>
      </c>
      <c r="E934" s="9">
        <v>0</v>
      </c>
      <c r="F934" s="9">
        <v>0</v>
      </c>
      <c r="G934" s="9">
        <v>0</v>
      </c>
      <c r="H934" s="9">
        <v>0</v>
      </c>
      <c r="I934" s="9">
        <v>0</v>
      </c>
      <c r="J934" s="9">
        <v>0</v>
      </c>
      <c r="K934" s="9">
        <v>0</v>
      </c>
      <c r="L934" s="9">
        <v>0</v>
      </c>
      <c r="M934" s="9">
        <v>0</v>
      </c>
      <c r="N934" s="9">
        <v>0</v>
      </c>
      <c r="O934" s="9">
        <v>0</v>
      </c>
      <c r="P934" s="9">
        <v>0</v>
      </c>
      <c r="Q934" s="9">
        <f>MAX(-20,MIN(10,$A934-VLOOKUP(YEAR($A934),'Festive dates'!$A$2:$J$5,8,FALSE)))</f>
        <v>-1</v>
      </c>
      <c r="R934" s="9">
        <f>IF(AND($A934&gt;VLOOKUP(YEAR($A934),'Festive dates'!$A$2:$J$5,2,FALSE),$A934&lt;VLOOKUP(YEAR($A934),'Festive dates'!$A$2:$J$5,3,FALSE)),1,0)</f>
        <v>0</v>
      </c>
      <c r="S934" s="9">
        <f>IF($A934=VLOOKUP(YEAR($A934),'Festive dates'!$A$2:$J$5,2,FALSE),1,0)</f>
        <v>0</v>
      </c>
      <c r="T934" s="9">
        <f>IF($A934=VLOOKUP(YEAR($A934),'Festive dates'!$A$2:$J$5,3,FALSE),1,0)</f>
        <v>0</v>
      </c>
      <c r="U934" s="9">
        <f>IF($A934=VLOOKUP(YEAR($A934),'Festive dates'!$A$2:$J$5,4,FALSE),1,0)</f>
        <v>0</v>
      </c>
      <c r="V934" s="9">
        <f>IF(AND($A934&gt;=VLOOKUP(YEAR($A934),'Festive dates'!$A$2:$J$5,9,FALSE),$A934&lt;=VLOOKUP(YEAR($A934),'Festive dates'!$A$2:$J$5,10,FALSE)),1,0)</f>
        <v>0</v>
      </c>
      <c r="W934" s="9">
        <f>IF($A934=VLOOKUP(YEAR($A934),'Festive dates'!$A$2:$J$5,7,FALSE),1,0)</f>
        <v>0</v>
      </c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</row>
    <row r="935" spans="1:51">
      <c r="A935" s="8">
        <v>45950</v>
      </c>
      <c r="B935" s="9">
        <v>0</v>
      </c>
      <c r="C935" s="9">
        <v>0</v>
      </c>
      <c r="D935" s="9">
        <v>0</v>
      </c>
      <c r="E935" s="9">
        <v>0</v>
      </c>
      <c r="F935" s="9">
        <v>0</v>
      </c>
      <c r="G935" s="9">
        <v>0</v>
      </c>
      <c r="H935" s="9">
        <v>0</v>
      </c>
      <c r="I935" s="9">
        <v>0</v>
      </c>
      <c r="J935" s="9">
        <v>0</v>
      </c>
      <c r="K935" s="9">
        <v>0</v>
      </c>
      <c r="L935" s="9">
        <v>0</v>
      </c>
      <c r="M935" s="9">
        <v>0</v>
      </c>
      <c r="N935" s="9">
        <v>0</v>
      </c>
      <c r="O935" s="9">
        <v>0</v>
      </c>
      <c r="P935" s="9">
        <v>0</v>
      </c>
      <c r="Q935" s="9">
        <f>MAX(-20,MIN(10,$A935-VLOOKUP(YEAR($A935),'Festive dates'!$A$2:$J$5,8,FALSE)))</f>
        <v>0</v>
      </c>
      <c r="R935" s="9">
        <f>IF(AND($A935&gt;VLOOKUP(YEAR($A935),'Festive dates'!$A$2:$J$5,2,FALSE),$A935&lt;VLOOKUP(YEAR($A935),'Festive dates'!$A$2:$J$5,3,FALSE)),1,0)</f>
        <v>0</v>
      </c>
      <c r="S935" s="9">
        <f>IF($A935=VLOOKUP(YEAR($A935),'Festive dates'!$A$2:$J$5,2,FALSE),1,0)</f>
        <v>0</v>
      </c>
      <c r="T935" s="9">
        <f>IF($A935=VLOOKUP(YEAR($A935),'Festive dates'!$A$2:$J$5,3,FALSE),1,0)</f>
        <v>0</v>
      </c>
      <c r="U935" s="9">
        <f>IF($A935=VLOOKUP(YEAR($A935),'Festive dates'!$A$2:$J$5,4,FALSE),1,0)</f>
        <v>0</v>
      </c>
      <c r="V935" s="9">
        <f>IF(AND($A935&gt;=VLOOKUP(YEAR($A935),'Festive dates'!$A$2:$J$5,9,FALSE),$A935&lt;=VLOOKUP(YEAR($A935),'Festive dates'!$A$2:$J$5,10,FALSE)),1,0)</f>
        <v>0</v>
      </c>
      <c r="W935" s="9">
        <f>IF($A935=VLOOKUP(YEAR($A935),'Festive dates'!$A$2:$J$5,7,FALSE),1,0)</f>
        <v>0</v>
      </c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</row>
    <row r="936" spans="1:51">
      <c r="A936" s="8">
        <v>45951</v>
      </c>
      <c r="B936" s="9">
        <v>0</v>
      </c>
      <c r="C936" s="9">
        <v>0</v>
      </c>
      <c r="D936" s="9">
        <v>0</v>
      </c>
      <c r="E936" s="9">
        <v>0</v>
      </c>
      <c r="F936" s="9">
        <v>0</v>
      </c>
      <c r="G936" s="9">
        <v>0</v>
      </c>
      <c r="H936" s="9">
        <v>0</v>
      </c>
      <c r="I936" s="9">
        <v>0</v>
      </c>
      <c r="J936" s="9">
        <v>0</v>
      </c>
      <c r="K936" s="9">
        <v>0</v>
      </c>
      <c r="L936" s="9">
        <v>0</v>
      </c>
      <c r="M936" s="9">
        <v>0</v>
      </c>
      <c r="N936" s="9">
        <v>0</v>
      </c>
      <c r="O936" s="9">
        <v>0</v>
      </c>
      <c r="P936" s="9">
        <v>0</v>
      </c>
      <c r="Q936" s="9">
        <f>MAX(-20,MIN(10,$A936-VLOOKUP(YEAR($A936),'Festive dates'!$A$2:$J$5,8,FALSE)))</f>
        <v>1</v>
      </c>
      <c r="R936" s="9">
        <f>IF(AND($A936&gt;VLOOKUP(YEAR($A936),'Festive dates'!$A$2:$J$5,2,FALSE),$A936&lt;VLOOKUP(YEAR($A936),'Festive dates'!$A$2:$J$5,3,FALSE)),1,0)</f>
        <v>0</v>
      </c>
      <c r="S936" s="9">
        <f>IF($A936=VLOOKUP(YEAR($A936),'Festive dates'!$A$2:$J$5,2,FALSE),1,0)</f>
        <v>0</v>
      </c>
      <c r="T936" s="9">
        <f>IF($A936=VLOOKUP(YEAR($A936),'Festive dates'!$A$2:$J$5,3,FALSE),1,0)</f>
        <v>0</v>
      </c>
      <c r="U936" s="9">
        <f>IF($A936=VLOOKUP(YEAR($A936),'Festive dates'!$A$2:$J$5,4,FALSE),1,0)</f>
        <v>0</v>
      </c>
      <c r="V936" s="9">
        <f>IF(AND($A936&gt;=VLOOKUP(YEAR($A936),'Festive dates'!$A$2:$J$5,9,FALSE),$A936&lt;=VLOOKUP(YEAR($A936),'Festive dates'!$A$2:$J$5,10,FALSE)),1,0)</f>
        <v>0</v>
      </c>
      <c r="W936" s="9">
        <f>IF($A936=VLOOKUP(YEAR($A936),'Festive dates'!$A$2:$J$5,7,FALSE),1,0)</f>
        <v>0</v>
      </c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</row>
    <row r="937" spans="1:51">
      <c r="A937" s="8">
        <v>45952</v>
      </c>
      <c r="B937" s="9">
        <v>0</v>
      </c>
      <c r="C937" s="9">
        <v>0</v>
      </c>
      <c r="D937" s="9">
        <v>0</v>
      </c>
      <c r="E937" s="9">
        <v>0</v>
      </c>
      <c r="F937" s="9">
        <v>0</v>
      </c>
      <c r="G937" s="9">
        <v>0</v>
      </c>
      <c r="H937" s="9">
        <v>0</v>
      </c>
      <c r="I937" s="9">
        <v>0</v>
      </c>
      <c r="J937" s="9">
        <v>0</v>
      </c>
      <c r="K937" s="9">
        <v>0</v>
      </c>
      <c r="L937" s="9">
        <v>0</v>
      </c>
      <c r="M937" s="9">
        <v>0</v>
      </c>
      <c r="N937" s="9">
        <v>0</v>
      </c>
      <c r="O937" s="9">
        <v>0</v>
      </c>
      <c r="P937" s="9">
        <v>0</v>
      </c>
      <c r="Q937" s="9">
        <f>MAX(-20,MIN(10,$A937-VLOOKUP(YEAR($A937),'Festive dates'!$A$2:$J$5,8,FALSE)))</f>
        <v>2</v>
      </c>
      <c r="R937" s="9">
        <f>IF(AND($A937&gt;VLOOKUP(YEAR($A937),'Festive dates'!$A$2:$J$5,2,FALSE),$A937&lt;VLOOKUP(YEAR($A937),'Festive dates'!$A$2:$J$5,3,FALSE)),1,0)</f>
        <v>0</v>
      </c>
      <c r="S937" s="9">
        <f>IF($A937=VLOOKUP(YEAR($A937),'Festive dates'!$A$2:$J$5,2,FALSE),1,0)</f>
        <v>0</v>
      </c>
      <c r="T937" s="9">
        <f>IF($A937=VLOOKUP(YEAR($A937),'Festive dates'!$A$2:$J$5,3,FALSE),1,0)</f>
        <v>0</v>
      </c>
      <c r="U937" s="9">
        <f>IF($A937=VLOOKUP(YEAR($A937),'Festive dates'!$A$2:$J$5,4,FALSE),1,0)</f>
        <v>0</v>
      </c>
      <c r="V937" s="9">
        <f>IF(AND($A937&gt;=VLOOKUP(YEAR($A937),'Festive dates'!$A$2:$J$5,9,FALSE),$A937&lt;=VLOOKUP(YEAR($A937),'Festive dates'!$A$2:$J$5,10,FALSE)),1,0)</f>
        <v>0</v>
      </c>
      <c r="W937" s="9">
        <f>IF($A937=VLOOKUP(YEAR($A937),'Festive dates'!$A$2:$J$5,7,FALSE),1,0)</f>
        <v>0</v>
      </c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</row>
    <row r="938" spans="1:51">
      <c r="A938" s="8">
        <v>45953</v>
      </c>
      <c r="B938" s="9">
        <v>0</v>
      </c>
      <c r="C938" s="9">
        <v>0</v>
      </c>
      <c r="D938" s="9">
        <v>0</v>
      </c>
      <c r="E938" s="9">
        <v>0</v>
      </c>
      <c r="F938" s="9">
        <v>0</v>
      </c>
      <c r="G938" s="9">
        <v>0</v>
      </c>
      <c r="H938" s="9">
        <v>0</v>
      </c>
      <c r="I938" s="9">
        <v>0</v>
      </c>
      <c r="J938" s="9">
        <v>0</v>
      </c>
      <c r="K938" s="9">
        <v>0</v>
      </c>
      <c r="L938" s="9">
        <v>0</v>
      </c>
      <c r="M938" s="9">
        <v>0</v>
      </c>
      <c r="N938" s="9">
        <v>0</v>
      </c>
      <c r="O938" s="9">
        <v>0</v>
      </c>
      <c r="P938" s="9">
        <v>0</v>
      </c>
      <c r="Q938" s="9">
        <f>MAX(-20,MIN(10,$A938-VLOOKUP(YEAR($A938),'Festive dates'!$A$2:$J$5,8,FALSE)))</f>
        <v>3</v>
      </c>
      <c r="R938" s="9">
        <f>IF(AND($A938&gt;VLOOKUP(YEAR($A938),'Festive dates'!$A$2:$J$5,2,FALSE),$A938&lt;VLOOKUP(YEAR($A938),'Festive dates'!$A$2:$J$5,3,FALSE)),1,0)</f>
        <v>0</v>
      </c>
      <c r="S938" s="9">
        <f>IF($A938=VLOOKUP(YEAR($A938),'Festive dates'!$A$2:$J$5,2,FALSE),1,0)</f>
        <v>0</v>
      </c>
      <c r="T938" s="9">
        <f>IF($A938=VLOOKUP(YEAR($A938),'Festive dates'!$A$2:$J$5,3,FALSE),1,0)</f>
        <v>0</v>
      </c>
      <c r="U938" s="9">
        <f>IF($A938=VLOOKUP(YEAR($A938),'Festive dates'!$A$2:$J$5,4,FALSE),1,0)</f>
        <v>0</v>
      </c>
      <c r="V938" s="9">
        <f>IF(AND($A938&gt;=VLOOKUP(YEAR($A938),'Festive dates'!$A$2:$J$5,9,FALSE),$A938&lt;=VLOOKUP(YEAR($A938),'Festive dates'!$A$2:$J$5,10,FALSE)),1,0)</f>
        <v>0</v>
      </c>
      <c r="W938" s="9">
        <f>IF($A938=VLOOKUP(YEAR($A938),'Festive dates'!$A$2:$J$5,7,FALSE),1,0)</f>
        <v>0</v>
      </c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</row>
    <row r="939" spans="1:51">
      <c r="A939" s="8">
        <v>45954</v>
      </c>
      <c r="B939" s="9">
        <v>0</v>
      </c>
      <c r="C939" s="9">
        <v>0</v>
      </c>
      <c r="D939" s="9">
        <v>0</v>
      </c>
      <c r="E939" s="9">
        <v>0</v>
      </c>
      <c r="F939" s="9">
        <v>0</v>
      </c>
      <c r="G939" s="9">
        <v>0</v>
      </c>
      <c r="H939" s="9">
        <v>0</v>
      </c>
      <c r="I939" s="9">
        <v>0</v>
      </c>
      <c r="J939" s="9">
        <v>0</v>
      </c>
      <c r="K939" s="9">
        <v>0</v>
      </c>
      <c r="L939" s="9">
        <v>0</v>
      </c>
      <c r="M939" s="9">
        <v>0</v>
      </c>
      <c r="N939" s="9">
        <v>0</v>
      </c>
      <c r="O939" s="9">
        <v>0</v>
      </c>
      <c r="P939" s="9">
        <v>0</v>
      </c>
      <c r="Q939" s="9">
        <f>MAX(-20,MIN(10,$A939-VLOOKUP(YEAR($A939),'Festive dates'!$A$2:$J$5,8,FALSE)))</f>
        <v>4</v>
      </c>
      <c r="R939" s="9">
        <f>IF(AND($A939&gt;VLOOKUP(YEAR($A939),'Festive dates'!$A$2:$J$5,2,FALSE),$A939&lt;VLOOKUP(YEAR($A939),'Festive dates'!$A$2:$J$5,3,FALSE)),1,0)</f>
        <v>0</v>
      </c>
      <c r="S939" s="9">
        <f>IF($A939=VLOOKUP(YEAR($A939),'Festive dates'!$A$2:$J$5,2,FALSE),1,0)</f>
        <v>0</v>
      </c>
      <c r="T939" s="9">
        <f>IF($A939=VLOOKUP(YEAR($A939),'Festive dates'!$A$2:$J$5,3,FALSE),1,0)</f>
        <v>0</v>
      </c>
      <c r="U939" s="9">
        <f>IF($A939=VLOOKUP(YEAR($A939),'Festive dates'!$A$2:$J$5,4,FALSE),1,0)</f>
        <v>0</v>
      </c>
      <c r="V939" s="9">
        <f>IF(AND($A939&gt;=VLOOKUP(YEAR($A939),'Festive dates'!$A$2:$J$5,9,FALSE),$A939&lt;=VLOOKUP(YEAR($A939),'Festive dates'!$A$2:$J$5,10,FALSE)),1,0)</f>
        <v>0</v>
      </c>
      <c r="W939" s="9">
        <f>IF($A939=VLOOKUP(YEAR($A939),'Festive dates'!$A$2:$J$5,7,FALSE),1,0)</f>
        <v>0</v>
      </c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</row>
    <row r="940" spans="1:51">
      <c r="A940" s="8">
        <v>45955</v>
      </c>
      <c r="B940" s="9">
        <v>0</v>
      </c>
      <c r="C940" s="9">
        <v>0</v>
      </c>
      <c r="D940" s="9">
        <v>0</v>
      </c>
      <c r="E940" s="9">
        <v>0</v>
      </c>
      <c r="F940" s="9">
        <v>0</v>
      </c>
      <c r="G940" s="9">
        <v>0</v>
      </c>
      <c r="H940" s="9">
        <v>0</v>
      </c>
      <c r="I940" s="9">
        <v>0</v>
      </c>
      <c r="J940" s="9">
        <v>0</v>
      </c>
      <c r="K940" s="9">
        <v>0</v>
      </c>
      <c r="L940" s="9">
        <v>0</v>
      </c>
      <c r="M940" s="9">
        <v>0</v>
      </c>
      <c r="N940" s="9">
        <v>0</v>
      </c>
      <c r="O940" s="9">
        <v>0</v>
      </c>
      <c r="P940" s="9">
        <v>0</v>
      </c>
      <c r="Q940" s="9">
        <f>MAX(-20,MIN(10,$A940-VLOOKUP(YEAR($A940),'Festive dates'!$A$2:$J$5,8,FALSE)))</f>
        <v>5</v>
      </c>
      <c r="R940" s="9">
        <f>IF(AND($A940&gt;VLOOKUP(YEAR($A940),'Festive dates'!$A$2:$J$5,2,FALSE),$A940&lt;VLOOKUP(YEAR($A940),'Festive dates'!$A$2:$J$5,3,FALSE)),1,0)</f>
        <v>0</v>
      </c>
      <c r="S940" s="9">
        <f>IF($A940=VLOOKUP(YEAR($A940),'Festive dates'!$A$2:$J$5,2,FALSE),1,0)</f>
        <v>0</v>
      </c>
      <c r="T940" s="9">
        <f>IF($A940=VLOOKUP(YEAR($A940),'Festive dates'!$A$2:$J$5,3,FALSE),1,0)</f>
        <v>0</v>
      </c>
      <c r="U940" s="9">
        <f>IF($A940=VLOOKUP(YEAR($A940),'Festive dates'!$A$2:$J$5,4,FALSE),1,0)</f>
        <v>0</v>
      </c>
      <c r="V940" s="9">
        <f>IF(AND($A940&gt;=VLOOKUP(YEAR($A940),'Festive dates'!$A$2:$J$5,9,FALSE),$A940&lt;=VLOOKUP(YEAR($A940),'Festive dates'!$A$2:$J$5,10,FALSE)),1,0)</f>
        <v>0</v>
      </c>
      <c r="W940" s="9">
        <f>IF($A940=VLOOKUP(YEAR($A940),'Festive dates'!$A$2:$J$5,7,FALSE),1,0)</f>
        <v>0</v>
      </c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</row>
    <row r="941" spans="1:51">
      <c r="A941" s="8">
        <v>45956</v>
      </c>
      <c r="B941" s="9">
        <v>0</v>
      </c>
      <c r="C941" s="9">
        <v>0</v>
      </c>
      <c r="D941" s="9">
        <v>0</v>
      </c>
      <c r="E941" s="9">
        <v>0</v>
      </c>
      <c r="F941" s="9">
        <v>0</v>
      </c>
      <c r="G941" s="9">
        <v>0</v>
      </c>
      <c r="H941" s="9">
        <v>0</v>
      </c>
      <c r="I941" s="9">
        <v>0</v>
      </c>
      <c r="J941" s="9">
        <v>0</v>
      </c>
      <c r="K941" s="9">
        <v>0</v>
      </c>
      <c r="L941" s="9">
        <v>0</v>
      </c>
      <c r="M941" s="9">
        <v>0</v>
      </c>
      <c r="N941" s="9">
        <v>0</v>
      </c>
      <c r="O941" s="9">
        <v>0</v>
      </c>
      <c r="P941" s="9">
        <v>1</v>
      </c>
      <c r="Q941" s="9">
        <f>MAX(-20,MIN(10,$A941-VLOOKUP(YEAR($A941),'Festive dates'!$A$2:$J$5,8,FALSE)))</f>
        <v>6</v>
      </c>
      <c r="R941" s="9">
        <f>IF(AND($A941&gt;VLOOKUP(YEAR($A941),'Festive dates'!$A$2:$J$5,2,FALSE),$A941&lt;VLOOKUP(YEAR($A941),'Festive dates'!$A$2:$J$5,3,FALSE)),1,0)</f>
        <v>0</v>
      </c>
      <c r="S941" s="9">
        <f>IF($A941=VLOOKUP(YEAR($A941),'Festive dates'!$A$2:$J$5,2,FALSE),1,0)</f>
        <v>0</v>
      </c>
      <c r="T941" s="9">
        <f>IF($A941=VLOOKUP(YEAR($A941),'Festive dates'!$A$2:$J$5,3,FALSE),1,0)</f>
        <v>0</v>
      </c>
      <c r="U941" s="9">
        <f>IF($A941=VLOOKUP(YEAR($A941),'Festive dates'!$A$2:$J$5,4,FALSE),1,0)</f>
        <v>0</v>
      </c>
      <c r="V941" s="9">
        <f>IF(AND($A941&gt;=VLOOKUP(YEAR($A941),'Festive dates'!$A$2:$J$5,9,FALSE),$A941&lt;=VLOOKUP(YEAR($A941),'Festive dates'!$A$2:$J$5,10,FALSE)),1,0)</f>
        <v>0</v>
      </c>
      <c r="W941" s="9">
        <f>IF($A941=VLOOKUP(YEAR($A941),'Festive dates'!$A$2:$J$5,7,FALSE),1,0)</f>
        <v>0</v>
      </c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</row>
    <row r="942" spans="1:51">
      <c r="A942" s="8">
        <v>45957</v>
      </c>
      <c r="B942" s="9">
        <v>0</v>
      </c>
      <c r="C942" s="9">
        <v>0</v>
      </c>
      <c r="D942" s="9">
        <v>0</v>
      </c>
      <c r="E942" s="9">
        <v>0</v>
      </c>
      <c r="F942" s="9">
        <v>0</v>
      </c>
      <c r="G942" s="9">
        <v>0</v>
      </c>
      <c r="H942" s="9">
        <v>0</v>
      </c>
      <c r="I942" s="9">
        <v>0</v>
      </c>
      <c r="J942" s="9">
        <v>0</v>
      </c>
      <c r="K942" s="9">
        <v>0</v>
      </c>
      <c r="L942" s="9">
        <v>0</v>
      </c>
      <c r="M942" s="9">
        <v>0</v>
      </c>
      <c r="N942" s="9">
        <v>0</v>
      </c>
      <c r="O942" s="9">
        <v>0</v>
      </c>
      <c r="P942" s="9">
        <v>1</v>
      </c>
      <c r="Q942" s="9">
        <f>MAX(-20,MIN(10,$A942-VLOOKUP(YEAR($A942),'Festive dates'!$A$2:$J$5,8,FALSE)))</f>
        <v>7</v>
      </c>
      <c r="R942" s="9">
        <f>IF(AND($A942&gt;VLOOKUP(YEAR($A942),'Festive dates'!$A$2:$J$5,2,FALSE),$A942&lt;VLOOKUP(YEAR($A942),'Festive dates'!$A$2:$J$5,3,FALSE)),1,0)</f>
        <v>0</v>
      </c>
      <c r="S942" s="9">
        <f>IF($A942=VLOOKUP(YEAR($A942),'Festive dates'!$A$2:$J$5,2,FALSE),1,0)</f>
        <v>0</v>
      </c>
      <c r="T942" s="9">
        <f>IF($A942=VLOOKUP(YEAR($A942),'Festive dates'!$A$2:$J$5,3,FALSE),1,0)</f>
        <v>0</v>
      </c>
      <c r="U942" s="9">
        <f>IF($A942=VLOOKUP(YEAR($A942),'Festive dates'!$A$2:$J$5,4,FALSE),1,0)</f>
        <v>0</v>
      </c>
      <c r="V942" s="9">
        <f>IF(AND($A942&gt;=VLOOKUP(YEAR($A942),'Festive dates'!$A$2:$J$5,9,FALSE),$A942&lt;=VLOOKUP(YEAR($A942),'Festive dates'!$A$2:$J$5,10,FALSE)),1,0)</f>
        <v>0</v>
      </c>
      <c r="W942" s="9">
        <f>IF($A942=VLOOKUP(YEAR($A942),'Festive dates'!$A$2:$J$5,7,FALSE),1,0)</f>
        <v>0</v>
      </c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</row>
    <row r="943" spans="1:51">
      <c r="A943" s="8">
        <v>45958</v>
      </c>
      <c r="B943" s="9">
        <v>0</v>
      </c>
      <c r="C943" s="9">
        <v>0</v>
      </c>
      <c r="D943" s="9">
        <v>0</v>
      </c>
      <c r="E943" s="9">
        <v>0</v>
      </c>
      <c r="F943" s="9">
        <v>0</v>
      </c>
      <c r="G943" s="9">
        <v>0</v>
      </c>
      <c r="H943" s="9">
        <v>0</v>
      </c>
      <c r="I943" s="9">
        <v>0</v>
      </c>
      <c r="J943" s="9">
        <v>0</v>
      </c>
      <c r="K943" s="9">
        <v>0</v>
      </c>
      <c r="L943" s="9">
        <v>0</v>
      </c>
      <c r="M943" s="9">
        <v>0</v>
      </c>
      <c r="N943" s="9">
        <v>0</v>
      </c>
      <c r="O943" s="9">
        <v>0</v>
      </c>
      <c r="P943" s="9">
        <v>0</v>
      </c>
      <c r="Q943" s="9">
        <f>MAX(-20,MIN(10,$A943-VLOOKUP(YEAR($A943),'Festive dates'!$A$2:$J$5,8,FALSE)))</f>
        <v>8</v>
      </c>
      <c r="R943" s="9">
        <f>IF(AND($A943&gt;VLOOKUP(YEAR($A943),'Festive dates'!$A$2:$J$5,2,FALSE),$A943&lt;VLOOKUP(YEAR($A943),'Festive dates'!$A$2:$J$5,3,FALSE)),1,0)</f>
        <v>0</v>
      </c>
      <c r="S943" s="9">
        <f>IF($A943=VLOOKUP(YEAR($A943),'Festive dates'!$A$2:$J$5,2,FALSE),1,0)</f>
        <v>0</v>
      </c>
      <c r="T943" s="9">
        <f>IF($A943=VLOOKUP(YEAR($A943),'Festive dates'!$A$2:$J$5,3,FALSE),1,0)</f>
        <v>0</v>
      </c>
      <c r="U943" s="9">
        <f>IF($A943=VLOOKUP(YEAR($A943),'Festive dates'!$A$2:$J$5,4,FALSE),1,0)</f>
        <v>0</v>
      </c>
      <c r="V943" s="9">
        <f>IF(AND($A943&gt;=VLOOKUP(YEAR($A943),'Festive dates'!$A$2:$J$5,9,FALSE),$A943&lt;=VLOOKUP(YEAR($A943),'Festive dates'!$A$2:$J$5,10,FALSE)),1,0)</f>
        <v>0</v>
      </c>
      <c r="W943" s="9">
        <f>IF($A943=VLOOKUP(YEAR($A943),'Festive dates'!$A$2:$J$5,7,FALSE),1,0)</f>
        <v>0</v>
      </c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</row>
    <row r="944" spans="1:51">
      <c r="A944" s="8">
        <v>45959</v>
      </c>
      <c r="B944" s="9">
        <v>0</v>
      </c>
      <c r="C944" s="9">
        <v>0</v>
      </c>
      <c r="D944" s="9">
        <v>0</v>
      </c>
      <c r="E944" s="9">
        <v>0</v>
      </c>
      <c r="F944" s="9">
        <v>0</v>
      </c>
      <c r="G944" s="9">
        <v>0</v>
      </c>
      <c r="H944" s="9">
        <v>0</v>
      </c>
      <c r="I944" s="9">
        <v>0</v>
      </c>
      <c r="J944" s="9">
        <v>0</v>
      </c>
      <c r="K944" s="9">
        <v>0</v>
      </c>
      <c r="L944" s="9">
        <v>0</v>
      </c>
      <c r="M944" s="9">
        <v>0</v>
      </c>
      <c r="N944" s="9">
        <v>0</v>
      </c>
      <c r="O944" s="9">
        <v>0</v>
      </c>
      <c r="P944" s="9">
        <v>0</v>
      </c>
      <c r="Q944" s="9">
        <f>MAX(-20,MIN(10,$A944-VLOOKUP(YEAR($A944),'Festive dates'!$A$2:$J$5,8,FALSE)))</f>
        <v>9</v>
      </c>
      <c r="R944" s="9">
        <f>IF(AND($A944&gt;VLOOKUP(YEAR($A944),'Festive dates'!$A$2:$J$5,2,FALSE),$A944&lt;VLOOKUP(YEAR($A944),'Festive dates'!$A$2:$J$5,3,FALSE)),1,0)</f>
        <v>0</v>
      </c>
      <c r="S944" s="9">
        <f>IF($A944=VLOOKUP(YEAR($A944),'Festive dates'!$A$2:$J$5,2,FALSE),1,0)</f>
        <v>0</v>
      </c>
      <c r="T944" s="9">
        <f>IF($A944=VLOOKUP(YEAR($A944),'Festive dates'!$A$2:$J$5,3,FALSE),1,0)</f>
        <v>0</v>
      </c>
      <c r="U944" s="9">
        <f>IF($A944=VLOOKUP(YEAR($A944),'Festive dates'!$A$2:$J$5,4,FALSE),1,0)</f>
        <v>0</v>
      </c>
      <c r="V944" s="9">
        <f>IF(AND($A944&gt;=VLOOKUP(YEAR($A944),'Festive dates'!$A$2:$J$5,9,FALSE),$A944&lt;=VLOOKUP(YEAR($A944),'Festive dates'!$A$2:$J$5,10,FALSE)),1,0)</f>
        <v>0</v>
      </c>
      <c r="W944" s="9">
        <f>IF($A944=VLOOKUP(YEAR($A944),'Festive dates'!$A$2:$J$5,7,FALSE),1,0)</f>
        <v>0</v>
      </c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</row>
    <row r="945" spans="1:51">
      <c r="A945" s="8">
        <v>45960</v>
      </c>
      <c r="B945" s="9">
        <v>0</v>
      </c>
      <c r="C945" s="9">
        <v>0</v>
      </c>
      <c r="D945" s="9">
        <v>0</v>
      </c>
      <c r="E945" s="9">
        <v>0</v>
      </c>
      <c r="F945" s="9">
        <v>0</v>
      </c>
      <c r="G945" s="9">
        <v>0</v>
      </c>
      <c r="H945" s="9">
        <v>0</v>
      </c>
      <c r="I945" s="9">
        <v>0</v>
      </c>
      <c r="J945" s="9">
        <v>0</v>
      </c>
      <c r="K945" s="9">
        <v>0</v>
      </c>
      <c r="L945" s="9">
        <v>0</v>
      </c>
      <c r="M945" s="9">
        <v>0</v>
      </c>
      <c r="N945" s="9">
        <v>0</v>
      </c>
      <c r="O945" s="9">
        <v>0</v>
      </c>
      <c r="P945" s="9">
        <v>0</v>
      </c>
      <c r="Q945" s="9">
        <f>MAX(-20,MIN(10,$A945-VLOOKUP(YEAR($A945),'Festive dates'!$A$2:$J$5,8,FALSE)))</f>
        <v>10</v>
      </c>
      <c r="R945" s="9">
        <f>IF(AND($A945&gt;VLOOKUP(YEAR($A945),'Festive dates'!$A$2:$J$5,2,FALSE),$A945&lt;VLOOKUP(YEAR($A945),'Festive dates'!$A$2:$J$5,3,FALSE)),1,0)</f>
        <v>0</v>
      </c>
      <c r="S945" s="9">
        <f>IF($A945=VLOOKUP(YEAR($A945),'Festive dates'!$A$2:$J$5,2,FALSE),1,0)</f>
        <v>0</v>
      </c>
      <c r="T945" s="9">
        <f>IF($A945=VLOOKUP(YEAR($A945),'Festive dates'!$A$2:$J$5,3,FALSE),1,0)</f>
        <v>0</v>
      </c>
      <c r="U945" s="9">
        <f>IF($A945=VLOOKUP(YEAR($A945),'Festive dates'!$A$2:$J$5,4,FALSE),1,0)</f>
        <v>0</v>
      </c>
      <c r="V945" s="9">
        <f>IF(AND($A945&gt;=VLOOKUP(YEAR($A945),'Festive dates'!$A$2:$J$5,9,FALSE),$A945&lt;=VLOOKUP(YEAR($A945),'Festive dates'!$A$2:$J$5,10,FALSE)),1,0)</f>
        <v>0</v>
      </c>
      <c r="W945" s="9">
        <f>IF($A945=VLOOKUP(YEAR($A945),'Festive dates'!$A$2:$J$5,7,FALSE),1,0)</f>
        <v>0</v>
      </c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</row>
    <row r="946" spans="1:51">
      <c r="A946" s="8">
        <v>45961</v>
      </c>
      <c r="B946" s="9">
        <v>0</v>
      </c>
      <c r="C946" s="9">
        <v>0</v>
      </c>
      <c r="D946" s="9">
        <v>0</v>
      </c>
      <c r="E946" s="9">
        <v>0</v>
      </c>
      <c r="F946" s="9">
        <v>0</v>
      </c>
      <c r="G946" s="9">
        <v>0</v>
      </c>
      <c r="H946" s="9">
        <v>0</v>
      </c>
      <c r="I946" s="9">
        <v>0</v>
      </c>
      <c r="J946" s="9">
        <v>0</v>
      </c>
      <c r="K946" s="9">
        <v>0</v>
      </c>
      <c r="L946" s="9">
        <v>0</v>
      </c>
      <c r="M946" s="9">
        <v>0</v>
      </c>
      <c r="N946" s="9">
        <v>0</v>
      </c>
      <c r="O946" s="9">
        <v>0</v>
      </c>
      <c r="P946" s="9">
        <v>0</v>
      </c>
      <c r="Q946" s="9">
        <f>MAX(-20,MIN(10,$A946-VLOOKUP(YEAR($A946),'Festive dates'!$A$2:$J$5,8,FALSE)))</f>
        <v>10</v>
      </c>
      <c r="R946" s="9">
        <f>IF(AND($A946&gt;VLOOKUP(YEAR($A946),'Festive dates'!$A$2:$J$5,2,FALSE),$A946&lt;VLOOKUP(YEAR($A946),'Festive dates'!$A$2:$J$5,3,FALSE)),1,0)</f>
        <v>0</v>
      </c>
      <c r="S946" s="9">
        <f>IF($A946=VLOOKUP(YEAR($A946),'Festive dates'!$A$2:$J$5,2,FALSE),1,0)</f>
        <v>0</v>
      </c>
      <c r="T946" s="9">
        <f>IF($A946=VLOOKUP(YEAR($A946),'Festive dates'!$A$2:$J$5,3,FALSE),1,0)</f>
        <v>0</v>
      </c>
      <c r="U946" s="9">
        <f>IF($A946=VLOOKUP(YEAR($A946),'Festive dates'!$A$2:$J$5,4,FALSE),1,0)</f>
        <v>0</v>
      </c>
      <c r="V946" s="9">
        <f>IF(AND($A946&gt;=VLOOKUP(YEAR($A946),'Festive dates'!$A$2:$J$5,9,FALSE),$A946&lt;=VLOOKUP(YEAR($A946),'Festive dates'!$A$2:$J$5,10,FALSE)),1,0)</f>
        <v>0</v>
      </c>
      <c r="W946" s="9">
        <f>IF($A946=VLOOKUP(YEAR($A946),'Festive dates'!$A$2:$J$5,7,FALSE),1,0)</f>
        <v>0</v>
      </c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</row>
    <row r="947" spans="1:51">
      <c r="A947" s="8">
        <v>45962</v>
      </c>
      <c r="B947" s="9">
        <v>0</v>
      </c>
      <c r="C947" s="9">
        <v>0</v>
      </c>
      <c r="D947" s="9">
        <v>0</v>
      </c>
      <c r="E947" s="9">
        <v>0</v>
      </c>
      <c r="F947" s="9">
        <v>0</v>
      </c>
      <c r="G947" s="9">
        <v>0</v>
      </c>
      <c r="H947" s="9">
        <v>0</v>
      </c>
      <c r="I947" s="9">
        <v>0</v>
      </c>
      <c r="J947" s="9">
        <v>0</v>
      </c>
      <c r="K947" s="9">
        <v>0</v>
      </c>
      <c r="L947" s="9">
        <v>0</v>
      </c>
      <c r="M947" s="9">
        <v>0</v>
      </c>
      <c r="N947" s="9">
        <v>0</v>
      </c>
      <c r="O947" s="9">
        <v>0</v>
      </c>
      <c r="P947" s="9">
        <v>1</v>
      </c>
      <c r="Q947" s="9">
        <f>MAX(-20,MIN(10,$A947-VLOOKUP(YEAR($A947),'Festive dates'!$A$2:$J$5,8,FALSE)))</f>
        <v>10</v>
      </c>
      <c r="R947" s="9">
        <f>IF(AND($A947&gt;VLOOKUP(YEAR($A947),'Festive dates'!$A$2:$J$5,2,FALSE),$A947&lt;VLOOKUP(YEAR($A947),'Festive dates'!$A$2:$J$5,3,FALSE)),1,0)</f>
        <v>0</v>
      </c>
      <c r="S947" s="9">
        <f>IF($A947=VLOOKUP(YEAR($A947),'Festive dates'!$A$2:$J$5,2,FALSE),1,0)</f>
        <v>0</v>
      </c>
      <c r="T947" s="9">
        <f>IF($A947=VLOOKUP(YEAR($A947),'Festive dates'!$A$2:$J$5,3,FALSE),1,0)</f>
        <v>0</v>
      </c>
      <c r="U947" s="9">
        <f>IF($A947=VLOOKUP(YEAR($A947),'Festive dates'!$A$2:$J$5,4,FALSE),1,0)</f>
        <v>0</v>
      </c>
      <c r="V947" s="9">
        <f>IF(AND($A947&gt;=VLOOKUP(YEAR($A947),'Festive dates'!$A$2:$J$5,9,FALSE),$A947&lt;=VLOOKUP(YEAR($A947),'Festive dates'!$A$2:$J$5,10,FALSE)),1,0)</f>
        <v>0</v>
      </c>
      <c r="W947" s="9">
        <f>IF($A947=VLOOKUP(YEAR($A947),'Festive dates'!$A$2:$J$5,7,FALSE),1,0)</f>
        <v>0</v>
      </c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</row>
    <row r="948" spans="1:51">
      <c r="A948" s="8">
        <v>45963</v>
      </c>
      <c r="B948" s="9">
        <v>0</v>
      </c>
      <c r="C948" s="9">
        <v>0</v>
      </c>
      <c r="D948" s="9">
        <v>0</v>
      </c>
      <c r="E948" s="9">
        <v>0</v>
      </c>
      <c r="F948" s="9">
        <v>0</v>
      </c>
      <c r="G948" s="9">
        <v>0</v>
      </c>
      <c r="H948" s="9">
        <v>0</v>
      </c>
      <c r="I948" s="9">
        <v>0</v>
      </c>
      <c r="J948" s="9">
        <v>0</v>
      </c>
      <c r="K948" s="9">
        <v>0</v>
      </c>
      <c r="L948" s="9">
        <v>0</v>
      </c>
      <c r="M948" s="9">
        <v>0</v>
      </c>
      <c r="N948" s="9">
        <v>0</v>
      </c>
      <c r="O948" s="9">
        <v>0</v>
      </c>
      <c r="P948" s="9">
        <v>0</v>
      </c>
      <c r="Q948" s="9">
        <f>MAX(-20,MIN(10,$A948-VLOOKUP(YEAR($A948),'Festive dates'!$A$2:$J$5,8,FALSE)))</f>
        <v>10</v>
      </c>
      <c r="R948" s="9">
        <f>IF(AND($A948&gt;VLOOKUP(YEAR($A948),'Festive dates'!$A$2:$J$5,2,FALSE),$A948&lt;VLOOKUP(YEAR($A948),'Festive dates'!$A$2:$J$5,3,FALSE)),1,0)</f>
        <v>0</v>
      </c>
      <c r="S948" s="9">
        <f>IF($A948=VLOOKUP(YEAR($A948),'Festive dates'!$A$2:$J$5,2,FALSE),1,0)</f>
        <v>0</v>
      </c>
      <c r="T948" s="9">
        <f>IF($A948=VLOOKUP(YEAR($A948),'Festive dates'!$A$2:$J$5,3,FALSE),1,0)</f>
        <v>0</v>
      </c>
      <c r="U948" s="9">
        <f>IF($A948=VLOOKUP(YEAR($A948),'Festive dates'!$A$2:$J$5,4,FALSE),1,0)</f>
        <v>0</v>
      </c>
      <c r="V948" s="9">
        <f>IF(AND($A948&gt;=VLOOKUP(YEAR($A948),'Festive dates'!$A$2:$J$5,9,FALSE),$A948&lt;=VLOOKUP(YEAR($A948),'Festive dates'!$A$2:$J$5,10,FALSE)),1,0)</f>
        <v>0</v>
      </c>
      <c r="W948" s="9">
        <f>IF($A948=VLOOKUP(YEAR($A948),'Festive dates'!$A$2:$J$5,7,FALSE),1,0)</f>
        <v>0</v>
      </c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</row>
    <row r="949" spans="1:51">
      <c r="A949" s="8">
        <v>45964</v>
      </c>
      <c r="B949" s="9">
        <v>0</v>
      </c>
      <c r="C949" s="9">
        <v>0</v>
      </c>
      <c r="D949" s="9">
        <v>0</v>
      </c>
      <c r="E949" s="9">
        <v>0</v>
      </c>
      <c r="F949" s="9">
        <v>0</v>
      </c>
      <c r="G949" s="9">
        <v>0</v>
      </c>
      <c r="H949" s="9">
        <v>0</v>
      </c>
      <c r="I949" s="9">
        <v>0</v>
      </c>
      <c r="J949" s="9">
        <v>0</v>
      </c>
      <c r="K949" s="9">
        <v>0</v>
      </c>
      <c r="L949" s="9">
        <v>0</v>
      </c>
      <c r="M949" s="9">
        <v>0</v>
      </c>
      <c r="N949" s="9">
        <v>0</v>
      </c>
      <c r="O949" s="9">
        <v>0</v>
      </c>
      <c r="P949" s="9">
        <v>0</v>
      </c>
      <c r="Q949" s="9">
        <f>MAX(-20,MIN(10,$A949-VLOOKUP(YEAR($A949),'Festive dates'!$A$2:$J$5,8,FALSE)))</f>
        <v>10</v>
      </c>
      <c r="R949" s="9">
        <f>IF(AND($A949&gt;VLOOKUP(YEAR($A949),'Festive dates'!$A$2:$J$5,2,FALSE),$A949&lt;VLOOKUP(YEAR($A949),'Festive dates'!$A$2:$J$5,3,FALSE)),1,0)</f>
        <v>0</v>
      </c>
      <c r="S949" s="9">
        <f>IF($A949=VLOOKUP(YEAR($A949),'Festive dates'!$A$2:$J$5,2,FALSE),1,0)</f>
        <v>0</v>
      </c>
      <c r="T949" s="9">
        <f>IF($A949=VLOOKUP(YEAR($A949),'Festive dates'!$A$2:$J$5,3,FALSE),1,0)</f>
        <v>0</v>
      </c>
      <c r="U949" s="9">
        <f>IF($A949=VLOOKUP(YEAR($A949),'Festive dates'!$A$2:$J$5,4,FALSE),1,0)</f>
        <v>0</v>
      </c>
      <c r="V949" s="9">
        <f>IF(AND($A949&gt;=VLOOKUP(YEAR($A949),'Festive dates'!$A$2:$J$5,9,FALSE),$A949&lt;=VLOOKUP(YEAR($A949),'Festive dates'!$A$2:$J$5,10,FALSE)),1,0)</f>
        <v>0</v>
      </c>
      <c r="W949" s="9">
        <f>IF($A949=VLOOKUP(YEAR($A949),'Festive dates'!$A$2:$J$5,7,FALSE),1,0)</f>
        <v>0</v>
      </c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</row>
    <row r="950" spans="1:51">
      <c r="A950" s="8">
        <v>45965</v>
      </c>
      <c r="B950" s="9">
        <v>0</v>
      </c>
      <c r="C950" s="9">
        <v>0</v>
      </c>
      <c r="D950" s="9">
        <v>0</v>
      </c>
      <c r="E950" s="9">
        <v>0</v>
      </c>
      <c r="F950" s="9">
        <v>0</v>
      </c>
      <c r="G950" s="9">
        <v>0</v>
      </c>
      <c r="H950" s="9">
        <v>0</v>
      </c>
      <c r="I950" s="9">
        <v>0</v>
      </c>
      <c r="J950" s="9">
        <v>0</v>
      </c>
      <c r="K950" s="9">
        <v>0</v>
      </c>
      <c r="L950" s="9">
        <v>0</v>
      </c>
      <c r="M950" s="9">
        <v>0</v>
      </c>
      <c r="N950" s="9">
        <v>0</v>
      </c>
      <c r="O950" s="9">
        <v>0</v>
      </c>
      <c r="P950" s="9">
        <v>0</v>
      </c>
      <c r="Q950" s="9">
        <f>MAX(-20,MIN(10,$A950-VLOOKUP(YEAR($A950),'Festive dates'!$A$2:$J$5,8,FALSE)))</f>
        <v>10</v>
      </c>
      <c r="R950" s="9">
        <f>IF(AND($A950&gt;VLOOKUP(YEAR($A950),'Festive dates'!$A$2:$J$5,2,FALSE),$A950&lt;VLOOKUP(YEAR($A950),'Festive dates'!$A$2:$J$5,3,FALSE)),1,0)</f>
        <v>0</v>
      </c>
      <c r="S950" s="9">
        <f>IF($A950=VLOOKUP(YEAR($A950),'Festive dates'!$A$2:$J$5,2,FALSE),1,0)</f>
        <v>0</v>
      </c>
      <c r="T950" s="9">
        <f>IF($A950=VLOOKUP(YEAR($A950),'Festive dates'!$A$2:$J$5,3,FALSE),1,0)</f>
        <v>0</v>
      </c>
      <c r="U950" s="9">
        <f>IF($A950=VLOOKUP(YEAR($A950),'Festive dates'!$A$2:$J$5,4,FALSE),1,0)</f>
        <v>0</v>
      </c>
      <c r="V950" s="9">
        <f>IF(AND($A950&gt;=VLOOKUP(YEAR($A950),'Festive dates'!$A$2:$J$5,9,FALSE),$A950&lt;=VLOOKUP(YEAR($A950),'Festive dates'!$A$2:$J$5,10,FALSE)),1,0)</f>
        <v>0</v>
      </c>
      <c r="W950" s="9">
        <f>IF($A950=VLOOKUP(YEAR($A950),'Festive dates'!$A$2:$J$5,7,FALSE),1,0)</f>
        <v>0</v>
      </c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</row>
    <row r="951" spans="1:51">
      <c r="A951" s="8">
        <v>45966</v>
      </c>
      <c r="B951" s="9">
        <v>0</v>
      </c>
      <c r="C951" s="9">
        <v>0</v>
      </c>
      <c r="D951" s="9">
        <v>0</v>
      </c>
      <c r="E951" s="9">
        <v>0</v>
      </c>
      <c r="F951" s="9">
        <v>0</v>
      </c>
      <c r="G951" s="9">
        <v>0</v>
      </c>
      <c r="H951" s="9">
        <v>0</v>
      </c>
      <c r="I951" s="9">
        <v>0</v>
      </c>
      <c r="J951" s="9">
        <v>0</v>
      </c>
      <c r="K951" s="9">
        <v>0</v>
      </c>
      <c r="L951" s="9">
        <v>0</v>
      </c>
      <c r="M951" s="9">
        <v>0</v>
      </c>
      <c r="N951" s="9">
        <v>0</v>
      </c>
      <c r="O951" s="9">
        <v>0</v>
      </c>
      <c r="P951" s="9">
        <v>1</v>
      </c>
      <c r="Q951" s="9">
        <f>MAX(-20,MIN(10,$A951-VLOOKUP(YEAR($A951),'Festive dates'!$A$2:$J$5,8,FALSE)))</f>
        <v>10</v>
      </c>
      <c r="R951" s="9">
        <f>IF(AND($A951&gt;VLOOKUP(YEAR($A951),'Festive dates'!$A$2:$J$5,2,FALSE),$A951&lt;VLOOKUP(YEAR($A951),'Festive dates'!$A$2:$J$5,3,FALSE)),1,0)</f>
        <v>0</v>
      </c>
      <c r="S951" s="9">
        <f>IF($A951=VLOOKUP(YEAR($A951),'Festive dates'!$A$2:$J$5,2,FALSE),1,0)</f>
        <v>0</v>
      </c>
      <c r="T951" s="9">
        <f>IF($A951=VLOOKUP(YEAR($A951),'Festive dates'!$A$2:$J$5,3,FALSE),1,0)</f>
        <v>0</v>
      </c>
      <c r="U951" s="9">
        <f>IF($A951=VLOOKUP(YEAR($A951),'Festive dates'!$A$2:$J$5,4,FALSE),1,0)</f>
        <v>0</v>
      </c>
      <c r="V951" s="9">
        <f>IF(AND($A951&gt;=VLOOKUP(YEAR($A951),'Festive dates'!$A$2:$J$5,9,FALSE),$A951&lt;=VLOOKUP(YEAR($A951),'Festive dates'!$A$2:$J$5,10,FALSE)),1,0)</f>
        <v>0</v>
      </c>
      <c r="W951" s="9">
        <f>IF($A951=VLOOKUP(YEAR($A951),'Festive dates'!$A$2:$J$5,7,FALSE),1,0)</f>
        <v>0</v>
      </c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</row>
    <row r="952" spans="1:51">
      <c r="A952" s="8">
        <v>45967</v>
      </c>
      <c r="B952" s="9">
        <v>0</v>
      </c>
      <c r="C952" s="9">
        <v>0</v>
      </c>
      <c r="D952" s="9">
        <v>0</v>
      </c>
      <c r="E952" s="9">
        <v>0</v>
      </c>
      <c r="F952" s="9">
        <v>0</v>
      </c>
      <c r="G952" s="9">
        <v>0</v>
      </c>
      <c r="H952" s="9">
        <v>0</v>
      </c>
      <c r="I952" s="9">
        <v>0</v>
      </c>
      <c r="J952" s="9">
        <v>0</v>
      </c>
      <c r="K952" s="9">
        <v>0</v>
      </c>
      <c r="L952" s="9">
        <v>0</v>
      </c>
      <c r="M952" s="9">
        <v>0</v>
      </c>
      <c r="N952" s="9">
        <v>0</v>
      </c>
      <c r="O952" s="9">
        <v>0</v>
      </c>
      <c r="P952" s="9">
        <v>1</v>
      </c>
      <c r="Q952" s="9">
        <f>MAX(-20,MIN(10,$A952-VLOOKUP(YEAR($A952),'Festive dates'!$A$2:$J$5,8,FALSE)))</f>
        <v>10</v>
      </c>
      <c r="R952" s="9">
        <f>IF(AND($A952&gt;VLOOKUP(YEAR($A952),'Festive dates'!$A$2:$J$5,2,FALSE),$A952&lt;VLOOKUP(YEAR($A952),'Festive dates'!$A$2:$J$5,3,FALSE)),1,0)</f>
        <v>0</v>
      </c>
      <c r="S952" s="9">
        <f>IF($A952=VLOOKUP(YEAR($A952),'Festive dates'!$A$2:$J$5,2,FALSE),1,0)</f>
        <v>0</v>
      </c>
      <c r="T952" s="9">
        <f>IF($A952=VLOOKUP(YEAR($A952),'Festive dates'!$A$2:$J$5,3,FALSE),1,0)</f>
        <v>0</v>
      </c>
      <c r="U952" s="9">
        <f>IF($A952=VLOOKUP(YEAR($A952),'Festive dates'!$A$2:$J$5,4,FALSE),1,0)</f>
        <v>0</v>
      </c>
      <c r="V952" s="9">
        <f>IF(AND($A952&gt;=VLOOKUP(YEAR($A952),'Festive dates'!$A$2:$J$5,9,FALSE),$A952&lt;=VLOOKUP(YEAR($A952),'Festive dates'!$A$2:$J$5,10,FALSE)),1,0)</f>
        <v>0</v>
      </c>
      <c r="W952" s="9">
        <f>IF($A952=VLOOKUP(YEAR($A952),'Festive dates'!$A$2:$J$5,7,FALSE),1,0)</f>
        <v>0</v>
      </c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</row>
    <row r="953" spans="1:51">
      <c r="A953" s="8">
        <v>45968</v>
      </c>
      <c r="B953" s="9">
        <v>0</v>
      </c>
      <c r="C953" s="9">
        <v>0</v>
      </c>
      <c r="D953" s="9">
        <v>0</v>
      </c>
      <c r="E953" s="9">
        <v>0</v>
      </c>
      <c r="F953" s="9">
        <v>0</v>
      </c>
      <c r="G953" s="9">
        <v>0</v>
      </c>
      <c r="H953" s="9">
        <v>0</v>
      </c>
      <c r="I953" s="9">
        <v>0</v>
      </c>
      <c r="J953" s="9">
        <v>0</v>
      </c>
      <c r="K953" s="9">
        <v>0</v>
      </c>
      <c r="L953" s="9">
        <v>0</v>
      </c>
      <c r="M953" s="9">
        <v>0</v>
      </c>
      <c r="N953" s="9">
        <v>0</v>
      </c>
      <c r="O953" s="9">
        <v>0</v>
      </c>
      <c r="P953" s="9">
        <v>0</v>
      </c>
      <c r="Q953" s="9">
        <f>MAX(-20,MIN(10,$A953-VLOOKUP(YEAR($A953),'Festive dates'!$A$2:$J$5,8,FALSE)))</f>
        <v>10</v>
      </c>
      <c r="R953" s="9">
        <f>IF(AND($A953&gt;VLOOKUP(YEAR($A953),'Festive dates'!$A$2:$J$5,2,FALSE),$A953&lt;VLOOKUP(YEAR($A953),'Festive dates'!$A$2:$J$5,3,FALSE)),1,0)</f>
        <v>0</v>
      </c>
      <c r="S953" s="9">
        <f>IF($A953=VLOOKUP(YEAR($A953),'Festive dates'!$A$2:$J$5,2,FALSE),1,0)</f>
        <v>0</v>
      </c>
      <c r="T953" s="9">
        <f>IF($A953=VLOOKUP(YEAR($A953),'Festive dates'!$A$2:$J$5,3,FALSE),1,0)</f>
        <v>0</v>
      </c>
      <c r="U953" s="9">
        <f>IF($A953=VLOOKUP(YEAR($A953),'Festive dates'!$A$2:$J$5,4,FALSE),1,0)</f>
        <v>0</v>
      </c>
      <c r="V953" s="9">
        <f>IF(AND($A953&gt;=VLOOKUP(YEAR($A953),'Festive dates'!$A$2:$J$5,9,FALSE),$A953&lt;=VLOOKUP(YEAR($A953),'Festive dates'!$A$2:$J$5,10,FALSE)),1,0)</f>
        <v>0</v>
      </c>
      <c r="W953" s="9">
        <f>IF($A953=VLOOKUP(YEAR($A953),'Festive dates'!$A$2:$J$5,7,FALSE),1,0)</f>
        <v>0</v>
      </c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</row>
    <row r="954" spans="1:51">
      <c r="A954" s="8">
        <v>45969</v>
      </c>
      <c r="B954" s="9">
        <v>0</v>
      </c>
      <c r="C954" s="9">
        <v>0</v>
      </c>
      <c r="D954" s="9">
        <v>0</v>
      </c>
      <c r="E954" s="9">
        <v>0</v>
      </c>
      <c r="F954" s="9">
        <v>0</v>
      </c>
      <c r="G954" s="9">
        <v>0</v>
      </c>
      <c r="H954" s="9">
        <v>0</v>
      </c>
      <c r="I954" s="9">
        <v>0</v>
      </c>
      <c r="J954" s="9">
        <v>0</v>
      </c>
      <c r="K954" s="9">
        <v>0</v>
      </c>
      <c r="L954" s="9">
        <v>0</v>
      </c>
      <c r="M954" s="9">
        <v>0</v>
      </c>
      <c r="N954" s="9">
        <v>0</v>
      </c>
      <c r="O954" s="9">
        <v>0</v>
      </c>
      <c r="P954" s="9">
        <v>0</v>
      </c>
      <c r="Q954" s="9">
        <f>MAX(-20,MIN(10,$A954-VLOOKUP(YEAR($A954),'Festive dates'!$A$2:$J$5,8,FALSE)))</f>
        <v>10</v>
      </c>
      <c r="R954" s="9">
        <f>IF(AND($A954&gt;VLOOKUP(YEAR($A954),'Festive dates'!$A$2:$J$5,2,FALSE),$A954&lt;VLOOKUP(YEAR($A954),'Festive dates'!$A$2:$J$5,3,FALSE)),1,0)</f>
        <v>0</v>
      </c>
      <c r="S954" s="9">
        <f>IF($A954=VLOOKUP(YEAR($A954),'Festive dates'!$A$2:$J$5,2,FALSE),1,0)</f>
        <v>0</v>
      </c>
      <c r="T954" s="9">
        <f>IF($A954=VLOOKUP(YEAR($A954),'Festive dates'!$A$2:$J$5,3,FALSE),1,0)</f>
        <v>0</v>
      </c>
      <c r="U954" s="9">
        <f>IF($A954=VLOOKUP(YEAR($A954),'Festive dates'!$A$2:$J$5,4,FALSE),1,0)</f>
        <v>0</v>
      </c>
      <c r="V954" s="9">
        <f>IF(AND($A954&gt;=VLOOKUP(YEAR($A954),'Festive dates'!$A$2:$J$5,9,FALSE),$A954&lt;=VLOOKUP(YEAR($A954),'Festive dates'!$A$2:$J$5,10,FALSE)),1,0)</f>
        <v>0</v>
      </c>
      <c r="W954" s="9">
        <f>IF($A954=VLOOKUP(YEAR($A954),'Festive dates'!$A$2:$J$5,7,FALSE),1,0)</f>
        <v>0</v>
      </c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</row>
    <row r="955" spans="1:51">
      <c r="A955" s="8">
        <v>45970</v>
      </c>
      <c r="B955" s="9">
        <v>0</v>
      </c>
      <c r="C955" s="9">
        <v>0</v>
      </c>
      <c r="D955" s="9">
        <v>0</v>
      </c>
      <c r="E955" s="9">
        <v>0</v>
      </c>
      <c r="F955" s="9">
        <v>0</v>
      </c>
      <c r="G955" s="9">
        <v>0</v>
      </c>
      <c r="H955" s="9">
        <v>0</v>
      </c>
      <c r="I955" s="9">
        <v>0</v>
      </c>
      <c r="J955" s="9">
        <v>0</v>
      </c>
      <c r="K955" s="9">
        <v>0</v>
      </c>
      <c r="L955" s="9">
        <v>0</v>
      </c>
      <c r="M955" s="9">
        <v>0</v>
      </c>
      <c r="N955" s="9">
        <v>0</v>
      </c>
      <c r="O955" s="9">
        <v>0</v>
      </c>
      <c r="P955" s="9">
        <v>1</v>
      </c>
      <c r="Q955" s="9">
        <f>MAX(-20,MIN(10,$A955-VLOOKUP(YEAR($A955),'Festive dates'!$A$2:$J$5,8,FALSE)))</f>
        <v>10</v>
      </c>
      <c r="R955" s="9">
        <f>IF(AND($A955&gt;VLOOKUP(YEAR($A955),'Festive dates'!$A$2:$J$5,2,FALSE),$A955&lt;VLOOKUP(YEAR($A955),'Festive dates'!$A$2:$J$5,3,FALSE)),1,0)</f>
        <v>0</v>
      </c>
      <c r="S955" s="9">
        <f>IF($A955=VLOOKUP(YEAR($A955),'Festive dates'!$A$2:$J$5,2,FALSE),1,0)</f>
        <v>0</v>
      </c>
      <c r="T955" s="9">
        <f>IF($A955=VLOOKUP(YEAR($A955),'Festive dates'!$A$2:$J$5,3,FALSE),1,0)</f>
        <v>0</v>
      </c>
      <c r="U955" s="9">
        <f>IF($A955=VLOOKUP(YEAR($A955),'Festive dates'!$A$2:$J$5,4,FALSE),1,0)</f>
        <v>0</v>
      </c>
      <c r="V955" s="9">
        <f>IF(AND($A955&gt;=VLOOKUP(YEAR($A955),'Festive dates'!$A$2:$J$5,9,FALSE),$A955&lt;=VLOOKUP(YEAR($A955),'Festive dates'!$A$2:$J$5,10,FALSE)),1,0)</f>
        <v>0</v>
      </c>
      <c r="W955" s="9">
        <f>IF($A955=VLOOKUP(YEAR($A955),'Festive dates'!$A$2:$J$5,7,FALSE),1,0)</f>
        <v>0</v>
      </c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</row>
    <row r="956" spans="1:51">
      <c r="A956" s="8">
        <v>45971</v>
      </c>
      <c r="B956" s="9">
        <v>0</v>
      </c>
      <c r="C956" s="9">
        <v>0</v>
      </c>
      <c r="D956" s="9">
        <v>0</v>
      </c>
      <c r="E956" s="9">
        <v>0</v>
      </c>
      <c r="F956" s="9">
        <v>0</v>
      </c>
      <c r="G956" s="9">
        <v>0</v>
      </c>
      <c r="H956" s="9">
        <v>0</v>
      </c>
      <c r="I956" s="9">
        <v>0</v>
      </c>
      <c r="J956" s="9">
        <v>0</v>
      </c>
      <c r="K956" s="9">
        <v>0</v>
      </c>
      <c r="L956" s="9">
        <v>0</v>
      </c>
      <c r="M956" s="9">
        <v>0</v>
      </c>
      <c r="N956" s="9">
        <v>0</v>
      </c>
      <c r="O956" s="9">
        <v>0</v>
      </c>
      <c r="P956" s="9">
        <v>1</v>
      </c>
      <c r="Q956" s="9">
        <f>MAX(-20,MIN(10,$A956-VLOOKUP(YEAR($A956),'Festive dates'!$A$2:$J$5,8,FALSE)))</f>
        <v>10</v>
      </c>
      <c r="R956" s="9">
        <f>IF(AND($A956&gt;VLOOKUP(YEAR($A956),'Festive dates'!$A$2:$J$5,2,FALSE),$A956&lt;VLOOKUP(YEAR($A956),'Festive dates'!$A$2:$J$5,3,FALSE)),1,0)</f>
        <v>0</v>
      </c>
      <c r="S956" s="9">
        <f>IF($A956=VLOOKUP(YEAR($A956),'Festive dates'!$A$2:$J$5,2,FALSE),1,0)</f>
        <v>0</v>
      </c>
      <c r="T956" s="9">
        <f>IF($A956=VLOOKUP(YEAR($A956),'Festive dates'!$A$2:$J$5,3,FALSE),1,0)</f>
        <v>0</v>
      </c>
      <c r="U956" s="9">
        <f>IF($A956=VLOOKUP(YEAR($A956),'Festive dates'!$A$2:$J$5,4,FALSE),1,0)</f>
        <v>0</v>
      </c>
      <c r="V956" s="9">
        <f>IF(AND($A956&gt;=VLOOKUP(YEAR($A956),'Festive dates'!$A$2:$J$5,9,FALSE),$A956&lt;=VLOOKUP(YEAR($A956),'Festive dates'!$A$2:$J$5,10,FALSE)),1,0)</f>
        <v>0</v>
      </c>
      <c r="W956" s="9">
        <f>IF($A956=VLOOKUP(YEAR($A956),'Festive dates'!$A$2:$J$5,7,FALSE),1,0)</f>
        <v>0</v>
      </c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</row>
    <row r="957" spans="1:51">
      <c r="A957" s="8">
        <v>45972</v>
      </c>
      <c r="B957" s="9">
        <v>0</v>
      </c>
      <c r="C957" s="9">
        <v>0</v>
      </c>
      <c r="D957" s="9">
        <v>0</v>
      </c>
      <c r="E957" s="9">
        <v>0</v>
      </c>
      <c r="F957" s="9">
        <v>0</v>
      </c>
      <c r="G957" s="9">
        <v>0</v>
      </c>
      <c r="H957" s="9">
        <v>0</v>
      </c>
      <c r="I957" s="9">
        <v>0</v>
      </c>
      <c r="J957" s="9">
        <v>0</v>
      </c>
      <c r="K957" s="9">
        <v>0</v>
      </c>
      <c r="L957" s="9">
        <v>0</v>
      </c>
      <c r="M957" s="9">
        <v>0</v>
      </c>
      <c r="N957" s="9">
        <v>0</v>
      </c>
      <c r="O957" s="9">
        <v>0</v>
      </c>
      <c r="P957" s="9">
        <v>1</v>
      </c>
      <c r="Q957" s="9">
        <f>MAX(-20,MIN(10,$A957-VLOOKUP(YEAR($A957),'Festive dates'!$A$2:$J$5,8,FALSE)))</f>
        <v>10</v>
      </c>
      <c r="R957" s="9">
        <f>IF(AND($A957&gt;VLOOKUP(YEAR($A957),'Festive dates'!$A$2:$J$5,2,FALSE),$A957&lt;VLOOKUP(YEAR($A957),'Festive dates'!$A$2:$J$5,3,FALSE)),1,0)</f>
        <v>0</v>
      </c>
      <c r="S957" s="9">
        <f>IF($A957=VLOOKUP(YEAR($A957),'Festive dates'!$A$2:$J$5,2,FALSE),1,0)</f>
        <v>0</v>
      </c>
      <c r="T957" s="9">
        <f>IF($A957=VLOOKUP(YEAR($A957),'Festive dates'!$A$2:$J$5,3,FALSE),1,0)</f>
        <v>0</v>
      </c>
      <c r="U957" s="9">
        <f>IF($A957=VLOOKUP(YEAR($A957),'Festive dates'!$A$2:$J$5,4,FALSE),1,0)</f>
        <v>0</v>
      </c>
      <c r="V957" s="9">
        <f>IF(AND($A957&gt;=VLOOKUP(YEAR($A957),'Festive dates'!$A$2:$J$5,9,FALSE),$A957&lt;=VLOOKUP(YEAR($A957),'Festive dates'!$A$2:$J$5,10,FALSE)),1,0)</f>
        <v>0</v>
      </c>
      <c r="W957" s="9">
        <f>IF($A957=VLOOKUP(YEAR($A957),'Festive dates'!$A$2:$J$5,7,FALSE),1,0)</f>
        <v>0</v>
      </c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</row>
    <row r="958" spans="1:51">
      <c r="A958" s="8">
        <v>45973</v>
      </c>
      <c r="B958" s="9">
        <v>0</v>
      </c>
      <c r="C958" s="9">
        <v>0</v>
      </c>
      <c r="D958" s="9">
        <v>0</v>
      </c>
      <c r="E958" s="9">
        <v>0</v>
      </c>
      <c r="F958" s="9">
        <v>0</v>
      </c>
      <c r="G958" s="9">
        <v>0</v>
      </c>
      <c r="H958" s="9">
        <v>0</v>
      </c>
      <c r="I958" s="9">
        <v>0</v>
      </c>
      <c r="J958" s="9">
        <v>0</v>
      </c>
      <c r="K958" s="9">
        <v>0</v>
      </c>
      <c r="L958" s="9">
        <v>0</v>
      </c>
      <c r="M958" s="9">
        <v>0</v>
      </c>
      <c r="N958" s="9">
        <v>0</v>
      </c>
      <c r="O958" s="9">
        <v>0</v>
      </c>
      <c r="P958" s="9">
        <v>0</v>
      </c>
      <c r="Q958" s="9">
        <f>MAX(-20,MIN(10,$A958-VLOOKUP(YEAR($A958),'Festive dates'!$A$2:$J$5,8,FALSE)))</f>
        <v>10</v>
      </c>
      <c r="R958" s="9">
        <f>IF(AND($A958&gt;VLOOKUP(YEAR($A958),'Festive dates'!$A$2:$J$5,2,FALSE),$A958&lt;VLOOKUP(YEAR($A958),'Festive dates'!$A$2:$J$5,3,FALSE)),1,0)</f>
        <v>0</v>
      </c>
      <c r="S958" s="9">
        <f>IF($A958=VLOOKUP(YEAR($A958),'Festive dates'!$A$2:$J$5,2,FALSE),1,0)</f>
        <v>0</v>
      </c>
      <c r="T958" s="9">
        <f>IF($A958=VLOOKUP(YEAR($A958),'Festive dates'!$A$2:$J$5,3,FALSE),1,0)</f>
        <v>0</v>
      </c>
      <c r="U958" s="9">
        <f>IF($A958=VLOOKUP(YEAR($A958),'Festive dates'!$A$2:$J$5,4,FALSE),1,0)</f>
        <v>0</v>
      </c>
      <c r="V958" s="9">
        <f>IF(AND($A958&gt;=VLOOKUP(YEAR($A958),'Festive dates'!$A$2:$J$5,9,FALSE),$A958&lt;=VLOOKUP(YEAR($A958),'Festive dates'!$A$2:$J$5,10,FALSE)),1,0)</f>
        <v>0</v>
      </c>
      <c r="W958" s="9">
        <f>IF($A958=VLOOKUP(YEAR($A958),'Festive dates'!$A$2:$J$5,7,FALSE),1,0)</f>
        <v>0</v>
      </c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</row>
    <row r="959" spans="1:51">
      <c r="A959" s="8">
        <v>45974</v>
      </c>
      <c r="B959" s="9">
        <v>0</v>
      </c>
      <c r="C959" s="9">
        <v>0</v>
      </c>
      <c r="D959" s="9">
        <v>0</v>
      </c>
      <c r="E959" s="9">
        <v>0</v>
      </c>
      <c r="F959" s="9">
        <v>0</v>
      </c>
      <c r="G959" s="9">
        <v>0</v>
      </c>
      <c r="H959" s="9">
        <v>0</v>
      </c>
      <c r="I959" s="9">
        <v>0</v>
      </c>
      <c r="J959" s="9">
        <v>0</v>
      </c>
      <c r="K959" s="9">
        <v>0</v>
      </c>
      <c r="L959" s="9">
        <v>0</v>
      </c>
      <c r="M959" s="9">
        <v>0</v>
      </c>
      <c r="N959" s="9">
        <v>0</v>
      </c>
      <c r="O959" s="9">
        <v>0</v>
      </c>
      <c r="P959" s="9">
        <v>0</v>
      </c>
      <c r="Q959" s="9">
        <f>MAX(-20,MIN(10,$A959-VLOOKUP(YEAR($A959),'Festive dates'!$A$2:$J$5,8,FALSE)))</f>
        <v>10</v>
      </c>
      <c r="R959" s="9">
        <f>IF(AND($A959&gt;VLOOKUP(YEAR($A959),'Festive dates'!$A$2:$J$5,2,FALSE),$A959&lt;VLOOKUP(YEAR($A959),'Festive dates'!$A$2:$J$5,3,FALSE)),1,0)</f>
        <v>0</v>
      </c>
      <c r="S959" s="9">
        <f>IF($A959=VLOOKUP(YEAR($A959),'Festive dates'!$A$2:$J$5,2,FALSE),1,0)</f>
        <v>0</v>
      </c>
      <c r="T959" s="9">
        <f>IF($A959=VLOOKUP(YEAR($A959),'Festive dates'!$A$2:$J$5,3,FALSE),1,0)</f>
        <v>0</v>
      </c>
      <c r="U959" s="9">
        <f>IF($A959=VLOOKUP(YEAR($A959),'Festive dates'!$A$2:$J$5,4,FALSE),1,0)</f>
        <v>0</v>
      </c>
      <c r="V959" s="9">
        <f>IF(AND($A959&gt;=VLOOKUP(YEAR($A959),'Festive dates'!$A$2:$J$5,9,FALSE),$A959&lt;=VLOOKUP(YEAR($A959),'Festive dates'!$A$2:$J$5,10,FALSE)),1,0)</f>
        <v>0</v>
      </c>
      <c r="W959" s="9">
        <f>IF($A959=VLOOKUP(YEAR($A959),'Festive dates'!$A$2:$J$5,7,FALSE),1,0)</f>
        <v>0</v>
      </c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</row>
    <row r="960" spans="1:51">
      <c r="A960" s="8">
        <v>45975</v>
      </c>
      <c r="B960" s="9">
        <v>0</v>
      </c>
      <c r="C960" s="9">
        <v>0</v>
      </c>
      <c r="D960" s="9">
        <v>0</v>
      </c>
      <c r="E960" s="9">
        <v>0</v>
      </c>
      <c r="F960" s="9">
        <v>0</v>
      </c>
      <c r="G960" s="9">
        <v>0</v>
      </c>
      <c r="H960" s="9">
        <v>0</v>
      </c>
      <c r="I960" s="9">
        <v>0</v>
      </c>
      <c r="J960" s="9">
        <v>0</v>
      </c>
      <c r="K960" s="9">
        <v>0</v>
      </c>
      <c r="L960" s="9">
        <v>0</v>
      </c>
      <c r="M960" s="9">
        <v>0</v>
      </c>
      <c r="N960" s="9">
        <v>0</v>
      </c>
      <c r="O960" s="9">
        <v>0</v>
      </c>
      <c r="P960" s="9">
        <v>1</v>
      </c>
      <c r="Q960" s="9">
        <f>MAX(-20,MIN(10,$A960-VLOOKUP(YEAR($A960),'Festive dates'!$A$2:$J$5,8,FALSE)))</f>
        <v>10</v>
      </c>
      <c r="R960" s="9">
        <f>IF(AND($A960&gt;VLOOKUP(YEAR($A960),'Festive dates'!$A$2:$J$5,2,FALSE),$A960&lt;VLOOKUP(YEAR($A960),'Festive dates'!$A$2:$J$5,3,FALSE)),1,0)</f>
        <v>0</v>
      </c>
      <c r="S960" s="9">
        <f>IF($A960=VLOOKUP(YEAR($A960),'Festive dates'!$A$2:$J$5,2,FALSE),1,0)</f>
        <v>0</v>
      </c>
      <c r="T960" s="9">
        <f>IF($A960=VLOOKUP(YEAR($A960),'Festive dates'!$A$2:$J$5,3,FALSE),1,0)</f>
        <v>0</v>
      </c>
      <c r="U960" s="9">
        <f>IF($A960=VLOOKUP(YEAR($A960),'Festive dates'!$A$2:$J$5,4,FALSE),1,0)</f>
        <v>0</v>
      </c>
      <c r="V960" s="9">
        <f>IF(AND($A960&gt;=VLOOKUP(YEAR($A960),'Festive dates'!$A$2:$J$5,9,FALSE),$A960&lt;=VLOOKUP(YEAR($A960),'Festive dates'!$A$2:$J$5,10,FALSE)),1,0)</f>
        <v>0</v>
      </c>
      <c r="W960" s="9">
        <f>IF($A960=VLOOKUP(YEAR($A960),'Festive dates'!$A$2:$J$5,7,FALSE),1,0)</f>
        <v>0</v>
      </c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</row>
    <row r="961" spans="1:51">
      <c r="A961" s="8">
        <v>45976</v>
      </c>
      <c r="B961" s="9">
        <v>0</v>
      </c>
      <c r="C961" s="9">
        <v>0</v>
      </c>
      <c r="D961" s="9">
        <v>0</v>
      </c>
      <c r="E961" s="9">
        <v>0</v>
      </c>
      <c r="F961" s="9">
        <v>0</v>
      </c>
      <c r="G961" s="9">
        <v>0</v>
      </c>
      <c r="H961" s="9">
        <v>0</v>
      </c>
      <c r="I961" s="9">
        <v>0</v>
      </c>
      <c r="J961" s="9">
        <v>0</v>
      </c>
      <c r="K961" s="9">
        <v>0</v>
      </c>
      <c r="L961" s="9">
        <v>0</v>
      </c>
      <c r="M961" s="9">
        <v>0</v>
      </c>
      <c r="N961" s="9">
        <v>0</v>
      </c>
      <c r="O961" s="9">
        <v>0</v>
      </c>
      <c r="P961" s="9">
        <v>1</v>
      </c>
      <c r="Q961" s="9">
        <f>MAX(-20,MIN(10,$A961-VLOOKUP(YEAR($A961),'Festive dates'!$A$2:$J$5,8,FALSE)))</f>
        <v>10</v>
      </c>
      <c r="R961" s="9">
        <f>IF(AND($A961&gt;VLOOKUP(YEAR($A961),'Festive dates'!$A$2:$J$5,2,FALSE),$A961&lt;VLOOKUP(YEAR($A961),'Festive dates'!$A$2:$J$5,3,FALSE)),1,0)</f>
        <v>0</v>
      </c>
      <c r="S961" s="9">
        <f>IF($A961=VLOOKUP(YEAR($A961),'Festive dates'!$A$2:$J$5,2,FALSE),1,0)</f>
        <v>0</v>
      </c>
      <c r="T961" s="9">
        <f>IF($A961=VLOOKUP(YEAR($A961),'Festive dates'!$A$2:$J$5,3,FALSE),1,0)</f>
        <v>0</v>
      </c>
      <c r="U961" s="9">
        <f>IF($A961=VLOOKUP(YEAR($A961),'Festive dates'!$A$2:$J$5,4,FALSE),1,0)</f>
        <v>0</v>
      </c>
      <c r="V961" s="9">
        <f>IF(AND($A961&gt;=VLOOKUP(YEAR($A961),'Festive dates'!$A$2:$J$5,9,FALSE),$A961&lt;=VLOOKUP(YEAR($A961),'Festive dates'!$A$2:$J$5,10,FALSE)),1,0)</f>
        <v>0</v>
      </c>
      <c r="W961" s="9">
        <f>IF($A961=VLOOKUP(YEAR($A961),'Festive dates'!$A$2:$J$5,7,FALSE),1,0)</f>
        <v>0</v>
      </c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</row>
    <row r="962" spans="1:51">
      <c r="A962" s="8">
        <v>45977</v>
      </c>
      <c r="B962" s="9">
        <v>0</v>
      </c>
      <c r="C962" s="9">
        <v>0</v>
      </c>
      <c r="D962" s="9">
        <v>0</v>
      </c>
      <c r="E962" s="9">
        <v>0</v>
      </c>
      <c r="F962" s="9">
        <v>0</v>
      </c>
      <c r="G962" s="9">
        <v>0</v>
      </c>
      <c r="H962" s="9">
        <v>0</v>
      </c>
      <c r="I962" s="9">
        <v>0</v>
      </c>
      <c r="J962" s="9">
        <v>0</v>
      </c>
      <c r="K962" s="9">
        <v>0</v>
      </c>
      <c r="L962" s="9">
        <v>0</v>
      </c>
      <c r="M962" s="9">
        <v>0</v>
      </c>
      <c r="N962" s="9">
        <v>0</v>
      </c>
      <c r="O962" s="9">
        <v>0</v>
      </c>
      <c r="P962" s="9">
        <v>1</v>
      </c>
      <c r="Q962" s="9">
        <f>MAX(-20,MIN(10,$A962-VLOOKUP(YEAR($A962),'Festive dates'!$A$2:$J$5,8,FALSE)))</f>
        <v>10</v>
      </c>
      <c r="R962" s="9">
        <f>IF(AND($A962&gt;VLOOKUP(YEAR($A962),'Festive dates'!$A$2:$J$5,2,FALSE),$A962&lt;VLOOKUP(YEAR($A962),'Festive dates'!$A$2:$J$5,3,FALSE)),1,0)</f>
        <v>0</v>
      </c>
      <c r="S962" s="9">
        <f>IF($A962=VLOOKUP(YEAR($A962),'Festive dates'!$A$2:$J$5,2,FALSE),1,0)</f>
        <v>0</v>
      </c>
      <c r="T962" s="9">
        <f>IF($A962=VLOOKUP(YEAR($A962),'Festive dates'!$A$2:$J$5,3,FALSE),1,0)</f>
        <v>0</v>
      </c>
      <c r="U962" s="9">
        <f>IF($A962=VLOOKUP(YEAR($A962),'Festive dates'!$A$2:$J$5,4,FALSE),1,0)</f>
        <v>0</v>
      </c>
      <c r="V962" s="9">
        <f>IF(AND($A962&gt;=VLOOKUP(YEAR($A962),'Festive dates'!$A$2:$J$5,9,FALSE),$A962&lt;=VLOOKUP(YEAR($A962),'Festive dates'!$A$2:$J$5,10,FALSE)),1,0)</f>
        <v>0</v>
      </c>
      <c r="W962" s="9">
        <f>IF($A962=VLOOKUP(YEAR($A962),'Festive dates'!$A$2:$J$5,7,FALSE),1,0)</f>
        <v>0</v>
      </c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</row>
    <row r="963" spans="1:51">
      <c r="A963" s="8">
        <v>45978</v>
      </c>
      <c r="B963" s="9">
        <v>0</v>
      </c>
      <c r="C963" s="9">
        <v>0</v>
      </c>
      <c r="D963" s="9">
        <v>0</v>
      </c>
      <c r="E963" s="9">
        <v>0</v>
      </c>
      <c r="F963" s="9">
        <v>0</v>
      </c>
      <c r="G963" s="9">
        <v>0</v>
      </c>
      <c r="H963" s="9">
        <v>0</v>
      </c>
      <c r="I963" s="9">
        <v>0</v>
      </c>
      <c r="J963" s="9">
        <v>0</v>
      </c>
      <c r="K963" s="9">
        <v>0</v>
      </c>
      <c r="L963" s="9">
        <v>0</v>
      </c>
      <c r="M963" s="9">
        <v>0</v>
      </c>
      <c r="N963" s="9">
        <v>0</v>
      </c>
      <c r="O963" s="9">
        <v>0</v>
      </c>
      <c r="P963" s="9">
        <v>0</v>
      </c>
      <c r="Q963" s="9">
        <f>MAX(-20,MIN(10,$A963-VLOOKUP(YEAR($A963),'Festive dates'!$A$2:$J$5,8,FALSE)))</f>
        <v>10</v>
      </c>
      <c r="R963" s="9">
        <f>IF(AND($A963&gt;VLOOKUP(YEAR($A963),'Festive dates'!$A$2:$J$5,2,FALSE),$A963&lt;VLOOKUP(YEAR($A963),'Festive dates'!$A$2:$J$5,3,FALSE)),1,0)</f>
        <v>0</v>
      </c>
      <c r="S963" s="9">
        <f>IF($A963=VLOOKUP(YEAR($A963),'Festive dates'!$A$2:$J$5,2,FALSE),1,0)</f>
        <v>0</v>
      </c>
      <c r="T963" s="9">
        <f>IF($A963=VLOOKUP(YEAR($A963),'Festive dates'!$A$2:$J$5,3,FALSE),1,0)</f>
        <v>0</v>
      </c>
      <c r="U963" s="9">
        <f>IF($A963=VLOOKUP(YEAR($A963),'Festive dates'!$A$2:$J$5,4,FALSE),1,0)</f>
        <v>0</v>
      </c>
      <c r="V963" s="9">
        <f>IF(AND($A963&gt;=VLOOKUP(YEAR($A963),'Festive dates'!$A$2:$J$5,9,FALSE),$A963&lt;=VLOOKUP(YEAR($A963),'Festive dates'!$A$2:$J$5,10,FALSE)),1,0)</f>
        <v>0</v>
      </c>
      <c r="W963" s="9">
        <f>IF($A963=VLOOKUP(YEAR($A963),'Festive dates'!$A$2:$J$5,7,FALSE),1,0)</f>
        <v>0</v>
      </c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</row>
    <row r="964" spans="1:51">
      <c r="A964" s="8">
        <v>45979</v>
      </c>
      <c r="B964" s="9">
        <v>0</v>
      </c>
      <c r="C964" s="9">
        <v>0</v>
      </c>
      <c r="D964" s="9">
        <v>0</v>
      </c>
      <c r="E964" s="9">
        <v>0</v>
      </c>
      <c r="F964" s="9">
        <v>0</v>
      </c>
      <c r="G964" s="9">
        <v>0</v>
      </c>
      <c r="H964" s="9">
        <v>0</v>
      </c>
      <c r="I964" s="9">
        <v>0</v>
      </c>
      <c r="J964" s="9">
        <v>0</v>
      </c>
      <c r="K964" s="9">
        <v>0</v>
      </c>
      <c r="L964" s="9">
        <v>0</v>
      </c>
      <c r="M964" s="9">
        <v>0</v>
      </c>
      <c r="N964" s="9">
        <v>0</v>
      </c>
      <c r="O964" s="9">
        <v>0</v>
      </c>
      <c r="P964" s="9">
        <v>1</v>
      </c>
      <c r="Q964" s="9">
        <f>MAX(-20,MIN(10,$A964-VLOOKUP(YEAR($A964),'Festive dates'!$A$2:$J$5,8,FALSE)))</f>
        <v>10</v>
      </c>
      <c r="R964" s="9">
        <f>IF(AND($A964&gt;VLOOKUP(YEAR($A964),'Festive dates'!$A$2:$J$5,2,FALSE),$A964&lt;VLOOKUP(YEAR($A964),'Festive dates'!$A$2:$J$5,3,FALSE)),1,0)</f>
        <v>0</v>
      </c>
      <c r="S964" s="9">
        <f>IF($A964=VLOOKUP(YEAR($A964),'Festive dates'!$A$2:$J$5,2,FALSE),1,0)</f>
        <v>0</v>
      </c>
      <c r="T964" s="9">
        <f>IF($A964=VLOOKUP(YEAR($A964),'Festive dates'!$A$2:$J$5,3,FALSE),1,0)</f>
        <v>0</v>
      </c>
      <c r="U964" s="9">
        <f>IF($A964=VLOOKUP(YEAR($A964),'Festive dates'!$A$2:$J$5,4,FALSE),1,0)</f>
        <v>0</v>
      </c>
      <c r="V964" s="9">
        <f>IF(AND($A964&gt;=VLOOKUP(YEAR($A964),'Festive dates'!$A$2:$J$5,9,FALSE),$A964&lt;=VLOOKUP(YEAR($A964),'Festive dates'!$A$2:$J$5,10,FALSE)),1,0)</f>
        <v>0</v>
      </c>
      <c r="W964" s="9">
        <f>IF($A964=VLOOKUP(YEAR($A964),'Festive dates'!$A$2:$J$5,7,FALSE),1,0)</f>
        <v>0</v>
      </c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</row>
    <row r="965" spans="1:51">
      <c r="A965" s="8">
        <v>45980</v>
      </c>
      <c r="B965" s="9">
        <v>0</v>
      </c>
      <c r="C965" s="9">
        <v>0</v>
      </c>
      <c r="D965" s="9">
        <v>0</v>
      </c>
      <c r="E965" s="9">
        <v>0</v>
      </c>
      <c r="F965" s="9">
        <v>0</v>
      </c>
      <c r="G965" s="9">
        <v>0</v>
      </c>
      <c r="H965" s="9">
        <v>0</v>
      </c>
      <c r="I965" s="9">
        <v>0</v>
      </c>
      <c r="J965" s="9">
        <v>0</v>
      </c>
      <c r="K965" s="9">
        <v>0</v>
      </c>
      <c r="L965" s="9">
        <v>0</v>
      </c>
      <c r="M965" s="9">
        <v>0</v>
      </c>
      <c r="N965" s="9">
        <v>0</v>
      </c>
      <c r="O965" s="9">
        <v>0</v>
      </c>
      <c r="P965" s="9">
        <v>0</v>
      </c>
      <c r="Q965" s="9">
        <f>MAX(-20,MIN(10,$A965-VLOOKUP(YEAR($A965),'Festive dates'!$A$2:$J$5,8,FALSE)))</f>
        <v>10</v>
      </c>
      <c r="R965" s="9">
        <f>IF(AND($A965&gt;VLOOKUP(YEAR($A965),'Festive dates'!$A$2:$J$5,2,FALSE),$A965&lt;VLOOKUP(YEAR($A965),'Festive dates'!$A$2:$J$5,3,FALSE)),1,0)</f>
        <v>0</v>
      </c>
      <c r="S965" s="9">
        <f>IF($A965=VLOOKUP(YEAR($A965),'Festive dates'!$A$2:$J$5,2,FALSE),1,0)</f>
        <v>0</v>
      </c>
      <c r="T965" s="9">
        <f>IF($A965=VLOOKUP(YEAR($A965),'Festive dates'!$A$2:$J$5,3,FALSE),1,0)</f>
        <v>0</v>
      </c>
      <c r="U965" s="9">
        <f>IF($A965=VLOOKUP(YEAR($A965),'Festive dates'!$A$2:$J$5,4,FALSE),1,0)</f>
        <v>0</v>
      </c>
      <c r="V965" s="9">
        <f>IF(AND($A965&gt;=VLOOKUP(YEAR($A965),'Festive dates'!$A$2:$J$5,9,FALSE),$A965&lt;=VLOOKUP(YEAR($A965),'Festive dates'!$A$2:$J$5,10,FALSE)),1,0)</f>
        <v>0</v>
      </c>
      <c r="W965" s="9">
        <f>IF($A965=VLOOKUP(YEAR($A965),'Festive dates'!$A$2:$J$5,7,FALSE),1,0)</f>
        <v>0</v>
      </c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</row>
    <row r="966" spans="1:51">
      <c r="A966" s="8">
        <v>45981</v>
      </c>
      <c r="B966" s="9">
        <v>0</v>
      </c>
      <c r="C966" s="9">
        <v>0</v>
      </c>
      <c r="D966" s="9">
        <v>0</v>
      </c>
      <c r="E966" s="9">
        <v>0</v>
      </c>
      <c r="F966" s="9">
        <v>0</v>
      </c>
      <c r="G966" s="9">
        <v>0</v>
      </c>
      <c r="H966" s="9">
        <v>0</v>
      </c>
      <c r="I966" s="9">
        <v>0</v>
      </c>
      <c r="J966" s="9">
        <v>0</v>
      </c>
      <c r="K966" s="9">
        <v>0</v>
      </c>
      <c r="L966" s="9">
        <v>0</v>
      </c>
      <c r="M966" s="9">
        <v>0</v>
      </c>
      <c r="N966" s="9">
        <v>0</v>
      </c>
      <c r="O966" s="9">
        <v>0</v>
      </c>
      <c r="P966" s="9">
        <v>0</v>
      </c>
      <c r="Q966" s="9">
        <f>MAX(-20,MIN(10,$A966-VLOOKUP(YEAR($A966),'Festive dates'!$A$2:$J$5,8,FALSE)))</f>
        <v>10</v>
      </c>
      <c r="R966" s="9">
        <f>IF(AND($A966&gt;VLOOKUP(YEAR($A966),'Festive dates'!$A$2:$J$5,2,FALSE),$A966&lt;VLOOKUP(YEAR($A966),'Festive dates'!$A$2:$J$5,3,FALSE)),1,0)</f>
        <v>0</v>
      </c>
      <c r="S966" s="9">
        <f>IF($A966=VLOOKUP(YEAR($A966),'Festive dates'!$A$2:$J$5,2,FALSE),1,0)</f>
        <v>0</v>
      </c>
      <c r="T966" s="9">
        <f>IF($A966=VLOOKUP(YEAR($A966),'Festive dates'!$A$2:$J$5,3,FALSE),1,0)</f>
        <v>0</v>
      </c>
      <c r="U966" s="9">
        <f>IF($A966=VLOOKUP(YEAR($A966),'Festive dates'!$A$2:$J$5,4,FALSE),1,0)</f>
        <v>0</v>
      </c>
      <c r="V966" s="9">
        <f>IF(AND($A966&gt;=VLOOKUP(YEAR($A966),'Festive dates'!$A$2:$J$5,9,FALSE),$A966&lt;=VLOOKUP(YEAR($A966),'Festive dates'!$A$2:$J$5,10,FALSE)),1,0)</f>
        <v>0</v>
      </c>
      <c r="W966" s="9">
        <f>IF($A966=VLOOKUP(YEAR($A966),'Festive dates'!$A$2:$J$5,7,FALSE),1,0)</f>
        <v>0</v>
      </c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</row>
    <row r="967" spans="1:51">
      <c r="A967" s="8">
        <v>45982</v>
      </c>
      <c r="B967" s="9">
        <v>0</v>
      </c>
      <c r="C967" s="9">
        <v>0</v>
      </c>
      <c r="D967" s="9">
        <v>0</v>
      </c>
      <c r="E967" s="9">
        <v>0</v>
      </c>
      <c r="F967" s="9">
        <v>0</v>
      </c>
      <c r="G967" s="9">
        <v>0</v>
      </c>
      <c r="H967" s="9">
        <v>0</v>
      </c>
      <c r="I967" s="9">
        <v>0</v>
      </c>
      <c r="J967" s="9">
        <v>0</v>
      </c>
      <c r="K967" s="9">
        <v>0</v>
      </c>
      <c r="L967" s="9">
        <v>0</v>
      </c>
      <c r="M967" s="9">
        <v>0</v>
      </c>
      <c r="N967" s="9">
        <v>0</v>
      </c>
      <c r="O967" s="9">
        <v>0</v>
      </c>
      <c r="P967" s="9">
        <v>0</v>
      </c>
      <c r="Q967" s="9">
        <f>MAX(-20,MIN(10,$A967-VLOOKUP(YEAR($A967),'Festive dates'!$A$2:$J$5,8,FALSE)))</f>
        <v>10</v>
      </c>
      <c r="R967" s="9">
        <f>IF(AND($A967&gt;VLOOKUP(YEAR($A967),'Festive dates'!$A$2:$J$5,2,FALSE),$A967&lt;VLOOKUP(YEAR($A967),'Festive dates'!$A$2:$J$5,3,FALSE)),1,0)</f>
        <v>0</v>
      </c>
      <c r="S967" s="9">
        <f>IF($A967=VLOOKUP(YEAR($A967),'Festive dates'!$A$2:$J$5,2,FALSE),1,0)</f>
        <v>0</v>
      </c>
      <c r="T967" s="9">
        <f>IF($A967=VLOOKUP(YEAR($A967),'Festive dates'!$A$2:$J$5,3,FALSE),1,0)</f>
        <v>0</v>
      </c>
      <c r="U967" s="9">
        <f>IF($A967=VLOOKUP(YEAR($A967),'Festive dates'!$A$2:$J$5,4,FALSE),1,0)</f>
        <v>0</v>
      </c>
      <c r="V967" s="9">
        <f>IF(AND($A967&gt;=VLOOKUP(YEAR($A967),'Festive dates'!$A$2:$J$5,9,FALSE),$A967&lt;=VLOOKUP(YEAR($A967),'Festive dates'!$A$2:$J$5,10,FALSE)),1,0)</f>
        <v>0</v>
      </c>
      <c r="W967" s="9">
        <f>IF($A967=VLOOKUP(YEAR($A967),'Festive dates'!$A$2:$J$5,7,FALSE),1,0)</f>
        <v>0</v>
      </c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</row>
    <row r="968" spans="1:51">
      <c r="A968" s="8">
        <v>45983</v>
      </c>
      <c r="B968" s="9">
        <v>0</v>
      </c>
      <c r="C968" s="9">
        <v>0</v>
      </c>
      <c r="D968" s="9">
        <v>0</v>
      </c>
      <c r="E968" s="9">
        <v>0</v>
      </c>
      <c r="F968" s="9">
        <v>0</v>
      </c>
      <c r="G968" s="9">
        <v>0</v>
      </c>
      <c r="H968" s="9">
        <v>0</v>
      </c>
      <c r="I968" s="9">
        <v>0</v>
      </c>
      <c r="J968" s="9">
        <v>0</v>
      </c>
      <c r="K968" s="9">
        <v>0</v>
      </c>
      <c r="L968" s="9">
        <v>0</v>
      </c>
      <c r="M968" s="9">
        <v>0</v>
      </c>
      <c r="N968" s="9">
        <v>0</v>
      </c>
      <c r="O968" s="9">
        <v>0</v>
      </c>
      <c r="P968" s="9">
        <v>0</v>
      </c>
      <c r="Q968" s="9">
        <f>MAX(-20,MIN(10,$A968-VLOOKUP(YEAR($A968),'Festive dates'!$A$2:$J$5,8,FALSE)))</f>
        <v>10</v>
      </c>
      <c r="R968" s="9">
        <f>IF(AND($A968&gt;VLOOKUP(YEAR($A968),'Festive dates'!$A$2:$J$5,2,FALSE),$A968&lt;VLOOKUP(YEAR($A968),'Festive dates'!$A$2:$J$5,3,FALSE)),1,0)</f>
        <v>0</v>
      </c>
      <c r="S968" s="9">
        <f>IF($A968=VLOOKUP(YEAR($A968),'Festive dates'!$A$2:$J$5,2,FALSE),1,0)</f>
        <v>0</v>
      </c>
      <c r="T968" s="9">
        <f>IF($A968=VLOOKUP(YEAR($A968),'Festive dates'!$A$2:$J$5,3,FALSE),1,0)</f>
        <v>0</v>
      </c>
      <c r="U968" s="9">
        <f>IF($A968=VLOOKUP(YEAR($A968),'Festive dates'!$A$2:$J$5,4,FALSE),1,0)</f>
        <v>0</v>
      </c>
      <c r="V968" s="9">
        <f>IF(AND($A968&gt;=VLOOKUP(YEAR($A968),'Festive dates'!$A$2:$J$5,9,FALSE),$A968&lt;=VLOOKUP(YEAR($A968),'Festive dates'!$A$2:$J$5,10,FALSE)),1,0)</f>
        <v>0</v>
      </c>
      <c r="W968" s="9">
        <f>IF($A968=VLOOKUP(YEAR($A968),'Festive dates'!$A$2:$J$5,7,FALSE),1,0)</f>
        <v>0</v>
      </c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</row>
    <row r="969" spans="1:51">
      <c r="A969" s="8">
        <v>45984</v>
      </c>
      <c r="B969" s="9">
        <v>0</v>
      </c>
      <c r="C969" s="9">
        <v>0</v>
      </c>
      <c r="D969" s="9">
        <v>0</v>
      </c>
      <c r="E969" s="9">
        <v>0</v>
      </c>
      <c r="F969" s="9">
        <v>0</v>
      </c>
      <c r="G969" s="9">
        <v>0</v>
      </c>
      <c r="H969" s="9">
        <v>0</v>
      </c>
      <c r="I969" s="9">
        <v>0</v>
      </c>
      <c r="J969" s="9">
        <v>0</v>
      </c>
      <c r="K969" s="9">
        <v>0</v>
      </c>
      <c r="L969" s="9">
        <v>0</v>
      </c>
      <c r="M969" s="9">
        <v>0</v>
      </c>
      <c r="N969" s="9">
        <v>0</v>
      </c>
      <c r="O969" s="9">
        <v>0</v>
      </c>
      <c r="P969" s="9">
        <v>1</v>
      </c>
      <c r="Q969" s="9">
        <f>MAX(-20,MIN(10,$A969-VLOOKUP(YEAR($A969),'Festive dates'!$A$2:$J$5,8,FALSE)))</f>
        <v>10</v>
      </c>
      <c r="R969" s="9">
        <f>IF(AND($A969&gt;VLOOKUP(YEAR($A969),'Festive dates'!$A$2:$J$5,2,FALSE),$A969&lt;VLOOKUP(YEAR($A969),'Festive dates'!$A$2:$J$5,3,FALSE)),1,0)</f>
        <v>0</v>
      </c>
      <c r="S969" s="9">
        <f>IF($A969=VLOOKUP(YEAR($A969),'Festive dates'!$A$2:$J$5,2,FALSE),1,0)</f>
        <v>0</v>
      </c>
      <c r="T969" s="9">
        <f>IF($A969=VLOOKUP(YEAR($A969),'Festive dates'!$A$2:$J$5,3,FALSE),1,0)</f>
        <v>0</v>
      </c>
      <c r="U969" s="9">
        <f>IF($A969=VLOOKUP(YEAR($A969),'Festive dates'!$A$2:$J$5,4,FALSE),1,0)</f>
        <v>0</v>
      </c>
      <c r="V969" s="9">
        <f>IF(AND($A969&gt;=VLOOKUP(YEAR($A969),'Festive dates'!$A$2:$J$5,9,FALSE),$A969&lt;=VLOOKUP(YEAR($A969),'Festive dates'!$A$2:$J$5,10,FALSE)),1,0)</f>
        <v>0</v>
      </c>
      <c r="W969" s="9">
        <f>IF($A969=VLOOKUP(YEAR($A969),'Festive dates'!$A$2:$J$5,7,FALSE),1,0)</f>
        <v>0</v>
      </c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</row>
    <row r="970" spans="1:51">
      <c r="A970" s="8">
        <v>45985</v>
      </c>
      <c r="B970" s="9">
        <v>0</v>
      </c>
      <c r="C970" s="9">
        <v>0</v>
      </c>
      <c r="D970" s="9">
        <v>0</v>
      </c>
      <c r="E970" s="9">
        <v>0</v>
      </c>
      <c r="F970" s="9">
        <v>0</v>
      </c>
      <c r="G970" s="9">
        <v>0</v>
      </c>
      <c r="H970" s="9">
        <v>0</v>
      </c>
      <c r="I970" s="9">
        <v>0</v>
      </c>
      <c r="J970" s="9">
        <v>0</v>
      </c>
      <c r="K970" s="9">
        <v>0</v>
      </c>
      <c r="L970" s="9">
        <v>0</v>
      </c>
      <c r="M970" s="9">
        <v>0</v>
      </c>
      <c r="N970" s="9">
        <v>0</v>
      </c>
      <c r="O970" s="9">
        <v>0</v>
      </c>
      <c r="P970" s="9">
        <v>0</v>
      </c>
      <c r="Q970" s="9">
        <f>MAX(-20,MIN(10,$A970-VLOOKUP(YEAR($A970),'Festive dates'!$A$2:$J$5,8,FALSE)))</f>
        <v>10</v>
      </c>
      <c r="R970" s="9">
        <f>IF(AND($A970&gt;VLOOKUP(YEAR($A970),'Festive dates'!$A$2:$J$5,2,FALSE),$A970&lt;VLOOKUP(YEAR($A970),'Festive dates'!$A$2:$J$5,3,FALSE)),1,0)</f>
        <v>0</v>
      </c>
      <c r="S970" s="9">
        <f>IF($A970=VLOOKUP(YEAR($A970),'Festive dates'!$A$2:$J$5,2,FALSE),1,0)</f>
        <v>0</v>
      </c>
      <c r="T970" s="9">
        <f>IF($A970=VLOOKUP(YEAR($A970),'Festive dates'!$A$2:$J$5,3,FALSE),1,0)</f>
        <v>0</v>
      </c>
      <c r="U970" s="9">
        <f>IF($A970=VLOOKUP(YEAR($A970),'Festive dates'!$A$2:$J$5,4,FALSE),1,0)</f>
        <v>0</v>
      </c>
      <c r="V970" s="9">
        <f>IF(AND($A970&gt;=VLOOKUP(YEAR($A970),'Festive dates'!$A$2:$J$5,9,FALSE),$A970&lt;=VLOOKUP(YEAR($A970),'Festive dates'!$A$2:$J$5,10,FALSE)),1,0)</f>
        <v>0</v>
      </c>
      <c r="W970" s="9">
        <f>IF($A970=VLOOKUP(YEAR($A970),'Festive dates'!$A$2:$J$5,7,FALSE),1,0)</f>
        <v>0</v>
      </c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</row>
    <row r="971" spans="1:51">
      <c r="A971" s="8">
        <v>45986</v>
      </c>
      <c r="B971" s="9">
        <v>0</v>
      </c>
      <c r="C971" s="9">
        <v>0</v>
      </c>
      <c r="D971" s="9">
        <v>0</v>
      </c>
      <c r="E971" s="9">
        <v>0</v>
      </c>
      <c r="F971" s="9">
        <v>0</v>
      </c>
      <c r="G971" s="9">
        <v>0</v>
      </c>
      <c r="H971" s="9">
        <v>0</v>
      </c>
      <c r="I971" s="9">
        <v>0</v>
      </c>
      <c r="J971" s="9">
        <v>0</v>
      </c>
      <c r="K971" s="9">
        <v>0</v>
      </c>
      <c r="L971" s="9">
        <v>0</v>
      </c>
      <c r="M971" s="9">
        <v>0</v>
      </c>
      <c r="N971" s="9">
        <v>0</v>
      </c>
      <c r="O971" s="9">
        <v>0</v>
      </c>
      <c r="P971" s="9">
        <v>0</v>
      </c>
      <c r="Q971" s="9">
        <f>MAX(-20,MIN(10,$A971-VLOOKUP(YEAR($A971),'Festive dates'!$A$2:$J$5,8,FALSE)))</f>
        <v>10</v>
      </c>
      <c r="R971" s="9">
        <f>IF(AND($A971&gt;VLOOKUP(YEAR($A971),'Festive dates'!$A$2:$J$5,2,FALSE),$A971&lt;VLOOKUP(YEAR($A971),'Festive dates'!$A$2:$J$5,3,FALSE)),1,0)</f>
        <v>0</v>
      </c>
      <c r="S971" s="9">
        <f>IF($A971=VLOOKUP(YEAR($A971),'Festive dates'!$A$2:$J$5,2,FALSE),1,0)</f>
        <v>0</v>
      </c>
      <c r="T971" s="9">
        <f>IF($A971=VLOOKUP(YEAR($A971),'Festive dates'!$A$2:$J$5,3,FALSE),1,0)</f>
        <v>0</v>
      </c>
      <c r="U971" s="9">
        <f>IF($A971=VLOOKUP(YEAR($A971),'Festive dates'!$A$2:$J$5,4,FALSE),1,0)</f>
        <v>0</v>
      </c>
      <c r="V971" s="9">
        <f>IF(AND($A971&gt;=VLOOKUP(YEAR($A971),'Festive dates'!$A$2:$J$5,9,FALSE),$A971&lt;=VLOOKUP(YEAR($A971),'Festive dates'!$A$2:$J$5,10,FALSE)),1,0)</f>
        <v>0</v>
      </c>
      <c r="W971" s="9">
        <f>IF($A971=VLOOKUP(YEAR($A971),'Festive dates'!$A$2:$J$5,7,FALSE),1,0)</f>
        <v>0</v>
      </c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</row>
    <row r="972" spans="1:51">
      <c r="A972" s="8">
        <v>45987</v>
      </c>
      <c r="B972" s="9">
        <v>0</v>
      </c>
      <c r="C972" s="9">
        <v>0</v>
      </c>
      <c r="D972" s="9">
        <v>0</v>
      </c>
      <c r="E972" s="9">
        <v>0</v>
      </c>
      <c r="F972" s="9">
        <v>0</v>
      </c>
      <c r="G972" s="9">
        <v>0</v>
      </c>
      <c r="H972" s="9">
        <v>0</v>
      </c>
      <c r="I972" s="9">
        <v>0</v>
      </c>
      <c r="J972" s="9">
        <v>0</v>
      </c>
      <c r="K972" s="9">
        <v>0</v>
      </c>
      <c r="L972" s="9">
        <v>0</v>
      </c>
      <c r="M972" s="9">
        <v>0</v>
      </c>
      <c r="N972" s="9">
        <v>0</v>
      </c>
      <c r="O972" s="9">
        <v>0</v>
      </c>
      <c r="P972" s="9">
        <v>0</v>
      </c>
      <c r="Q972" s="9">
        <f>MAX(-20,MIN(10,$A972-VLOOKUP(YEAR($A972),'Festive dates'!$A$2:$J$5,8,FALSE)))</f>
        <v>10</v>
      </c>
      <c r="R972" s="9">
        <f>IF(AND($A972&gt;VLOOKUP(YEAR($A972),'Festive dates'!$A$2:$J$5,2,FALSE),$A972&lt;VLOOKUP(YEAR($A972),'Festive dates'!$A$2:$J$5,3,FALSE)),1,0)</f>
        <v>0</v>
      </c>
      <c r="S972" s="9">
        <f>IF($A972=VLOOKUP(YEAR($A972),'Festive dates'!$A$2:$J$5,2,FALSE),1,0)</f>
        <v>0</v>
      </c>
      <c r="T972" s="9">
        <f>IF($A972=VLOOKUP(YEAR($A972),'Festive dates'!$A$2:$J$5,3,FALSE),1,0)</f>
        <v>0</v>
      </c>
      <c r="U972" s="9">
        <f>IF($A972=VLOOKUP(YEAR($A972),'Festive dates'!$A$2:$J$5,4,FALSE),1,0)</f>
        <v>0</v>
      </c>
      <c r="V972" s="9">
        <f>IF(AND($A972&gt;=VLOOKUP(YEAR($A972),'Festive dates'!$A$2:$J$5,9,FALSE),$A972&lt;=VLOOKUP(YEAR($A972),'Festive dates'!$A$2:$J$5,10,FALSE)),1,0)</f>
        <v>0</v>
      </c>
      <c r="W972" s="9">
        <f>IF($A972=VLOOKUP(YEAR($A972),'Festive dates'!$A$2:$J$5,7,FALSE),1,0)</f>
        <v>0</v>
      </c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</row>
    <row r="973" spans="1:51">
      <c r="A973" s="8">
        <v>45988</v>
      </c>
      <c r="B973" s="9">
        <v>0</v>
      </c>
      <c r="C973" s="9">
        <v>0</v>
      </c>
      <c r="D973" s="9">
        <v>0</v>
      </c>
      <c r="E973" s="9">
        <v>0</v>
      </c>
      <c r="F973" s="9">
        <v>0</v>
      </c>
      <c r="G973" s="9">
        <v>0</v>
      </c>
      <c r="H973" s="9">
        <v>0</v>
      </c>
      <c r="I973" s="9">
        <v>0</v>
      </c>
      <c r="J973" s="9">
        <v>0</v>
      </c>
      <c r="K973" s="9">
        <v>0</v>
      </c>
      <c r="L973" s="9">
        <v>0</v>
      </c>
      <c r="M973" s="9">
        <v>0</v>
      </c>
      <c r="N973" s="9">
        <v>0</v>
      </c>
      <c r="O973" s="9">
        <v>0</v>
      </c>
      <c r="P973" s="9">
        <v>1</v>
      </c>
      <c r="Q973" s="9">
        <f>MAX(-20,MIN(10,$A973-VLOOKUP(YEAR($A973),'Festive dates'!$A$2:$J$5,8,FALSE)))</f>
        <v>10</v>
      </c>
      <c r="R973" s="9">
        <f>IF(AND($A973&gt;VLOOKUP(YEAR($A973),'Festive dates'!$A$2:$J$5,2,FALSE),$A973&lt;VLOOKUP(YEAR($A973),'Festive dates'!$A$2:$J$5,3,FALSE)),1,0)</f>
        <v>0</v>
      </c>
      <c r="S973" s="9">
        <f>IF($A973=VLOOKUP(YEAR($A973),'Festive dates'!$A$2:$J$5,2,FALSE),1,0)</f>
        <v>0</v>
      </c>
      <c r="T973" s="9">
        <f>IF($A973=VLOOKUP(YEAR($A973),'Festive dates'!$A$2:$J$5,3,FALSE),1,0)</f>
        <v>0</v>
      </c>
      <c r="U973" s="9">
        <f>IF($A973=VLOOKUP(YEAR($A973),'Festive dates'!$A$2:$J$5,4,FALSE),1,0)</f>
        <v>0</v>
      </c>
      <c r="V973" s="9">
        <f>IF(AND($A973&gt;=VLOOKUP(YEAR($A973),'Festive dates'!$A$2:$J$5,9,FALSE),$A973&lt;=VLOOKUP(YEAR($A973),'Festive dates'!$A$2:$J$5,10,FALSE)),1,0)</f>
        <v>0</v>
      </c>
      <c r="W973" s="9">
        <f>IF($A973=VLOOKUP(YEAR($A973),'Festive dates'!$A$2:$J$5,7,FALSE),1,0)</f>
        <v>0</v>
      </c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</row>
    <row r="974" spans="1:51">
      <c r="A974" s="8">
        <v>45989</v>
      </c>
      <c r="B974" s="9">
        <v>0</v>
      </c>
      <c r="C974" s="9">
        <v>0</v>
      </c>
      <c r="D974" s="9">
        <v>0</v>
      </c>
      <c r="E974" s="9">
        <v>0</v>
      </c>
      <c r="F974" s="9">
        <v>0</v>
      </c>
      <c r="G974" s="9">
        <v>0</v>
      </c>
      <c r="H974" s="9">
        <v>0</v>
      </c>
      <c r="I974" s="9">
        <v>0</v>
      </c>
      <c r="J974" s="9">
        <v>0</v>
      </c>
      <c r="K974" s="9">
        <v>0</v>
      </c>
      <c r="L974" s="9">
        <v>0</v>
      </c>
      <c r="M974" s="9">
        <v>0</v>
      </c>
      <c r="N974" s="9">
        <v>0</v>
      </c>
      <c r="O974" s="9">
        <v>0</v>
      </c>
      <c r="P974" s="9">
        <v>1</v>
      </c>
      <c r="Q974" s="9">
        <f>MAX(-20,MIN(10,$A974-VLOOKUP(YEAR($A974),'Festive dates'!$A$2:$J$5,8,FALSE)))</f>
        <v>10</v>
      </c>
      <c r="R974" s="9">
        <f>IF(AND($A974&gt;VLOOKUP(YEAR($A974),'Festive dates'!$A$2:$J$5,2,FALSE),$A974&lt;VLOOKUP(YEAR($A974),'Festive dates'!$A$2:$J$5,3,FALSE)),1,0)</f>
        <v>0</v>
      </c>
      <c r="S974" s="9">
        <f>IF($A974=VLOOKUP(YEAR($A974),'Festive dates'!$A$2:$J$5,2,FALSE),1,0)</f>
        <v>0</v>
      </c>
      <c r="T974" s="9">
        <f>IF($A974=VLOOKUP(YEAR($A974),'Festive dates'!$A$2:$J$5,3,FALSE),1,0)</f>
        <v>0</v>
      </c>
      <c r="U974" s="9">
        <f>IF($A974=VLOOKUP(YEAR($A974),'Festive dates'!$A$2:$J$5,4,FALSE),1,0)</f>
        <v>0</v>
      </c>
      <c r="V974" s="9">
        <f>IF(AND($A974&gt;=VLOOKUP(YEAR($A974),'Festive dates'!$A$2:$J$5,9,FALSE),$A974&lt;=VLOOKUP(YEAR($A974),'Festive dates'!$A$2:$J$5,10,FALSE)),1,0)</f>
        <v>0</v>
      </c>
      <c r="W974" s="9">
        <f>IF($A974=VLOOKUP(YEAR($A974),'Festive dates'!$A$2:$J$5,7,FALSE),1,0)</f>
        <v>0</v>
      </c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</row>
    <row r="975" spans="1:51">
      <c r="A975" s="8">
        <v>45990</v>
      </c>
      <c r="B975" s="9">
        <v>0</v>
      </c>
      <c r="C975" s="9">
        <v>0</v>
      </c>
      <c r="D975" s="9">
        <v>0</v>
      </c>
      <c r="E975" s="9">
        <v>0</v>
      </c>
      <c r="F975" s="9">
        <v>0</v>
      </c>
      <c r="G975" s="9">
        <v>0</v>
      </c>
      <c r="H975" s="9">
        <v>0</v>
      </c>
      <c r="I975" s="9">
        <v>0</v>
      </c>
      <c r="J975" s="9">
        <v>0</v>
      </c>
      <c r="K975" s="9">
        <v>0</v>
      </c>
      <c r="L975" s="9">
        <v>0</v>
      </c>
      <c r="M975" s="9">
        <v>0</v>
      </c>
      <c r="N975" s="9">
        <v>0</v>
      </c>
      <c r="O975" s="9">
        <v>0</v>
      </c>
      <c r="P975" s="9">
        <v>1</v>
      </c>
      <c r="Q975" s="9">
        <f>MAX(-20,MIN(10,$A975-VLOOKUP(YEAR($A975),'Festive dates'!$A$2:$J$5,8,FALSE)))</f>
        <v>10</v>
      </c>
      <c r="R975" s="9">
        <f>IF(AND($A975&gt;VLOOKUP(YEAR($A975),'Festive dates'!$A$2:$J$5,2,FALSE),$A975&lt;VLOOKUP(YEAR($A975),'Festive dates'!$A$2:$J$5,3,FALSE)),1,0)</f>
        <v>0</v>
      </c>
      <c r="S975" s="9">
        <f>IF($A975=VLOOKUP(YEAR($A975),'Festive dates'!$A$2:$J$5,2,FALSE),1,0)</f>
        <v>0</v>
      </c>
      <c r="T975" s="9">
        <f>IF($A975=VLOOKUP(YEAR($A975),'Festive dates'!$A$2:$J$5,3,FALSE),1,0)</f>
        <v>0</v>
      </c>
      <c r="U975" s="9">
        <f>IF($A975=VLOOKUP(YEAR($A975),'Festive dates'!$A$2:$J$5,4,FALSE),1,0)</f>
        <v>0</v>
      </c>
      <c r="V975" s="9">
        <f>IF(AND($A975&gt;=VLOOKUP(YEAR($A975),'Festive dates'!$A$2:$J$5,9,FALSE),$A975&lt;=VLOOKUP(YEAR($A975),'Festive dates'!$A$2:$J$5,10,FALSE)),1,0)</f>
        <v>0</v>
      </c>
      <c r="W975" s="9">
        <f>IF($A975=VLOOKUP(YEAR($A975),'Festive dates'!$A$2:$J$5,7,FALSE),1,0)</f>
        <v>0</v>
      </c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</row>
    <row r="976" spans="1:51">
      <c r="A976" s="8">
        <v>45991</v>
      </c>
      <c r="B976" s="9">
        <v>0</v>
      </c>
      <c r="C976" s="9">
        <v>0</v>
      </c>
      <c r="D976" s="9">
        <v>0</v>
      </c>
      <c r="E976" s="9">
        <v>0</v>
      </c>
      <c r="F976" s="9">
        <v>0</v>
      </c>
      <c r="G976" s="9">
        <v>0</v>
      </c>
      <c r="H976" s="9">
        <v>0</v>
      </c>
      <c r="I976" s="9">
        <v>0</v>
      </c>
      <c r="J976" s="9">
        <v>0</v>
      </c>
      <c r="K976" s="9">
        <v>0</v>
      </c>
      <c r="L976" s="9">
        <v>0</v>
      </c>
      <c r="M976" s="9">
        <v>0</v>
      </c>
      <c r="N976" s="9">
        <v>0</v>
      </c>
      <c r="O976" s="9">
        <v>0</v>
      </c>
      <c r="P976" s="9">
        <v>0</v>
      </c>
      <c r="Q976" s="9">
        <f>MAX(-20,MIN(10,$A976-VLOOKUP(YEAR($A976),'Festive dates'!$A$2:$J$5,8,FALSE)))</f>
        <v>10</v>
      </c>
      <c r="R976" s="9">
        <f>IF(AND($A976&gt;VLOOKUP(YEAR($A976),'Festive dates'!$A$2:$J$5,2,FALSE),$A976&lt;VLOOKUP(YEAR($A976),'Festive dates'!$A$2:$J$5,3,FALSE)),1,0)</f>
        <v>0</v>
      </c>
      <c r="S976" s="9">
        <f>IF($A976=VLOOKUP(YEAR($A976),'Festive dates'!$A$2:$J$5,2,FALSE),1,0)</f>
        <v>0</v>
      </c>
      <c r="T976" s="9">
        <f>IF($A976=VLOOKUP(YEAR($A976),'Festive dates'!$A$2:$J$5,3,FALSE),1,0)</f>
        <v>0</v>
      </c>
      <c r="U976" s="9">
        <f>IF($A976=VLOOKUP(YEAR($A976),'Festive dates'!$A$2:$J$5,4,FALSE),1,0)</f>
        <v>0</v>
      </c>
      <c r="V976" s="9">
        <f>IF(AND($A976&gt;=VLOOKUP(YEAR($A976),'Festive dates'!$A$2:$J$5,9,FALSE),$A976&lt;=VLOOKUP(YEAR($A976),'Festive dates'!$A$2:$J$5,10,FALSE)),1,0)</f>
        <v>0</v>
      </c>
      <c r="W976" s="9">
        <f>IF($A976=VLOOKUP(YEAR($A976),'Festive dates'!$A$2:$J$5,7,FALSE),1,0)</f>
        <v>0</v>
      </c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</row>
    <row r="977" spans="1:51">
      <c r="A977" s="8">
        <v>45992</v>
      </c>
      <c r="B977" s="9">
        <v>0</v>
      </c>
      <c r="C977" s="9">
        <v>0</v>
      </c>
      <c r="D977" s="9">
        <v>0</v>
      </c>
      <c r="E977" s="9">
        <v>0</v>
      </c>
      <c r="F977" s="9">
        <v>0</v>
      </c>
      <c r="G977" s="9">
        <v>0</v>
      </c>
      <c r="H977" s="9">
        <v>0</v>
      </c>
      <c r="I977" s="9">
        <v>0</v>
      </c>
      <c r="J977" s="9">
        <v>0</v>
      </c>
      <c r="K977" s="9">
        <v>0</v>
      </c>
      <c r="L977" s="9">
        <v>0</v>
      </c>
      <c r="M977" s="9">
        <v>0</v>
      </c>
      <c r="N977" s="9">
        <v>0</v>
      </c>
      <c r="O977" s="9">
        <v>0</v>
      </c>
      <c r="P977" s="9">
        <v>0</v>
      </c>
      <c r="Q977" s="9">
        <f>MAX(-20,MIN(10,$A977-VLOOKUP(YEAR($A977),'Festive dates'!$A$2:$J$5,8,FALSE)))</f>
        <v>10</v>
      </c>
      <c r="R977" s="9">
        <f>IF(AND($A977&gt;VLOOKUP(YEAR($A977),'Festive dates'!$A$2:$J$5,2,FALSE),$A977&lt;VLOOKUP(YEAR($A977),'Festive dates'!$A$2:$J$5,3,FALSE)),1,0)</f>
        <v>0</v>
      </c>
      <c r="S977" s="9">
        <f>IF($A977=VLOOKUP(YEAR($A977),'Festive dates'!$A$2:$J$5,2,FALSE),1,0)</f>
        <v>0</v>
      </c>
      <c r="T977" s="9">
        <f>IF($A977=VLOOKUP(YEAR($A977),'Festive dates'!$A$2:$J$5,3,FALSE),1,0)</f>
        <v>0</v>
      </c>
      <c r="U977" s="9">
        <f>IF($A977=VLOOKUP(YEAR($A977),'Festive dates'!$A$2:$J$5,4,FALSE),1,0)</f>
        <v>0</v>
      </c>
      <c r="V977" s="9">
        <f>IF(AND($A977&gt;=VLOOKUP(YEAR($A977),'Festive dates'!$A$2:$J$5,9,FALSE),$A977&lt;=VLOOKUP(YEAR($A977),'Festive dates'!$A$2:$J$5,10,FALSE)),1,0)</f>
        <v>0</v>
      </c>
      <c r="W977" s="9">
        <f>IF($A977=VLOOKUP(YEAR($A977),'Festive dates'!$A$2:$J$5,7,FALSE),1,0)</f>
        <v>0</v>
      </c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</row>
    <row r="978" spans="1:51">
      <c r="A978" s="8">
        <v>45993</v>
      </c>
      <c r="B978" s="9">
        <v>0</v>
      </c>
      <c r="C978" s="9">
        <v>0</v>
      </c>
      <c r="D978" s="9">
        <v>0</v>
      </c>
      <c r="E978" s="9">
        <v>0</v>
      </c>
      <c r="F978" s="9">
        <v>0</v>
      </c>
      <c r="G978" s="9">
        <v>0</v>
      </c>
      <c r="H978" s="9">
        <v>0</v>
      </c>
      <c r="I978" s="9">
        <v>0</v>
      </c>
      <c r="J978" s="9">
        <v>0</v>
      </c>
      <c r="K978" s="9">
        <v>0</v>
      </c>
      <c r="L978" s="9">
        <v>0</v>
      </c>
      <c r="M978" s="9">
        <v>0</v>
      </c>
      <c r="N978" s="9">
        <v>0</v>
      </c>
      <c r="O978" s="9">
        <v>0</v>
      </c>
      <c r="P978" s="9">
        <v>0</v>
      </c>
      <c r="Q978" s="9">
        <f>MAX(-20,MIN(10,$A978-VLOOKUP(YEAR($A978),'Festive dates'!$A$2:$J$5,8,FALSE)))</f>
        <v>10</v>
      </c>
      <c r="R978" s="9">
        <f>IF(AND($A978&gt;VLOOKUP(YEAR($A978),'Festive dates'!$A$2:$J$5,2,FALSE),$A978&lt;VLOOKUP(YEAR($A978),'Festive dates'!$A$2:$J$5,3,FALSE)),1,0)</f>
        <v>0</v>
      </c>
      <c r="S978" s="9">
        <f>IF($A978=VLOOKUP(YEAR($A978),'Festive dates'!$A$2:$J$5,2,FALSE),1,0)</f>
        <v>0</v>
      </c>
      <c r="T978" s="9">
        <f>IF($A978=VLOOKUP(YEAR($A978),'Festive dates'!$A$2:$J$5,3,FALSE),1,0)</f>
        <v>0</v>
      </c>
      <c r="U978" s="9">
        <f>IF($A978=VLOOKUP(YEAR($A978),'Festive dates'!$A$2:$J$5,4,FALSE),1,0)</f>
        <v>0</v>
      </c>
      <c r="V978" s="9">
        <f>IF(AND($A978&gt;=VLOOKUP(YEAR($A978),'Festive dates'!$A$2:$J$5,9,FALSE),$A978&lt;=VLOOKUP(YEAR($A978),'Festive dates'!$A$2:$J$5,10,FALSE)),1,0)</f>
        <v>0</v>
      </c>
      <c r="W978" s="9">
        <f>IF($A978=VLOOKUP(YEAR($A978),'Festive dates'!$A$2:$J$5,7,FALSE),1,0)</f>
        <v>0</v>
      </c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</row>
    <row r="979" spans="1:51">
      <c r="A979" s="8">
        <v>45994</v>
      </c>
      <c r="B979" s="9">
        <v>0</v>
      </c>
      <c r="C979" s="9">
        <v>0</v>
      </c>
      <c r="D979" s="9">
        <v>0</v>
      </c>
      <c r="E979" s="9">
        <v>0</v>
      </c>
      <c r="F979" s="9">
        <v>0</v>
      </c>
      <c r="G979" s="9">
        <v>0</v>
      </c>
      <c r="H979" s="9">
        <v>0</v>
      </c>
      <c r="I979" s="9">
        <v>0</v>
      </c>
      <c r="J979" s="9">
        <v>0</v>
      </c>
      <c r="K979" s="9">
        <v>0</v>
      </c>
      <c r="L979" s="9">
        <v>0</v>
      </c>
      <c r="M979" s="9">
        <v>0</v>
      </c>
      <c r="N979" s="9">
        <v>0</v>
      </c>
      <c r="O979" s="9">
        <v>0</v>
      </c>
      <c r="P979" s="9">
        <v>0</v>
      </c>
      <c r="Q979" s="9">
        <f>MAX(-20,MIN(10,$A979-VLOOKUP(YEAR($A979),'Festive dates'!$A$2:$J$5,8,FALSE)))</f>
        <v>10</v>
      </c>
      <c r="R979" s="9">
        <f>IF(AND($A979&gt;VLOOKUP(YEAR($A979),'Festive dates'!$A$2:$J$5,2,FALSE),$A979&lt;VLOOKUP(YEAR($A979),'Festive dates'!$A$2:$J$5,3,FALSE)),1,0)</f>
        <v>0</v>
      </c>
      <c r="S979" s="9">
        <f>IF($A979=VLOOKUP(YEAR($A979),'Festive dates'!$A$2:$J$5,2,FALSE),1,0)</f>
        <v>0</v>
      </c>
      <c r="T979" s="9">
        <f>IF($A979=VLOOKUP(YEAR($A979),'Festive dates'!$A$2:$J$5,3,FALSE),1,0)</f>
        <v>0</v>
      </c>
      <c r="U979" s="9">
        <f>IF($A979=VLOOKUP(YEAR($A979),'Festive dates'!$A$2:$J$5,4,FALSE),1,0)</f>
        <v>0</v>
      </c>
      <c r="V979" s="9">
        <f>IF(AND($A979&gt;=VLOOKUP(YEAR($A979),'Festive dates'!$A$2:$J$5,9,FALSE),$A979&lt;=VLOOKUP(YEAR($A979),'Festive dates'!$A$2:$J$5,10,FALSE)),1,0)</f>
        <v>0</v>
      </c>
      <c r="W979" s="9">
        <f>IF($A979=VLOOKUP(YEAR($A979),'Festive dates'!$A$2:$J$5,7,FALSE),1,0)</f>
        <v>0</v>
      </c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</row>
    <row r="980" spans="1:51">
      <c r="A980" s="8">
        <v>45995</v>
      </c>
      <c r="B980" s="9">
        <v>0</v>
      </c>
      <c r="C980" s="9">
        <v>0</v>
      </c>
      <c r="D980" s="9">
        <v>0</v>
      </c>
      <c r="E980" s="9">
        <v>0</v>
      </c>
      <c r="F980" s="9">
        <v>0</v>
      </c>
      <c r="G980" s="9">
        <v>0</v>
      </c>
      <c r="H980" s="9">
        <v>0</v>
      </c>
      <c r="I980" s="9">
        <v>0</v>
      </c>
      <c r="J980" s="9">
        <v>0</v>
      </c>
      <c r="K980" s="9">
        <v>0</v>
      </c>
      <c r="L980" s="9">
        <v>0</v>
      </c>
      <c r="M980" s="9">
        <v>0</v>
      </c>
      <c r="N980" s="9">
        <v>0</v>
      </c>
      <c r="O980" s="9">
        <v>0</v>
      </c>
      <c r="P980" s="9">
        <v>0</v>
      </c>
      <c r="Q980" s="9">
        <f>MAX(-20,MIN(10,$A980-VLOOKUP(YEAR($A980),'Festive dates'!$A$2:$J$5,8,FALSE)))</f>
        <v>10</v>
      </c>
      <c r="R980" s="9">
        <f>IF(AND($A980&gt;VLOOKUP(YEAR($A980),'Festive dates'!$A$2:$J$5,2,FALSE),$A980&lt;VLOOKUP(YEAR($A980),'Festive dates'!$A$2:$J$5,3,FALSE)),1,0)</f>
        <v>0</v>
      </c>
      <c r="S980" s="9">
        <f>IF($A980=VLOOKUP(YEAR($A980),'Festive dates'!$A$2:$J$5,2,FALSE),1,0)</f>
        <v>0</v>
      </c>
      <c r="T980" s="9">
        <f>IF($A980=VLOOKUP(YEAR($A980),'Festive dates'!$A$2:$J$5,3,FALSE),1,0)</f>
        <v>0</v>
      </c>
      <c r="U980" s="9">
        <f>IF($A980=VLOOKUP(YEAR($A980),'Festive dates'!$A$2:$J$5,4,FALSE),1,0)</f>
        <v>0</v>
      </c>
      <c r="V980" s="9">
        <f>IF(AND($A980&gt;=VLOOKUP(YEAR($A980),'Festive dates'!$A$2:$J$5,9,FALSE),$A980&lt;=VLOOKUP(YEAR($A980),'Festive dates'!$A$2:$J$5,10,FALSE)),1,0)</f>
        <v>0</v>
      </c>
      <c r="W980" s="9">
        <f>IF($A980=VLOOKUP(YEAR($A980),'Festive dates'!$A$2:$J$5,7,FALSE),1,0)</f>
        <v>0</v>
      </c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</row>
    <row r="981" spans="1:51">
      <c r="A981" s="8">
        <v>45996</v>
      </c>
      <c r="B981" s="9">
        <v>0</v>
      </c>
      <c r="C981" s="9">
        <v>0</v>
      </c>
      <c r="D981" s="9">
        <v>0</v>
      </c>
      <c r="E981" s="9">
        <v>0</v>
      </c>
      <c r="F981" s="9">
        <v>0</v>
      </c>
      <c r="G981" s="9">
        <v>0</v>
      </c>
      <c r="H981" s="9">
        <v>0</v>
      </c>
      <c r="I981" s="9">
        <v>0</v>
      </c>
      <c r="J981" s="9">
        <v>0</v>
      </c>
      <c r="K981" s="9">
        <v>0</v>
      </c>
      <c r="L981" s="9">
        <v>0</v>
      </c>
      <c r="M981" s="9">
        <v>0</v>
      </c>
      <c r="N981" s="9">
        <v>0</v>
      </c>
      <c r="O981" s="9">
        <v>0</v>
      </c>
      <c r="P981" s="9">
        <v>0</v>
      </c>
      <c r="Q981" s="9">
        <f>MAX(-20,MIN(10,$A981-VLOOKUP(YEAR($A981),'Festive dates'!$A$2:$J$5,8,FALSE)))</f>
        <v>10</v>
      </c>
      <c r="R981" s="9">
        <f>IF(AND($A981&gt;VLOOKUP(YEAR($A981),'Festive dates'!$A$2:$J$5,2,FALSE),$A981&lt;VLOOKUP(YEAR($A981),'Festive dates'!$A$2:$J$5,3,FALSE)),1,0)</f>
        <v>0</v>
      </c>
      <c r="S981" s="9">
        <f>IF($A981=VLOOKUP(YEAR($A981),'Festive dates'!$A$2:$J$5,2,FALSE),1,0)</f>
        <v>0</v>
      </c>
      <c r="T981" s="9">
        <f>IF($A981=VLOOKUP(YEAR($A981),'Festive dates'!$A$2:$J$5,3,FALSE),1,0)</f>
        <v>0</v>
      </c>
      <c r="U981" s="9">
        <f>IF($A981=VLOOKUP(YEAR($A981),'Festive dates'!$A$2:$J$5,4,FALSE),1,0)</f>
        <v>0</v>
      </c>
      <c r="V981" s="9">
        <f>IF(AND($A981&gt;=VLOOKUP(YEAR($A981),'Festive dates'!$A$2:$J$5,9,FALSE),$A981&lt;=VLOOKUP(YEAR($A981),'Festive dates'!$A$2:$J$5,10,FALSE)),1,0)</f>
        <v>0</v>
      </c>
      <c r="W981" s="9">
        <f>IF($A981=VLOOKUP(YEAR($A981),'Festive dates'!$A$2:$J$5,7,FALSE),1,0)</f>
        <v>0</v>
      </c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</row>
    <row r="982" spans="1:51">
      <c r="A982" s="8">
        <v>45997</v>
      </c>
      <c r="B982" s="9">
        <v>0</v>
      </c>
      <c r="C982" s="9">
        <v>0</v>
      </c>
      <c r="D982" s="9">
        <v>0</v>
      </c>
      <c r="E982" s="9">
        <v>0</v>
      </c>
      <c r="F982" s="9">
        <v>0</v>
      </c>
      <c r="G982" s="9">
        <v>0</v>
      </c>
      <c r="H982" s="9">
        <v>0</v>
      </c>
      <c r="I982" s="9">
        <v>0</v>
      </c>
      <c r="J982" s="9">
        <v>0</v>
      </c>
      <c r="K982" s="9">
        <v>0</v>
      </c>
      <c r="L982" s="9">
        <v>0</v>
      </c>
      <c r="M982" s="9">
        <v>0</v>
      </c>
      <c r="N982" s="9">
        <v>0</v>
      </c>
      <c r="O982" s="9">
        <v>0</v>
      </c>
      <c r="P982" s="9">
        <v>0</v>
      </c>
      <c r="Q982" s="9">
        <f>MAX(-20,MIN(10,$A982-VLOOKUP(YEAR($A982),'Festive dates'!$A$2:$J$5,8,FALSE)))</f>
        <v>10</v>
      </c>
      <c r="R982" s="9">
        <f>IF(AND($A982&gt;VLOOKUP(YEAR($A982),'Festive dates'!$A$2:$J$5,2,FALSE),$A982&lt;VLOOKUP(YEAR($A982),'Festive dates'!$A$2:$J$5,3,FALSE)),1,0)</f>
        <v>0</v>
      </c>
      <c r="S982" s="9">
        <f>IF($A982=VLOOKUP(YEAR($A982),'Festive dates'!$A$2:$J$5,2,FALSE),1,0)</f>
        <v>0</v>
      </c>
      <c r="T982" s="9">
        <f>IF($A982=VLOOKUP(YEAR($A982),'Festive dates'!$A$2:$J$5,3,FALSE),1,0)</f>
        <v>0</v>
      </c>
      <c r="U982" s="9">
        <f>IF($A982=VLOOKUP(YEAR($A982),'Festive dates'!$A$2:$J$5,4,FALSE),1,0)</f>
        <v>0</v>
      </c>
      <c r="V982" s="9">
        <f>IF(AND($A982&gt;=VLOOKUP(YEAR($A982),'Festive dates'!$A$2:$J$5,9,FALSE),$A982&lt;=VLOOKUP(YEAR($A982),'Festive dates'!$A$2:$J$5,10,FALSE)),1,0)</f>
        <v>0</v>
      </c>
      <c r="W982" s="9">
        <f>IF($A982=VLOOKUP(YEAR($A982),'Festive dates'!$A$2:$J$5,7,FALSE),1,0)</f>
        <v>0</v>
      </c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</row>
    <row r="983" spans="1:51">
      <c r="A983" s="8">
        <v>45998</v>
      </c>
      <c r="B983" s="9">
        <v>0</v>
      </c>
      <c r="C983" s="9">
        <v>0</v>
      </c>
      <c r="D983" s="9">
        <v>0</v>
      </c>
      <c r="E983" s="9">
        <v>0</v>
      </c>
      <c r="F983" s="9">
        <v>0</v>
      </c>
      <c r="G983" s="9">
        <v>0</v>
      </c>
      <c r="H983" s="9">
        <v>0</v>
      </c>
      <c r="I983" s="9">
        <v>0</v>
      </c>
      <c r="J983" s="9">
        <v>0</v>
      </c>
      <c r="K983" s="9">
        <v>0</v>
      </c>
      <c r="L983" s="9">
        <v>0</v>
      </c>
      <c r="M983" s="9">
        <v>0</v>
      </c>
      <c r="N983" s="9">
        <v>0</v>
      </c>
      <c r="O983" s="9">
        <v>0</v>
      </c>
      <c r="P983" s="9">
        <v>0</v>
      </c>
      <c r="Q983" s="9">
        <f>MAX(-20,MIN(10,$A983-VLOOKUP(YEAR($A983),'Festive dates'!$A$2:$J$5,8,FALSE)))</f>
        <v>10</v>
      </c>
      <c r="R983" s="9">
        <f>IF(AND($A983&gt;VLOOKUP(YEAR($A983),'Festive dates'!$A$2:$J$5,2,FALSE),$A983&lt;VLOOKUP(YEAR($A983),'Festive dates'!$A$2:$J$5,3,FALSE)),1,0)</f>
        <v>0</v>
      </c>
      <c r="S983" s="9">
        <f>IF($A983=VLOOKUP(YEAR($A983),'Festive dates'!$A$2:$J$5,2,FALSE),1,0)</f>
        <v>0</v>
      </c>
      <c r="T983" s="9">
        <f>IF($A983=VLOOKUP(YEAR($A983),'Festive dates'!$A$2:$J$5,3,FALSE),1,0)</f>
        <v>0</v>
      </c>
      <c r="U983" s="9">
        <f>IF($A983=VLOOKUP(YEAR($A983),'Festive dates'!$A$2:$J$5,4,FALSE),1,0)</f>
        <v>0</v>
      </c>
      <c r="V983" s="9">
        <f>IF(AND($A983&gt;=VLOOKUP(YEAR($A983),'Festive dates'!$A$2:$J$5,9,FALSE),$A983&lt;=VLOOKUP(YEAR($A983),'Festive dates'!$A$2:$J$5,10,FALSE)),1,0)</f>
        <v>0</v>
      </c>
      <c r="W983" s="9">
        <f>IF($A983=VLOOKUP(YEAR($A983),'Festive dates'!$A$2:$J$5,7,FALSE),1,0)</f>
        <v>0</v>
      </c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</row>
    <row r="984" spans="1:51">
      <c r="A984" s="8">
        <v>45999</v>
      </c>
      <c r="B984" s="9">
        <v>0</v>
      </c>
      <c r="C984" s="9">
        <v>0</v>
      </c>
      <c r="D984" s="9">
        <v>0</v>
      </c>
      <c r="E984" s="9">
        <v>0</v>
      </c>
      <c r="F984" s="9">
        <v>0</v>
      </c>
      <c r="G984" s="9">
        <v>0</v>
      </c>
      <c r="H984" s="9">
        <v>0</v>
      </c>
      <c r="I984" s="9">
        <v>0</v>
      </c>
      <c r="J984" s="9">
        <v>0</v>
      </c>
      <c r="K984" s="9">
        <v>0</v>
      </c>
      <c r="L984" s="9">
        <v>0</v>
      </c>
      <c r="M984" s="9">
        <v>0</v>
      </c>
      <c r="N984" s="9">
        <v>0</v>
      </c>
      <c r="O984" s="9">
        <v>0</v>
      </c>
      <c r="P984" s="9">
        <v>0</v>
      </c>
      <c r="Q984" s="9">
        <f>MAX(-20,MIN(10,$A984-VLOOKUP(YEAR($A984),'Festive dates'!$A$2:$J$5,8,FALSE)))</f>
        <v>10</v>
      </c>
      <c r="R984" s="9">
        <f>IF(AND($A984&gt;VLOOKUP(YEAR($A984),'Festive dates'!$A$2:$J$5,2,FALSE),$A984&lt;VLOOKUP(YEAR($A984),'Festive dates'!$A$2:$J$5,3,FALSE)),1,0)</f>
        <v>0</v>
      </c>
      <c r="S984" s="9">
        <f>IF($A984=VLOOKUP(YEAR($A984),'Festive dates'!$A$2:$J$5,2,FALSE),1,0)</f>
        <v>0</v>
      </c>
      <c r="T984" s="9">
        <f>IF($A984=VLOOKUP(YEAR($A984),'Festive dates'!$A$2:$J$5,3,FALSE),1,0)</f>
        <v>0</v>
      </c>
      <c r="U984" s="9">
        <f>IF($A984=VLOOKUP(YEAR($A984),'Festive dates'!$A$2:$J$5,4,FALSE),1,0)</f>
        <v>0</v>
      </c>
      <c r="V984" s="9">
        <f>IF(AND($A984&gt;=VLOOKUP(YEAR($A984),'Festive dates'!$A$2:$J$5,9,FALSE),$A984&lt;=VLOOKUP(YEAR($A984),'Festive dates'!$A$2:$J$5,10,FALSE)),1,0)</f>
        <v>0</v>
      </c>
      <c r="W984" s="9">
        <f>IF($A984=VLOOKUP(YEAR($A984),'Festive dates'!$A$2:$J$5,7,FALSE),1,0)</f>
        <v>0</v>
      </c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</row>
    <row r="985" spans="1:51">
      <c r="A985" s="8">
        <v>46000</v>
      </c>
      <c r="B985" s="9">
        <v>0</v>
      </c>
      <c r="C985" s="9">
        <v>0</v>
      </c>
      <c r="D985" s="9">
        <v>0</v>
      </c>
      <c r="E985" s="9">
        <v>0</v>
      </c>
      <c r="F985" s="9">
        <v>0</v>
      </c>
      <c r="G985" s="9">
        <v>0</v>
      </c>
      <c r="H985" s="9">
        <v>0</v>
      </c>
      <c r="I985" s="9">
        <v>0</v>
      </c>
      <c r="J985" s="9">
        <v>0</v>
      </c>
      <c r="K985" s="9">
        <v>0</v>
      </c>
      <c r="L985" s="9">
        <v>0</v>
      </c>
      <c r="M985" s="9">
        <v>0</v>
      </c>
      <c r="N985" s="9">
        <v>0</v>
      </c>
      <c r="O985" s="9">
        <v>0</v>
      </c>
      <c r="P985" s="9">
        <v>0</v>
      </c>
      <c r="Q985" s="9">
        <f>MAX(-20,MIN(10,$A985-VLOOKUP(YEAR($A985),'Festive dates'!$A$2:$J$5,8,FALSE)))</f>
        <v>10</v>
      </c>
      <c r="R985" s="9">
        <f>IF(AND($A985&gt;VLOOKUP(YEAR($A985),'Festive dates'!$A$2:$J$5,2,FALSE),$A985&lt;VLOOKUP(YEAR($A985),'Festive dates'!$A$2:$J$5,3,FALSE)),1,0)</f>
        <v>0</v>
      </c>
      <c r="S985" s="9">
        <f>IF($A985=VLOOKUP(YEAR($A985),'Festive dates'!$A$2:$J$5,2,FALSE),1,0)</f>
        <v>0</v>
      </c>
      <c r="T985" s="9">
        <f>IF($A985=VLOOKUP(YEAR($A985),'Festive dates'!$A$2:$J$5,3,FALSE),1,0)</f>
        <v>0</v>
      </c>
      <c r="U985" s="9">
        <f>IF($A985=VLOOKUP(YEAR($A985),'Festive dates'!$A$2:$J$5,4,FALSE),1,0)</f>
        <v>0</v>
      </c>
      <c r="V985" s="9">
        <f>IF(AND($A985&gt;=VLOOKUP(YEAR($A985),'Festive dates'!$A$2:$J$5,9,FALSE),$A985&lt;=VLOOKUP(YEAR($A985),'Festive dates'!$A$2:$J$5,10,FALSE)),1,0)</f>
        <v>0</v>
      </c>
      <c r="W985" s="9">
        <f>IF($A985=VLOOKUP(YEAR($A985),'Festive dates'!$A$2:$J$5,7,FALSE),1,0)</f>
        <v>0</v>
      </c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</row>
    <row r="986" spans="1:51">
      <c r="A986" s="8">
        <v>46001</v>
      </c>
      <c r="B986" s="9">
        <v>0</v>
      </c>
      <c r="C986" s="9">
        <v>0</v>
      </c>
      <c r="D986" s="9">
        <v>0</v>
      </c>
      <c r="E986" s="9">
        <v>0</v>
      </c>
      <c r="F986" s="9">
        <v>0</v>
      </c>
      <c r="G986" s="9">
        <v>0</v>
      </c>
      <c r="H986" s="9">
        <v>0</v>
      </c>
      <c r="I986" s="9">
        <v>0</v>
      </c>
      <c r="J986" s="9">
        <v>0</v>
      </c>
      <c r="K986" s="9">
        <v>0</v>
      </c>
      <c r="L986" s="9">
        <v>0</v>
      </c>
      <c r="M986" s="9">
        <v>0</v>
      </c>
      <c r="N986" s="9">
        <v>0</v>
      </c>
      <c r="O986" s="9">
        <v>0</v>
      </c>
      <c r="P986" s="9">
        <v>0</v>
      </c>
      <c r="Q986" s="9">
        <f>MAX(-20,MIN(10,$A986-VLOOKUP(YEAR($A986),'Festive dates'!$A$2:$J$5,8,FALSE)))</f>
        <v>10</v>
      </c>
      <c r="R986" s="9">
        <f>IF(AND($A986&gt;VLOOKUP(YEAR($A986),'Festive dates'!$A$2:$J$5,2,FALSE),$A986&lt;VLOOKUP(YEAR($A986),'Festive dates'!$A$2:$J$5,3,FALSE)),1,0)</f>
        <v>0</v>
      </c>
      <c r="S986" s="9">
        <f>IF($A986=VLOOKUP(YEAR($A986),'Festive dates'!$A$2:$J$5,2,FALSE),1,0)</f>
        <v>0</v>
      </c>
      <c r="T986" s="9">
        <f>IF($A986=VLOOKUP(YEAR($A986),'Festive dates'!$A$2:$J$5,3,FALSE),1,0)</f>
        <v>0</v>
      </c>
      <c r="U986" s="9">
        <f>IF($A986=VLOOKUP(YEAR($A986),'Festive dates'!$A$2:$J$5,4,FALSE),1,0)</f>
        <v>0</v>
      </c>
      <c r="V986" s="9">
        <f>IF(AND($A986&gt;=VLOOKUP(YEAR($A986),'Festive dates'!$A$2:$J$5,9,FALSE),$A986&lt;=VLOOKUP(YEAR($A986),'Festive dates'!$A$2:$J$5,10,FALSE)),1,0)</f>
        <v>0</v>
      </c>
      <c r="W986" s="9">
        <f>IF($A986=VLOOKUP(YEAR($A986),'Festive dates'!$A$2:$J$5,7,FALSE),1,0)</f>
        <v>0</v>
      </c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</row>
    <row r="987" spans="1:51">
      <c r="A987" s="8">
        <v>46002</v>
      </c>
      <c r="B987" s="9">
        <v>0</v>
      </c>
      <c r="C987" s="9">
        <v>0</v>
      </c>
      <c r="D987" s="9">
        <v>0</v>
      </c>
      <c r="E987" s="9">
        <v>0</v>
      </c>
      <c r="F987" s="9">
        <v>0</v>
      </c>
      <c r="G987" s="9">
        <v>0</v>
      </c>
      <c r="H987" s="9">
        <v>0</v>
      </c>
      <c r="I987" s="9">
        <v>0</v>
      </c>
      <c r="J987" s="9">
        <v>0</v>
      </c>
      <c r="K987" s="9">
        <v>0</v>
      </c>
      <c r="L987" s="9">
        <v>0</v>
      </c>
      <c r="M987" s="9">
        <v>0</v>
      </c>
      <c r="N987" s="9">
        <v>0</v>
      </c>
      <c r="O987" s="9">
        <v>0</v>
      </c>
      <c r="P987" s="9">
        <v>0</v>
      </c>
      <c r="Q987" s="9">
        <f>MAX(-20,MIN(10,$A987-VLOOKUP(YEAR($A987),'Festive dates'!$A$2:$J$5,8,FALSE)))</f>
        <v>10</v>
      </c>
      <c r="R987" s="9">
        <f>IF(AND($A987&gt;VLOOKUP(YEAR($A987),'Festive dates'!$A$2:$J$5,2,FALSE),$A987&lt;VLOOKUP(YEAR($A987),'Festive dates'!$A$2:$J$5,3,FALSE)),1,0)</f>
        <v>0</v>
      </c>
      <c r="S987" s="9">
        <f>IF($A987=VLOOKUP(YEAR($A987),'Festive dates'!$A$2:$J$5,2,FALSE),1,0)</f>
        <v>0</v>
      </c>
      <c r="T987" s="9">
        <f>IF($A987=VLOOKUP(YEAR($A987),'Festive dates'!$A$2:$J$5,3,FALSE),1,0)</f>
        <v>0</v>
      </c>
      <c r="U987" s="9">
        <f>IF($A987=VLOOKUP(YEAR($A987),'Festive dates'!$A$2:$J$5,4,FALSE),1,0)</f>
        <v>0</v>
      </c>
      <c r="V987" s="9">
        <f>IF(AND($A987&gt;=VLOOKUP(YEAR($A987),'Festive dates'!$A$2:$J$5,9,FALSE),$A987&lt;=VLOOKUP(YEAR($A987),'Festive dates'!$A$2:$J$5,10,FALSE)),1,0)</f>
        <v>0</v>
      </c>
      <c r="W987" s="9">
        <f>IF($A987=VLOOKUP(YEAR($A987),'Festive dates'!$A$2:$J$5,7,FALSE),1,0)</f>
        <v>0</v>
      </c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</row>
    <row r="988" spans="1:51">
      <c r="A988" s="8">
        <v>46003</v>
      </c>
      <c r="B988" s="9">
        <v>0</v>
      </c>
      <c r="C988" s="9">
        <v>0</v>
      </c>
      <c r="D988" s="9">
        <v>0</v>
      </c>
      <c r="E988" s="9">
        <v>0</v>
      </c>
      <c r="F988" s="9">
        <v>0</v>
      </c>
      <c r="G988" s="9">
        <v>0</v>
      </c>
      <c r="H988" s="9">
        <v>0</v>
      </c>
      <c r="I988" s="9">
        <v>0</v>
      </c>
      <c r="J988" s="9">
        <v>0</v>
      </c>
      <c r="K988" s="9">
        <v>0</v>
      </c>
      <c r="L988" s="9">
        <v>0</v>
      </c>
      <c r="M988" s="9">
        <v>0</v>
      </c>
      <c r="N988" s="9">
        <v>0</v>
      </c>
      <c r="O988" s="9">
        <v>0</v>
      </c>
      <c r="P988" s="9">
        <v>0</v>
      </c>
      <c r="Q988" s="9">
        <f>MAX(-20,MIN(10,$A988-VLOOKUP(YEAR($A988),'Festive dates'!$A$2:$J$5,8,FALSE)))</f>
        <v>10</v>
      </c>
      <c r="R988" s="9">
        <f>IF(AND($A988&gt;VLOOKUP(YEAR($A988),'Festive dates'!$A$2:$J$5,2,FALSE),$A988&lt;VLOOKUP(YEAR($A988),'Festive dates'!$A$2:$J$5,3,FALSE)),1,0)</f>
        <v>0</v>
      </c>
      <c r="S988" s="9">
        <f>IF($A988=VLOOKUP(YEAR($A988),'Festive dates'!$A$2:$J$5,2,FALSE),1,0)</f>
        <v>0</v>
      </c>
      <c r="T988" s="9">
        <f>IF($A988=VLOOKUP(YEAR($A988),'Festive dates'!$A$2:$J$5,3,FALSE),1,0)</f>
        <v>0</v>
      </c>
      <c r="U988" s="9">
        <f>IF($A988=VLOOKUP(YEAR($A988),'Festive dates'!$A$2:$J$5,4,FALSE),1,0)</f>
        <v>0</v>
      </c>
      <c r="V988" s="9">
        <f>IF(AND($A988&gt;=VLOOKUP(YEAR($A988),'Festive dates'!$A$2:$J$5,9,FALSE),$A988&lt;=VLOOKUP(YEAR($A988),'Festive dates'!$A$2:$J$5,10,FALSE)),1,0)</f>
        <v>0</v>
      </c>
      <c r="W988" s="9">
        <f>IF($A988=VLOOKUP(YEAR($A988),'Festive dates'!$A$2:$J$5,7,FALSE),1,0)</f>
        <v>0</v>
      </c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</row>
    <row r="989" spans="1:51">
      <c r="A989" s="8">
        <v>46004</v>
      </c>
      <c r="B989" s="9">
        <v>0</v>
      </c>
      <c r="C989" s="9">
        <v>0</v>
      </c>
      <c r="D989" s="9">
        <v>0</v>
      </c>
      <c r="E989" s="9">
        <v>0</v>
      </c>
      <c r="F989" s="9">
        <v>0</v>
      </c>
      <c r="G989" s="9">
        <v>0</v>
      </c>
      <c r="H989" s="9">
        <v>0</v>
      </c>
      <c r="I989" s="9">
        <v>0</v>
      </c>
      <c r="J989" s="9">
        <v>0</v>
      </c>
      <c r="K989" s="9">
        <v>0</v>
      </c>
      <c r="L989" s="9">
        <v>0</v>
      </c>
      <c r="M989" s="9">
        <v>0</v>
      </c>
      <c r="N989" s="9">
        <v>0</v>
      </c>
      <c r="O989" s="9">
        <v>0</v>
      </c>
      <c r="P989" s="9">
        <v>0</v>
      </c>
      <c r="Q989" s="9">
        <f>MAX(-20,MIN(10,$A989-VLOOKUP(YEAR($A989),'Festive dates'!$A$2:$J$5,8,FALSE)))</f>
        <v>10</v>
      </c>
      <c r="R989" s="9">
        <f>IF(AND($A989&gt;VLOOKUP(YEAR($A989),'Festive dates'!$A$2:$J$5,2,FALSE),$A989&lt;VLOOKUP(YEAR($A989),'Festive dates'!$A$2:$J$5,3,FALSE)),1,0)</f>
        <v>0</v>
      </c>
      <c r="S989" s="9">
        <f>IF($A989=VLOOKUP(YEAR($A989),'Festive dates'!$A$2:$J$5,2,FALSE),1,0)</f>
        <v>0</v>
      </c>
      <c r="T989" s="9">
        <f>IF($A989=VLOOKUP(YEAR($A989),'Festive dates'!$A$2:$J$5,3,FALSE),1,0)</f>
        <v>0</v>
      </c>
      <c r="U989" s="9">
        <f>IF($A989=VLOOKUP(YEAR($A989),'Festive dates'!$A$2:$J$5,4,FALSE),1,0)</f>
        <v>0</v>
      </c>
      <c r="V989" s="9">
        <f>IF(AND($A989&gt;=VLOOKUP(YEAR($A989),'Festive dates'!$A$2:$J$5,9,FALSE),$A989&lt;=VLOOKUP(YEAR($A989),'Festive dates'!$A$2:$J$5,10,FALSE)),1,0)</f>
        <v>0</v>
      </c>
      <c r="W989" s="9">
        <f>IF($A989=VLOOKUP(YEAR($A989),'Festive dates'!$A$2:$J$5,7,FALSE),1,0)</f>
        <v>0</v>
      </c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</row>
    <row r="990" spans="1:51">
      <c r="A990" s="8">
        <v>46005</v>
      </c>
      <c r="B990" s="9">
        <v>0</v>
      </c>
      <c r="C990" s="9">
        <v>0</v>
      </c>
      <c r="D990" s="9">
        <v>0</v>
      </c>
      <c r="E990" s="9">
        <v>0</v>
      </c>
      <c r="F990" s="9">
        <v>0</v>
      </c>
      <c r="G990" s="9">
        <v>0</v>
      </c>
      <c r="H990" s="9">
        <v>0</v>
      </c>
      <c r="I990" s="9">
        <v>0</v>
      </c>
      <c r="J990" s="9">
        <v>0</v>
      </c>
      <c r="K990" s="9">
        <v>0</v>
      </c>
      <c r="L990" s="9">
        <v>0</v>
      </c>
      <c r="M990" s="9">
        <v>0</v>
      </c>
      <c r="N990" s="9">
        <v>0</v>
      </c>
      <c r="O990" s="9">
        <v>0</v>
      </c>
      <c r="P990" s="9">
        <v>0</v>
      </c>
      <c r="Q990" s="9">
        <f>MAX(-20,MIN(10,$A990-VLOOKUP(YEAR($A990),'Festive dates'!$A$2:$J$5,8,FALSE)))</f>
        <v>10</v>
      </c>
      <c r="R990" s="9">
        <f>IF(AND($A990&gt;VLOOKUP(YEAR($A990),'Festive dates'!$A$2:$J$5,2,FALSE),$A990&lt;VLOOKUP(YEAR($A990),'Festive dates'!$A$2:$J$5,3,FALSE)),1,0)</f>
        <v>0</v>
      </c>
      <c r="S990" s="9">
        <f>IF($A990=VLOOKUP(YEAR($A990),'Festive dates'!$A$2:$J$5,2,FALSE),1,0)</f>
        <v>0</v>
      </c>
      <c r="T990" s="9">
        <f>IF($A990=VLOOKUP(YEAR($A990),'Festive dates'!$A$2:$J$5,3,FALSE),1,0)</f>
        <v>0</v>
      </c>
      <c r="U990" s="9">
        <f>IF($A990=VLOOKUP(YEAR($A990),'Festive dates'!$A$2:$J$5,4,FALSE),1,0)</f>
        <v>0</v>
      </c>
      <c r="V990" s="9">
        <f>IF(AND($A990&gt;=VLOOKUP(YEAR($A990),'Festive dates'!$A$2:$J$5,9,FALSE),$A990&lt;=VLOOKUP(YEAR($A990),'Festive dates'!$A$2:$J$5,10,FALSE)),1,0)</f>
        <v>0</v>
      </c>
      <c r="W990" s="9">
        <f>IF($A990=VLOOKUP(YEAR($A990),'Festive dates'!$A$2:$J$5,7,FALSE),1,0)</f>
        <v>0</v>
      </c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</row>
    <row r="991" spans="1:51">
      <c r="A991" s="8">
        <v>46006</v>
      </c>
      <c r="B991" s="9">
        <v>0</v>
      </c>
      <c r="C991" s="9">
        <v>0</v>
      </c>
      <c r="D991" s="9">
        <v>0</v>
      </c>
      <c r="E991" s="9">
        <v>0</v>
      </c>
      <c r="F991" s="9">
        <v>0</v>
      </c>
      <c r="G991" s="9">
        <v>0</v>
      </c>
      <c r="H991" s="9">
        <v>0</v>
      </c>
      <c r="I991" s="9">
        <v>0</v>
      </c>
      <c r="J991" s="9">
        <v>0</v>
      </c>
      <c r="K991" s="9">
        <v>0</v>
      </c>
      <c r="L991" s="9">
        <v>0</v>
      </c>
      <c r="M991" s="9">
        <v>0</v>
      </c>
      <c r="N991" s="9">
        <v>0</v>
      </c>
      <c r="O991" s="9">
        <v>0</v>
      </c>
      <c r="P991" s="9">
        <v>0</v>
      </c>
      <c r="Q991" s="9">
        <f>MAX(-20,MIN(10,$A991-VLOOKUP(YEAR($A991),'Festive dates'!$A$2:$J$5,8,FALSE)))</f>
        <v>10</v>
      </c>
      <c r="R991" s="9">
        <f>IF(AND($A991&gt;VLOOKUP(YEAR($A991),'Festive dates'!$A$2:$J$5,2,FALSE),$A991&lt;VLOOKUP(YEAR($A991),'Festive dates'!$A$2:$J$5,3,FALSE)),1,0)</f>
        <v>0</v>
      </c>
      <c r="S991" s="9">
        <f>IF($A991=VLOOKUP(YEAR($A991),'Festive dates'!$A$2:$J$5,2,FALSE),1,0)</f>
        <v>0</v>
      </c>
      <c r="T991" s="9">
        <f>IF($A991=VLOOKUP(YEAR($A991),'Festive dates'!$A$2:$J$5,3,FALSE),1,0)</f>
        <v>0</v>
      </c>
      <c r="U991" s="9">
        <f>IF($A991=VLOOKUP(YEAR($A991),'Festive dates'!$A$2:$J$5,4,FALSE),1,0)</f>
        <v>0</v>
      </c>
      <c r="V991" s="9">
        <f>IF(AND($A991&gt;=VLOOKUP(YEAR($A991),'Festive dates'!$A$2:$J$5,9,FALSE),$A991&lt;=VLOOKUP(YEAR($A991),'Festive dates'!$A$2:$J$5,10,FALSE)),1,0)</f>
        <v>0</v>
      </c>
      <c r="W991" s="9">
        <f>IF($A991=VLOOKUP(YEAR($A991),'Festive dates'!$A$2:$J$5,7,FALSE),1,0)</f>
        <v>0</v>
      </c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</row>
    <row r="992" spans="1:51">
      <c r="A992" s="8">
        <v>46007</v>
      </c>
      <c r="B992" s="9">
        <v>0</v>
      </c>
      <c r="C992" s="9">
        <v>0</v>
      </c>
      <c r="D992" s="9">
        <v>0</v>
      </c>
      <c r="E992" s="9">
        <v>0</v>
      </c>
      <c r="F992" s="9">
        <v>0</v>
      </c>
      <c r="G992" s="9">
        <v>0</v>
      </c>
      <c r="H992" s="9">
        <v>0</v>
      </c>
      <c r="I992" s="9">
        <v>0</v>
      </c>
      <c r="J992" s="9">
        <v>0</v>
      </c>
      <c r="K992" s="9">
        <v>0</v>
      </c>
      <c r="L992" s="9">
        <v>0</v>
      </c>
      <c r="M992" s="9">
        <v>0</v>
      </c>
      <c r="N992" s="9">
        <v>0</v>
      </c>
      <c r="O992" s="9">
        <v>0</v>
      </c>
      <c r="P992" s="9">
        <v>0</v>
      </c>
      <c r="Q992" s="9">
        <f>MAX(-20,MIN(10,$A992-VLOOKUP(YEAR($A992),'Festive dates'!$A$2:$J$5,8,FALSE)))</f>
        <v>10</v>
      </c>
      <c r="R992" s="9">
        <f>IF(AND($A992&gt;VLOOKUP(YEAR($A992),'Festive dates'!$A$2:$J$5,2,FALSE),$A992&lt;VLOOKUP(YEAR($A992),'Festive dates'!$A$2:$J$5,3,FALSE)),1,0)</f>
        <v>0</v>
      </c>
      <c r="S992" s="9">
        <f>IF($A992=VLOOKUP(YEAR($A992),'Festive dates'!$A$2:$J$5,2,FALSE),1,0)</f>
        <v>0</v>
      </c>
      <c r="T992" s="9">
        <f>IF($A992=VLOOKUP(YEAR($A992),'Festive dates'!$A$2:$J$5,3,FALSE),1,0)</f>
        <v>0</v>
      </c>
      <c r="U992" s="9">
        <f>IF($A992=VLOOKUP(YEAR($A992),'Festive dates'!$A$2:$J$5,4,FALSE),1,0)</f>
        <v>0</v>
      </c>
      <c r="V992" s="9">
        <f>IF(AND($A992&gt;=VLOOKUP(YEAR($A992),'Festive dates'!$A$2:$J$5,9,FALSE),$A992&lt;=VLOOKUP(YEAR($A992),'Festive dates'!$A$2:$J$5,10,FALSE)),1,0)</f>
        <v>0</v>
      </c>
      <c r="W992" s="9">
        <f>IF($A992=VLOOKUP(YEAR($A992),'Festive dates'!$A$2:$J$5,7,FALSE),1,0)</f>
        <v>0</v>
      </c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</row>
    <row r="993" spans="1:51">
      <c r="A993" s="8">
        <v>46008</v>
      </c>
      <c r="B993" s="9">
        <v>0</v>
      </c>
      <c r="C993" s="9">
        <v>0</v>
      </c>
      <c r="D993" s="9">
        <v>0</v>
      </c>
      <c r="E993" s="9">
        <v>0</v>
      </c>
      <c r="F993" s="9">
        <v>0</v>
      </c>
      <c r="G993" s="9">
        <v>0</v>
      </c>
      <c r="H993" s="9">
        <v>0</v>
      </c>
      <c r="I993" s="9">
        <v>0</v>
      </c>
      <c r="J993" s="9">
        <v>0</v>
      </c>
      <c r="K993" s="9">
        <v>0</v>
      </c>
      <c r="L993" s="9">
        <v>0</v>
      </c>
      <c r="M993" s="9">
        <v>0</v>
      </c>
      <c r="N993" s="9">
        <v>0</v>
      </c>
      <c r="O993" s="9">
        <v>0</v>
      </c>
      <c r="P993" s="9">
        <v>0</v>
      </c>
      <c r="Q993" s="9">
        <f>MAX(-20,MIN(10,$A993-VLOOKUP(YEAR($A993),'Festive dates'!$A$2:$J$5,8,FALSE)))</f>
        <v>10</v>
      </c>
      <c r="R993" s="9">
        <f>IF(AND($A993&gt;VLOOKUP(YEAR($A993),'Festive dates'!$A$2:$J$5,2,FALSE),$A993&lt;VLOOKUP(YEAR($A993),'Festive dates'!$A$2:$J$5,3,FALSE)),1,0)</f>
        <v>0</v>
      </c>
      <c r="S993" s="9">
        <f>IF($A993=VLOOKUP(YEAR($A993),'Festive dates'!$A$2:$J$5,2,FALSE),1,0)</f>
        <v>0</v>
      </c>
      <c r="T993" s="9">
        <f>IF($A993=VLOOKUP(YEAR($A993),'Festive dates'!$A$2:$J$5,3,FALSE),1,0)</f>
        <v>0</v>
      </c>
      <c r="U993" s="9">
        <f>IF($A993=VLOOKUP(YEAR($A993),'Festive dates'!$A$2:$J$5,4,FALSE),1,0)</f>
        <v>0</v>
      </c>
      <c r="V993" s="9">
        <f>IF(AND($A993&gt;=VLOOKUP(YEAR($A993),'Festive dates'!$A$2:$J$5,9,FALSE),$A993&lt;=VLOOKUP(YEAR($A993),'Festive dates'!$A$2:$J$5,10,FALSE)),1,0)</f>
        <v>0</v>
      </c>
      <c r="W993" s="9">
        <f>IF($A993=VLOOKUP(YEAR($A993),'Festive dates'!$A$2:$J$5,7,FALSE),1,0)</f>
        <v>0</v>
      </c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</row>
    <row r="994" spans="1:51">
      <c r="A994" s="8">
        <v>46009</v>
      </c>
      <c r="B994" s="9">
        <v>0</v>
      </c>
      <c r="C994" s="9">
        <v>0</v>
      </c>
      <c r="D994" s="9">
        <v>0</v>
      </c>
      <c r="E994" s="9">
        <v>0</v>
      </c>
      <c r="F994" s="9">
        <v>0</v>
      </c>
      <c r="G994" s="9">
        <v>0</v>
      </c>
      <c r="H994" s="9">
        <v>0</v>
      </c>
      <c r="I994" s="9">
        <v>0</v>
      </c>
      <c r="J994" s="9">
        <v>0</v>
      </c>
      <c r="K994" s="9">
        <v>0</v>
      </c>
      <c r="L994" s="9">
        <v>0</v>
      </c>
      <c r="M994" s="9">
        <v>0</v>
      </c>
      <c r="N994" s="9">
        <v>0</v>
      </c>
      <c r="O994" s="9">
        <v>0</v>
      </c>
      <c r="P994" s="9">
        <v>0</v>
      </c>
      <c r="Q994" s="9">
        <f>MAX(-20,MIN(10,$A994-VLOOKUP(YEAR($A994),'Festive dates'!$A$2:$J$5,8,FALSE)))</f>
        <v>10</v>
      </c>
      <c r="R994" s="9">
        <f>IF(AND($A994&gt;VLOOKUP(YEAR($A994),'Festive dates'!$A$2:$J$5,2,FALSE),$A994&lt;VLOOKUP(YEAR($A994),'Festive dates'!$A$2:$J$5,3,FALSE)),1,0)</f>
        <v>0</v>
      </c>
      <c r="S994" s="9">
        <f>IF($A994=VLOOKUP(YEAR($A994),'Festive dates'!$A$2:$J$5,2,FALSE),1,0)</f>
        <v>0</v>
      </c>
      <c r="T994" s="9">
        <f>IF($A994=VLOOKUP(YEAR($A994),'Festive dates'!$A$2:$J$5,3,FALSE),1,0)</f>
        <v>0</v>
      </c>
      <c r="U994" s="9">
        <f>IF($A994=VLOOKUP(YEAR($A994),'Festive dates'!$A$2:$J$5,4,FALSE),1,0)</f>
        <v>0</v>
      </c>
      <c r="V994" s="9">
        <f>IF(AND($A994&gt;=VLOOKUP(YEAR($A994),'Festive dates'!$A$2:$J$5,9,FALSE),$A994&lt;=VLOOKUP(YEAR($A994),'Festive dates'!$A$2:$J$5,10,FALSE)),1,0)</f>
        <v>0</v>
      </c>
      <c r="W994" s="9">
        <f>IF($A994=VLOOKUP(YEAR($A994),'Festive dates'!$A$2:$J$5,7,FALSE),1,0)</f>
        <v>0</v>
      </c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</row>
    <row r="995" spans="1:51">
      <c r="A995" s="8">
        <v>46010</v>
      </c>
      <c r="B995" s="9">
        <v>0</v>
      </c>
      <c r="C995" s="9">
        <v>0</v>
      </c>
      <c r="D995" s="9">
        <v>0</v>
      </c>
      <c r="E995" s="9">
        <v>0</v>
      </c>
      <c r="F995" s="9">
        <v>0</v>
      </c>
      <c r="G995" s="9">
        <v>0</v>
      </c>
      <c r="H995" s="9">
        <v>0</v>
      </c>
      <c r="I995" s="9">
        <v>0</v>
      </c>
      <c r="J995" s="9">
        <v>0</v>
      </c>
      <c r="K995" s="9">
        <v>0</v>
      </c>
      <c r="L995" s="9">
        <v>0</v>
      </c>
      <c r="M995" s="9">
        <v>0</v>
      </c>
      <c r="N995" s="9">
        <v>0</v>
      </c>
      <c r="O995" s="9">
        <v>0</v>
      </c>
      <c r="P995" s="9">
        <v>0</v>
      </c>
      <c r="Q995" s="9">
        <f>MAX(-20,MIN(10,$A995-VLOOKUP(YEAR($A995),'Festive dates'!$A$2:$J$5,8,FALSE)))</f>
        <v>10</v>
      </c>
      <c r="R995" s="9">
        <f>IF(AND($A995&gt;VLOOKUP(YEAR($A995),'Festive dates'!$A$2:$J$5,2,FALSE),$A995&lt;VLOOKUP(YEAR($A995),'Festive dates'!$A$2:$J$5,3,FALSE)),1,0)</f>
        <v>0</v>
      </c>
      <c r="S995" s="9">
        <f>IF($A995=VLOOKUP(YEAR($A995),'Festive dates'!$A$2:$J$5,2,FALSE),1,0)</f>
        <v>0</v>
      </c>
      <c r="T995" s="9">
        <f>IF($A995=VLOOKUP(YEAR($A995),'Festive dates'!$A$2:$J$5,3,FALSE),1,0)</f>
        <v>0</v>
      </c>
      <c r="U995" s="9">
        <f>IF($A995=VLOOKUP(YEAR($A995),'Festive dates'!$A$2:$J$5,4,FALSE),1,0)</f>
        <v>0</v>
      </c>
      <c r="V995" s="9">
        <f>IF(AND($A995&gt;=VLOOKUP(YEAR($A995),'Festive dates'!$A$2:$J$5,9,FALSE),$A995&lt;=VLOOKUP(YEAR($A995),'Festive dates'!$A$2:$J$5,10,FALSE)),1,0)</f>
        <v>0</v>
      </c>
      <c r="W995" s="9">
        <f>IF($A995=VLOOKUP(YEAR($A995),'Festive dates'!$A$2:$J$5,7,FALSE),1,0)</f>
        <v>0</v>
      </c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</row>
    <row r="996" spans="1:51">
      <c r="A996" s="8">
        <v>46011</v>
      </c>
      <c r="B996" s="9">
        <v>0</v>
      </c>
      <c r="C996" s="9">
        <v>0</v>
      </c>
      <c r="D996" s="9">
        <v>0</v>
      </c>
      <c r="E996" s="9">
        <v>0</v>
      </c>
      <c r="F996" s="9">
        <v>0</v>
      </c>
      <c r="G996" s="9">
        <v>0</v>
      </c>
      <c r="H996" s="9">
        <v>0</v>
      </c>
      <c r="I996" s="9">
        <v>0</v>
      </c>
      <c r="J996" s="9">
        <v>0</v>
      </c>
      <c r="K996" s="9">
        <v>0</v>
      </c>
      <c r="L996" s="9">
        <v>0</v>
      </c>
      <c r="M996" s="9">
        <v>0</v>
      </c>
      <c r="N996" s="9">
        <v>0</v>
      </c>
      <c r="O996" s="9">
        <v>0</v>
      </c>
      <c r="P996" s="9">
        <v>0</v>
      </c>
      <c r="Q996" s="9">
        <f>MAX(-20,MIN(10,$A996-VLOOKUP(YEAR($A996),'Festive dates'!$A$2:$J$5,8,FALSE)))</f>
        <v>10</v>
      </c>
      <c r="R996" s="9">
        <f>IF(AND($A996&gt;VLOOKUP(YEAR($A996),'Festive dates'!$A$2:$J$5,2,FALSE),$A996&lt;VLOOKUP(YEAR($A996),'Festive dates'!$A$2:$J$5,3,FALSE)),1,0)</f>
        <v>0</v>
      </c>
      <c r="S996" s="9">
        <f>IF($A996=VLOOKUP(YEAR($A996),'Festive dates'!$A$2:$J$5,2,FALSE),1,0)</f>
        <v>0</v>
      </c>
      <c r="T996" s="9">
        <f>IF($A996=VLOOKUP(YEAR($A996),'Festive dates'!$A$2:$J$5,3,FALSE),1,0)</f>
        <v>0</v>
      </c>
      <c r="U996" s="9">
        <f>IF($A996=VLOOKUP(YEAR($A996),'Festive dates'!$A$2:$J$5,4,FALSE),1,0)</f>
        <v>0</v>
      </c>
      <c r="V996" s="9">
        <f>IF(AND($A996&gt;=VLOOKUP(YEAR($A996),'Festive dates'!$A$2:$J$5,9,FALSE),$A996&lt;=VLOOKUP(YEAR($A996),'Festive dates'!$A$2:$J$5,10,FALSE)),1,0)</f>
        <v>0</v>
      </c>
      <c r="W996" s="9">
        <f>IF($A996=VLOOKUP(YEAR($A996),'Festive dates'!$A$2:$J$5,7,FALSE),1,0)</f>
        <v>0</v>
      </c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</row>
    <row r="997" spans="1:51">
      <c r="A997" s="8">
        <v>46012</v>
      </c>
      <c r="B997" s="9">
        <v>0</v>
      </c>
      <c r="C997" s="9">
        <v>0</v>
      </c>
      <c r="D997" s="9">
        <v>0</v>
      </c>
      <c r="E997" s="9">
        <v>0</v>
      </c>
      <c r="F997" s="9">
        <v>0</v>
      </c>
      <c r="G997" s="9">
        <v>0</v>
      </c>
      <c r="H997" s="9">
        <v>0</v>
      </c>
      <c r="I997" s="9">
        <v>0</v>
      </c>
      <c r="J997" s="9">
        <v>0</v>
      </c>
      <c r="K997" s="9">
        <v>0</v>
      </c>
      <c r="L997" s="9">
        <v>0</v>
      </c>
      <c r="M997" s="9">
        <v>0</v>
      </c>
      <c r="N997" s="9">
        <v>0</v>
      </c>
      <c r="O997" s="9">
        <v>0</v>
      </c>
      <c r="P997" s="9">
        <v>0</v>
      </c>
      <c r="Q997" s="9">
        <f>MAX(-20,MIN(10,$A997-VLOOKUP(YEAR($A997),'Festive dates'!$A$2:$J$5,8,FALSE)))</f>
        <v>10</v>
      </c>
      <c r="R997" s="9">
        <f>IF(AND($A997&gt;VLOOKUP(YEAR($A997),'Festive dates'!$A$2:$J$5,2,FALSE),$A997&lt;VLOOKUP(YEAR($A997),'Festive dates'!$A$2:$J$5,3,FALSE)),1,0)</f>
        <v>0</v>
      </c>
      <c r="S997" s="9">
        <f>IF($A997=VLOOKUP(YEAR($A997),'Festive dates'!$A$2:$J$5,2,FALSE),1,0)</f>
        <v>0</v>
      </c>
      <c r="T997" s="9">
        <f>IF($A997=VLOOKUP(YEAR($A997),'Festive dates'!$A$2:$J$5,3,FALSE),1,0)</f>
        <v>0</v>
      </c>
      <c r="U997" s="9">
        <f>IF($A997=VLOOKUP(YEAR($A997),'Festive dates'!$A$2:$J$5,4,FALSE),1,0)</f>
        <v>0</v>
      </c>
      <c r="V997" s="9">
        <f>IF(AND($A997&gt;=VLOOKUP(YEAR($A997),'Festive dates'!$A$2:$J$5,9,FALSE),$A997&lt;=VLOOKUP(YEAR($A997),'Festive dates'!$A$2:$J$5,10,FALSE)),1,0)</f>
        <v>0</v>
      </c>
      <c r="W997" s="9">
        <f>IF($A997=VLOOKUP(YEAR($A997),'Festive dates'!$A$2:$J$5,7,FALSE),1,0)</f>
        <v>0</v>
      </c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</row>
    <row r="998" spans="1:51">
      <c r="A998" s="8">
        <v>46013</v>
      </c>
      <c r="B998" s="9">
        <v>0</v>
      </c>
      <c r="C998" s="9">
        <v>0</v>
      </c>
      <c r="D998" s="9">
        <v>0</v>
      </c>
      <c r="E998" s="9">
        <v>0</v>
      </c>
      <c r="F998" s="9">
        <v>0</v>
      </c>
      <c r="G998" s="9">
        <v>0</v>
      </c>
      <c r="H998" s="9">
        <v>0</v>
      </c>
      <c r="I998" s="9">
        <v>0</v>
      </c>
      <c r="J998" s="9">
        <v>0</v>
      </c>
      <c r="K998" s="9">
        <v>0</v>
      </c>
      <c r="L998" s="9">
        <v>0</v>
      </c>
      <c r="M998" s="9">
        <v>0</v>
      </c>
      <c r="N998" s="9">
        <v>0</v>
      </c>
      <c r="O998" s="9">
        <v>0</v>
      </c>
      <c r="P998" s="9">
        <v>0</v>
      </c>
      <c r="Q998" s="9">
        <f>MAX(-20,MIN(10,$A998-VLOOKUP(YEAR($A998),'Festive dates'!$A$2:$J$5,8,FALSE)))</f>
        <v>10</v>
      </c>
      <c r="R998" s="9">
        <f>IF(AND($A998&gt;VLOOKUP(YEAR($A998),'Festive dates'!$A$2:$J$5,2,FALSE),$A998&lt;VLOOKUP(YEAR($A998),'Festive dates'!$A$2:$J$5,3,FALSE)),1,0)</f>
        <v>0</v>
      </c>
      <c r="S998" s="9">
        <f>IF($A998=VLOOKUP(YEAR($A998),'Festive dates'!$A$2:$J$5,2,FALSE),1,0)</f>
        <v>0</v>
      </c>
      <c r="T998" s="9">
        <f>IF($A998=VLOOKUP(YEAR($A998),'Festive dates'!$A$2:$J$5,3,FALSE),1,0)</f>
        <v>0</v>
      </c>
      <c r="U998" s="9">
        <f>IF($A998=VLOOKUP(YEAR($A998),'Festive dates'!$A$2:$J$5,4,FALSE),1,0)</f>
        <v>0</v>
      </c>
      <c r="V998" s="9">
        <f>IF(AND($A998&gt;=VLOOKUP(YEAR($A998),'Festive dates'!$A$2:$J$5,9,FALSE),$A998&lt;=VLOOKUP(YEAR($A998),'Festive dates'!$A$2:$J$5,10,FALSE)),1,0)</f>
        <v>0</v>
      </c>
      <c r="W998" s="9">
        <f>IF($A998=VLOOKUP(YEAR($A998),'Festive dates'!$A$2:$J$5,7,FALSE),1,0)</f>
        <v>0</v>
      </c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</row>
    <row r="999" spans="1:51">
      <c r="A999" s="8">
        <v>46014</v>
      </c>
      <c r="B999" s="9">
        <v>0</v>
      </c>
      <c r="C999" s="9">
        <v>0</v>
      </c>
      <c r="D999" s="9">
        <v>0</v>
      </c>
      <c r="E999" s="9">
        <v>0</v>
      </c>
      <c r="F999" s="9">
        <v>0</v>
      </c>
      <c r="G999" s="9">
        <v>0</v>
      </c>
      <c r="H999" s="9">
        <v>0</v>
      </c>
      <c r="I999" s="9">
        <v>0</v>
      </c>
      <c r="J999" s="9">
        <v>0</v>
      </c>
      <c r="K999" s="9">
        <v>0</v>
      </c>
      <c r="L999" s="9">
        <v>0</v>
      </c>
      <c r="M999" s="9">
        <v>0</v>
      </c>
      <c r="N999" s="9">
        <v>0</v>
      </c>
      <c r="O999" s="9">
        <v>0</v>
      </c>
      <c r="P999" s="9">
        <v>0</v>
      </c>
      <c r="Q999" s="9">
        <f>MAX(-20,MIN(10,$A999-VLOOKUP(YEAR($A999),'Festive dates'!$A$2:$J$5,8,FALSE)))</f>
        <v>10</v>
      </c>
      <c r="R999" s="9">
        <f>IF(AND($A999&gt;VLOOKUP(YEAR($A999),'Festive dates'!$A$2:$J$5,2,FALSE),$A999&lt;VLOOKUP(YEAR($A999),'Festive dates'!$A$2:$J$5,3,FALSE)),1,0)</f>
        <v>0</v>
      </c>
      <c r="S999" s="9">
        <f>IF($A999=VLOOKUP(YEAR($A999),'Festive dates'!$A$2:$J$5,2,FALSE),1,0)</f>
        <v>0</v>
      </c>
      <c r="T999" s="9">
        <f>IF($A999=VLOOKUP(YEAR($A999),'Festive dates'!$A$2:$J$5,3,FALSE),1,0)</f>
        <v>0</v>
      </c>
      <c r="U999" s="9">
        <f>IF($A999=VLOOKUP(YEAR($A999),'Festive dates'!$A$2:$J$5,4,FALSE),1,0)</f>
        <v>0</v>
      </c>
      <c r="V999" s="9">
        <f>IF(AND($A999&gt;=VLOOKUP(YEAR($A999),'Festive dates'!$A$2:$J$5,9,FALSE),$A999&lt;=VLOOKUP(YEAR($A999),'Festive dates'!$A$2:$J$5,10,FALSE)),1,0)</f>
        <v>0</v>
      </c>
      <c r="W999" s="9">
        <f>IF($A999=VLOOKUP(YEAR($A999),'Festive dates'!$A$2:$J$5,7,FALSE),1,0)</f>
        <v>0</v>
      </c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</row>
    <row r="1000" spans="1:51">
      <c r="A1000" s="8">
        <v>46015</v>
      </c>
      <c r="B1000" s="9">
        <v>0</v>
      </c>
      <c r="C1000" s="9">
        <v>0</v>
      </c>
      <c r="D1000" s="9">
        <v>0</v>
      </c>
      <c r="E1000" s="9">
        <v>0</v>
      </c>
      <c r="F1000" s="9">
        <v>0</v>
      </c>
      <c r="G1000" s="9">
        <v>0</v>
      </c>
      <c r="H1000" s="9">
        <v>0</v>
      </c>
      <c r="I1000" s="9">
        <v>0</v>
      </c>
      <c r="J1000" s="9">
        <v>0</v>
      </c>
      <c r="K1000" s="9">
        <v>0</v>
      </c>
      <c r="L1000" s="9">
        <v>0</v>
      </c>
      <c r="M1000" s="9">
        <v>0</v>
      </c>
      <c r="N1000" s="9">
        <v>0</v>
      </c>
      <c r="O1000" s="9">
        <v>0</v>
      </c>
      <c r="P1000" s="9">
        <v>0</v>
      </c>
      <c r="Q1000" s="9">
        <f>MAX(-20,MIN(10,$A1000-VLOOKUP(YEAR($A1000),'Festive dates'!$A$2:$J$5,8,FALSE)))</f>
        <v>10</v>
      </c>
      <c r="R1000" s="9">
        <f>IF(AND($A1000&gt;VLOOKUP(YEAR($A1000),'Festive dates'!$A$2:$J$5,2,FALSE),$A1000&lt;VLOOKUP(YEAR($A1000),'Festive dates'!$A$2:$J$5,3,FALSE)),1,0)</f>
        <v>0</v>
      </c>
      <c r="S1000" s="9">
        <f>IF($A1000=VLOOKUP(YEAR($A1000),'Festive dates'!$A$2:$J$5,2,FALSE),1,0)</f>
        <v>0</v>
      </c>
      <c r="T1000" s="9">
        <f>IF($A1000=VLOOKUP(YEAR($A1000),'Festive dates'!$A$2:$J$5,3,FALSE),1,0)</f>
        <v>0</v>
      </c>
      <c r="U1000" s="9">
        <f>IF($A1000=VLOOKUP(YEAR($A1000),'Festive dates'!$A$2:$J$5,4,FALSE),1,0)</f>
        <v>0</v>
      </c>
      <c r="V1000" s="9">
        <f>IF(AND($A1000&gt;=VLOOKUP(YEAR($A1000),'Festive dates'!$A$2:$J$5,9,FALSE),$A1000&lt;=VLOOKUP(YEAR($A1000),'Festive dates'!$A$2:$J$5,10,FALSE)),1,0)</f>
        <v>0</v>
      </c>
      <c r="W1000" s="9">
        <f>IF($A1000=VLOOKUP(YEAR($A1000),'Festive dates'!$A$2:$J$5,7,FALSE),1,0)</f>
        <v>0</v>
      </c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</row>
    <row r="1001" spans="1:51">
      <c r="A1001" s="8">
        <v>46016</v>
      </c>
      <c r="B1001" s="9">
        <v>0</v>
      </c>
      <c r="C1001" s="9">
        <v>0</v>
      </c>
      <c r="D1001" s="9">
        <v>0</v>
      </c>
      <c r="E1001" s="9">
        <v>0</v>
      </c>
      <c r="F1001" s="9">
        <v>0</v>
      </c>
      <c r="G1001" s="9">
        <v>0</v>
      </c>
      <c r="H1001" s="9">
        <v>0</v>
      </c>
      <c r="I1001" s="9">
        <v>0</v>
      </c>
      <c r="J1001" s="9">
        <v>0</v>
      </c>
      <c r="K1001" s="9">
        <v>0</v>
      </c>
      <c r="L1001" s="9">
        <v>0</v>
      </c>
      <c r="M1001" s="9">
        <v>0</v>
      </c>
      <c r="N1001" s="9">
        <v>0</v>
      </c>
      <c r="O1001" s="9">
        <v>0</v>
      </c>
      <c r="P1001" s="9">
        <v>0</v>
      </c>
      <c r="Q1001" s="9">
        <f>MAX(-20,MIN(10,$A1001-VLOOKUP(YEAR($A1001),'Festive dates'!$A$2:$J$5,8,FALSE)))</f>
        <v>10</v>
      </c>
      <c r="R1001" s="9">
        <f>IF(AND($A1001&gt;VLOOKUP(YEAR($A1001),'Festive dates'!$A$2:$J$5,2,FALSE),$A1001&lt;VLOOKUP(YEAR($A1001),'Festive dates'!$A$2:$J$5,3,FALSE)),1,0)</f>
        <v>0</v>
      </c>
      <c r="S1001" s="9">
        <f>IF($A1001=VLOOKUP(YEAR($A1001),'Festive dates'!$A$2:$J$5,2,FALSE),1,0)</f>
        <v>0</v>
      </c>
      <c r="T1001" s="9">
        <f>IF($A1001=VLOOKUP(YEAR($A1001),'Festive dates'!$A$2:$J$5,3,FALSE),1,0)</f>
        <v>0</v>
      </c>
      <c r="U1001" s="9">
        <f>IF($A1001=VLOOKUP(YEAR($A1001),'Festive dates'!$A$2:$J$5,4,FALSE),1,0)</f>
        <v>0</v>
      </c>
      <c r="V1001" s="9">
        <f>IF(AND($A1001&gt;=VLOOKUP(YEAR($A1001),'Festive dates'!$A$2:$J$5,9,FALSE),$A1001&lt;=VLOOKUP(YEAR($A1001),'Festive dates'!$A$2:$J$5,10,FALSE)),1,0)</f>
        <v>0</v>
      </c>
      <c r="W1001" s="9">
        <f>IF($A1001=VLOOKUP(YEAR($A1001),'Festive dates'!$A$2:$J$5,7,FALSE),1,0)</f>
        <v>0</v>
      </c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</row>
    <row r="1002" spans="1:51">
      <c r="A1002" s="8">
        <v>46017</v>
      </c>
      <c r="B1002" s="9">
        <v>0</v>
      </c>
      <c r="C1002" s="9">
        <v>0</v>
      </c>
      <c r="D1002" s="9">
        <v>0</v>
      </c>
      <c r="E1002" s="9">
        <v>0</v>
      </c>
      <c r="F1002" s="9">
        <v>0</v>
      </c>
      <c r="G1002" s="9">
        <v>0</v>
      </c>
      <c r="H1002" s="9">
        <v>0</v>
      </c>
      <c r="I1002" s="9">
        <v>0</v>
      </c>
      <c r="J1002" s="9">
        <v>0</v>
      </c>
      <c r="K1002" s="9">
        <v>0</v>
      </c>
      <c r="L1002" s="9">
        <v>0</v>
      </c>
      <c r="M1002" s="9">
        <v>0</v>
      </c>
      <c r="N1002" s="9">
        <v>0</v>
      </c>
      <c r="O1002" s="9">
        <v>0</v>
      </c>
      <c r="P1002" s="9">
        <v>0</v>
      </c>
      <c r="Q1002" s="9">
        <f>MAX(-20,MIN(10,$A1002-VLOOKUP(YEAR($A1002),'Festive dates'!$A$2:$J$5,8,FALSE)))</f>
        <v>10</v>
      </c>
      <c r="R1002" s="9">
        <f>IF(AND($A1002&gt;VLOOKUP(YEAR($A1002),'Festive dates'!$A$2:$J$5,2,FALSE),$A1002&lt;VLOOKUP(YEAR($A1002),'Festive dates'!$A$2:$J$5,3,FALSE)),1,0)</f>
        <v>0</v>
      </c>
      <c r="S1002" s="9">
        <f>IF($A1002=VLOOKUP(YEAR($A1002),'Festive dates'!$A$2:$J$5,2,FALSE),1,0)</f>
        <v>0</v>
      </c>
      <c r="T1002" s="9">
        <f>IF($A1002=VLOOKUP(YEAR($A1002),'Festive dates'!$A$2:$J$5,3,FALSE),1,0)</f>
        <v>0</v>
      </c>
      <c r="U1002" s="9">
        <f>IF($A1002=VLOOKUP(YEAR($A1002),'Festive dates'!$A$2:$J$5,4,FALSE),1,0)</f>
        <v>0</v>
      </c>
      <c r="V1002" s="9">
        <f>IF(AND($A1002&gt;=VLOOKUP(YEAR($A1002),'Festive dates'!$A$2:$J$5,9,FALSE),$A1002&lt;=VLOOKUP(YEAR($A1002),'Festive dates'!$A$2:$J$5,10,FALSE)),1,0)</f>
        <v>0</v>
      </c>
      <c r="W1002" s="9">
        <f>IF($A1002=VLOOKUP(YEAR($A1002),'Festive dates'!$A$2:$J$5,7,FALSE),1,0)</f>
        <v>0</v>
      </c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</row>
    <row r="1003" spans="1:51">
      <c r="A1003" s="8">
        <v>46018</v>
      </c>
      <c r="B1003" s="9">
        <v>0</v>
      </c>
      <c r="C1003" s="9">
        <v>0</v>
      </c>
      <c r="D1003" s="9">
        <v>0</v>
      </c>
      <c r="E1003" s="9">
        <v>0</v>
      </c>
      <c r="F1003" s="9">
        <v>0</v>
      </c>
      <c r="G1003" s="9">
        <v>0</v>
      </c>
      <c r="H1003" s="9">
        <v>0</v>
      </c>
      <c r="I1003" s="9">
        <v>0</v>
      </c>
      <c r="J1003" s="9">
        <v>0</v>
      </c>
      <c r="K1003" s="9">
        <v>0</v>
      </c>
      <c r="L1003" s="9">
        <v>0</v>
      </c>
      <c r="M1003" s="9">
        <v>0</v>
      </c>
      <c r="N1003" s="9">
        <v>0</v>
      </c>
      <c r="O1003" s="9">
        <v>0</v>
      </c>
      <c r="P1003" s="9">
        <v>0</v>
      </c>
      <c r="Q1003" s="9">
        <f>MAX(-20,MIN(10,$A1003-VLOOKUP(YEAR($A1003),'Festive dates'!$A$2:$J$5,8,FALSE)))</f>
        <v>10</v>
      </c>
      <c r="R1003" s="9">
        <f>IF(AND($A1003&gt;VLOOKUP(YEAR($A1003),'Festive dates'!$A$2:$J$5,2,FALSE),$A1003&lt;VLOOKUP(YEAR($A1003),'Festive dates'!$A$2:$J$5,3,FALSE)),1,0)</f>
        <v>0</v>
      </c>
      <c r="S1003" s="9">
        <f>IF($A1003=VLOOKUP(YEAR($A1003),'Festive dates'!$A$2:$J$5,2,FALSE),1,0)</f>
        <v>0</v>
      </c>
      <c r="T1003" s="9">
        <f>IF($A1003=VLOOKUP(YEAR($A1003),'Festive dates'!$A$2:$J$5,3,FALSE),1,0)</f>
        <v>0</v>
      </c>
      <c r="U1003" s="9">
        <f>IF($A1003=VLOOKUP(YEAR($A1003),'Festive dates'!$A$2:$J$5,4,FALSE),1,0)</f>
        <v>0</v>
      </c>
      <c r="V1003" s="9">
        <f>IF(AND($A1003&gt;=VLOOKUP(YEAR($A1003),'Festive dates'!$A$2:$J$5,9,FALSE),$A1003&lt;=VLOOKUP(YEAR($A1003),'Festive dates'!$A$2:$J$5,10,FALSE)),1,0)</f>
        <v>0</v>
      </c>
      <c r="W1003" s="9">
        <f>IF($A1003=VLOOKUP(YEAR($A1003),'Festive dates'!$A$2:$J$5,7,FALSE),1,0)</f>
        <v>0</v>
      </c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</row>
    <row r="1004" spans="1:51">
      <c r="A1004" s="8">
        <v>46019</v>
      </c>
      <c r="B1004" s="9">
        <v>0</v>
      </c>
      <c r="C1004" s="9">
        <v>0</v>
      </c>
      <c r="D1004" s="9">
        <v>0</v>
      </c>
      <c r="E1004" s="9">
        <v>0</v>
      </c>
      <c r="F1004" s="9">
        <v>0</v>
      </c>
      <c r="G1004" s="9">
        <v>0</v>
      </c>
      <c r="H1004" s="9">
        <v>0</v>
      </c>
      <c r="I1004" s="9">
        <v>0</v>
      </c>
      <c r="J1004" s="9">
        <v>0</v>
      </c>
      <c r="K1004" s="9">
        <v>0</v>
      </c>
      <c r="L1004" s="9">
        <v>0</v>
      </c>
      <c r="M1004" s="9">
        <v>0</v>
      </c>
      <c r="N1004" s="9">
        <v>0</v>
      </c>
      <c r="O1004" s="9">
        <v>0</v>
      </c>
      <c r="P1004" s="9">
        <v>0</v>
      </c>
      <c r="Q1004" s="9">
        <f>MAX(-20,MIN(10,$A1004-VLOOKUP(YEAR($A1004),'Festive dates'!$A$2:$J$5,8,FALSE)))</f>
        <v>10</v>
      </c>
      <c r="R1004" s="9">
        <f>IF(AND($A1004&gt;VLOOKUP(YEAR($A1004),'Festive dates'!$A$2:$J$5,2,FALSE),$A1004&lt;VLOOKUP(YEAR($A1004),'Festive dates'!$A$2:$J$5,3,FALSE)),1,0)</f>
        <v>0</v>
      </c>
      <c r="S1004" s="9">
        <f>IF($A1004=VLOOKUP(YEAR($A1004),'Festive dates'!$A$2:$J$5,2,FALSE),1,0)</f>
        <v>0</v>
      </c>
      <c r="T1004" s="9">
        <f>IF($A1004=VLOOKUP(YEAR($A1004),'Festive dates'!$A$2:$J$5,3,FALSE),1,0)</f>
        <v>0</v>
      </c>
      <c r="U1004" s="9">
        <f>IF($A1004=VLOOKUP(YEAR($A1004),'Festive dates'!$A$2:$J$5,4,FALSE),1,0)</f>
        <v>0</v>
      </c>
      <c r="V1004" s="9">
        <f>IF(AND($A1004&gt;=VLOOKUP(YEAR($A1004),'Festive dates'!$A$2:$J$5,9,FALSE),$A1004&lt;=VLOOKUP(YEAR($A1004),'Festive dates'!$A$2:$J$5,10,FALSE)),1,0)</f>
        <v>0</v>
      </c>
      <c r="W1004" s="9">
        <f>IF($A1004=VLOOKUP(YEAR($A1004),'Festive dates'!$A$2:$J$5,7,FALSE),1,0)</f>
        <v>0</v>
      </c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</row>
    <row r="1005" spans="1:51">
      <c r="A1005" s="8">
        <v>46020</v>
      </c>
      <c r="B1005" s="9">
        <v>0</v>
      </c>
      <c r="C1005" s="9">
        <v>0</v>
      </c>
      <c r="D1005" s="9">
        <v>0</v>
      </c>
      <c r="E1005" s="9">
        <v>0</v>
      </c>
      <c r="F1005" s="9">
        <v>0</v>
      </c>
      <c r="G1005" s="9">
        <v>0</v>
      </c>
      <c r="H1005" s="9">
        <v>0</v>
      </c>
      <c r="I1005" s="9">
        <v>0</v>
      </c>
      <c r="J1005" s="9">
        <v>0</v>
      </c>
      <c r="K1005" s="9">
        <v>0</v>
      </c>
      <c r="L1005" s="9">
        <v>0</v>
      </c>
      <c r="M1005" s="9">
        <v>0</v>
      </c>
      <c r="N1005" s="9">
        <v>0</v>
      </c>
      <c r="O1005" s="9">
        <v>0</v>
      </c>
      <c r="P1005" s="9">
        <v>0</v>
      </c>
      <c r="Q1005" s="9">
        <f>MAX(-20,MIN(10,$A1005-VLOOKUP(YEAR($A1005),'Festive dates'!$A$2:$J$5,8,FALSE)))</f>
        <v>10</v>
      </c>
      <c r="R1005" s="9">
        <f>IF(AND($A1005&gt;VLOOKUP(YEAR($A1005),'Festive dates'!$A$2:$J$5,2,FALSE),$A1005&lt;VLOOKUP(YEAR($A1005),'Festive dates'!$A$2:$J$5,3,FALSE)),1,0)</f>
        <v>0</v>
      </c>
      <c r="S1005" s="9">
        <f>IF($A1005=VLOOKUP(YEAR($A1005),'Festive dates'!$A$2:$J$5,2,FALSE),1,0)</f>
        <v>0</v>
      </c>
      <c r="T1005" s="9">
        <f>IF($A1005=VLOOKUP(YEAR($A1005),'Festive dates'!$A$2:$J$5,3,FALSE),1,0)</f>
        <v>0</v>
      </c>
      <c r="U1005" s="9">
        <f>IF($A1005=VLOOKUP(YEAR($A1005),'Festive dates'!$A$2:$J$5,4,FALSE),1,0)</f>
        <v>0</v>
      </c>
      <c r="V1005" s="9">
        <f>IF(AND($A1005&gt;=VLOOKUP(YEAR($A1005),'Festive dates'!$A$2:$J$5,9,FALSE),$A1005&lt;=VLOOKUP(YEAR($A1005),'Festive dates'!$A$2:$J$5,10,FALSE)),1,0)</f>
        <v>0</v>
      </c>
      <c r="W1005" s="9">
        <f>IF($A1005=VLOOKUP(YEAR($A1005),'Festive dates'!$A$2:$J$5,7,FALSE),1,0)</f>
        <v>0</v>
      </c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</row>
    <row r="1006" spans="1:51">
      <c r="A1006" s="8">
        <v>46021</v>
      </c>
      <c r="B1006" s="9">
        <v>0</v>
      </c>
      <c r="C1006" s="9">
        <v>0</v>
      </c>
      <c r="D1006" s="9">
        <v>0</v>
      </c>
      <c r="E1006" s="9">
        <v>0</v>
      </c>
      <c r="F1006" s="9">
        <v>0</v>
      </c>
      <c r="G1006" s="9">
        <v>0</v>
      </c>
      <c r="H1006" s="9">
        <v>0</v>
      </c>
      <c r="I1006" s="9">
        <v>0</v>
      </c>
      <c r="J1006" s="9">
        <v>0</v>
      </c>
      <c r="K1006" s="9">
        <v>0</v>
      </c>
      <c r="L1006" s="9">
        <v>0</v>
      </c>
      <c r="M1006" s="9">
        <v>0</v>
      </c>
      <c r="N1006" s="9">
        <v>0</v>
      </c>
      <c r="O1006" s="9">
        <v>0</v>
      </c>
      <c r="P1006" s="9">
        <v>0</v>
      </c>
      <c r="Q1006" s="9">
        <f>MAX(-20,MIN(10,$A1006-VLOOKUP(YEAR($A1006),'Festive dates'!$A$2:$J$5,8,FALSE)))</f>
        <v>10</v>
      </c>
      <c r="R1006" s="9">
        <f>IF(AND($A1006&gt;VLOOKUP(YEAR($A1006),'Festive dates'!$A$2:$J$5,2,FALSE),$A1006&lt;VLOOKUP(YEAR($A1006),'Festive dates'!$A$2:$J$5,3,FALSE)),1,0)</f>
        <v>0</v>
      </c>
      <c r="S1006" s="9">
        <f>IF($A1006=VLOOKUP(YEAR($A1006),'Festive dates'!$A$2:$J$5,2,FALSE),1,0)</f>
        <v>0</v>
      </c>
      <c r="T1006" s="9">
        <f>IF($A1006=VLOOKUP(YEAR($A1006),'Festive dates'!$A$2:$J$5,3,FALSE),1,0)</f>
        <v>0</v>
      </c>
      <c r="U1006" s="9">
        <f>IF($A1006=VLOOKUP(YEAR($A1006),'Festive dates'!$A$2:$J$5,4,FALSE),1,0)</f>
        <v>0</v>
      </c>
      <c r="V1006" s="9">
        <f>IF(AND($A1006&gt;=VLOOKUP(YEAR($A1006),'Festive dates'!$A$2:$J$5,9,FALSE),$A1006&lt;=VLOOKUP(YEAR($A1006),'Festive dates'!$A$2:$J$5,10,FALSE)),1,0)</f>
        <v>0</v>
      </c>
      <c r="W1006" s="9">
        <f>IF($A1006=VLOOKUP(YEAR($A1006),'Festive dates'!$A$2:$J$5,7,FALSE),1,0)</f>
        <v>0</v>
      </c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</row>
    <row r="1007" spans="1:51">
      <c r="A1007" s="8">
        <v>46022</v>
      </c>
      <c r="B1007" s="9">
        <v>0</v>
      </c>
      <c r="C1007" s="9">
        <v>0</v>
      </c>
      <c r="D1007" s="9">
        <v>0</v>
      </c>
      <c r="E1007" s="9">
        <v>0</v>
      </c>
      <c r="F1007" s="9">
        <v>0</v>
      </c>
      <c r="G1007" s="9">
        <v>0</v>
      </c>
      <c r="H1007" s="9">
        <v>0</v>
      </c>
      <c r="I1007" s="9">
        <v>0</v>
      </c>
      <c r="J1007" s="9">
        <v>0</v>
      </c>
      <c r="K1007" s="9">
        <v>0</v>
      </c>
      <c r="L1007" s="9">
        <v>0</v>
      </c>
      <c r="M1007" s="9">
        <v>0</v>
      </c>
      <c r="N1007" s="9">
        <v>0</v>
      </c>
      <c r="O1007" s="9">
        <v>0</v>
      </c>
      <c r="P1007" s="9">
        <v>0</v>
      </c>
      <c r="Q1007" s="9">
        <f>MAX(-20,MIN(10,$A1007-VLOOKUP(YEAR($A1007),'Festive dates'!$A$2:$J$5,8,FALSE)))</f>
        <v>10</v>
      </c>
      <c r="R1007" s="9">
        <f>IF(AND($A1007&gt;VLOOKUP(YEAR($A1007),'Festive dates'!$A$2:$J$5,2,FALSE),$A1007&lt;VLOOKUP(YEAR($A1007),'Festive dates'!$A$2:$J$5,3,FALSE)),1,0)</f>
        <v>0</v>
      </c>
      <c r="S1007" s="9">
        <f>IF($A1007=VLOOKUP(YEAR($A1007),'Festive dates'!$A$2:$J$5,2,FALSE),1,0)</f>
        <v>0</v>
      </c>
      <c r="T1007" s="9">
        <f>IF($A1007=VLOOKUP(YEAR($A1007),'Festive dates'!$A$2:$J$5,3,FALSE),1,0)</f>
        <v>0</v>
      </c>
      <c r="U1007" s="9">
        <f>IF($A1007=VLOOKUP(YEAR($A1007),'Festive dates'!$A$2:$J$5,4,FALSE),1,0)</f>
        <v>0</v>
      </c>
      <c r="V1007" s="9">
        <f>IF(AND($A1007&gt;=VLOOKUP(YEAR($A1007),'Festive dates'!$A$2:$J$5,9,FALSE),$A1007&lt;=VLOOKUP(YEAR($A1007),'Festive dates'!$A$2:$J$5,10,FALSE)),1,0)</f>
        <v>0</v>
      </c>
      <c r="W1007" s="9">
        <f>IF($A1007=VLOOKUP(YEAR($A1007),'Festive dates'!$A$2:$J$5,7,FALSE),1,0)</f>
        <v>0</v>
      </c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</row>
    <row r="1008" spans="1:51">
      <c r="A1008" s="8">
        <v>46023</v>
      </c>
      <c r="B1008" s="9">
        <v>0</v>
      </c>
      <c r="C1008" s="9">
        <v>0</v>
      </c>
      <c r="D1008" s="9">
        <v>0</v>
      </c>
      <c r="E1008" s="9">
        <v>0</v>
      </c>
      <c r="F1008" s="9">
        <v>0</v>
      </c>
      <c r="G1008" s="9">
        <v>0</v>
      </c>
      <c r="H1008" s="9">
        <v>0</v>
      </c>
      <c r="I1008" s="9">
        <v>0</v>
      </c>
      <c r="J1008" s="9">
        <v>0</v>
      </c>
      <c r="K1008" s="9">
        <v>0</v>
      </c>
      <c r="L1008" s="9">
        <v>0</v>
      </c>
      <c r="M1008" s="9">
        <v>0</v>
      </c>
      <c r="N1008" s="9">
        <v>0</v>
      </c>
      <c r="O1008" s="9">
        <v>0</v>
      </c>
      <c r="P1008" s="9">
        <v>0</v>
      </c>
      <c r="Q1008" s="9">
        <f>MAX(-20,MIN(10,$A1008-VLOOKUP(YEAR($A1008),'Festive dates'!$A$2:$J$5,8,FALSE)))</f>
        <v>-20</v>
      </c>
      <c r="R1008" s="9">
        <f>IF(AND($A1008&gt;VLOOKUP(YEAR($A1008),'Festive dates'!$A$2:$J$5,2,FALSE),$A1008&lt;VLOOKUP(YEAR($A1008),'Festive dates'!$A$2:$J$5,3,FALSE)),1,0)</f>
        <v>0</v>
      </c>
      <c r="S1008" s="9">
        <f>IF($A1008=VLOOKUP(YEAR($A1008),'Festive dates'!$A$2:$J$5,2,FALSE),1,0)</f>
        <v>0</v>
      </c>
      <c r="T1008" s="9">
        <f>IF($A1008=VLOOKUP(YEAR($A1008),'Festive dates'!$A$2:$J$5,3,FALSE),1,0)</f>
        <v>0</v>
      </c>
      <c r="U1008" s="9">
        <f>IF($A1008=VLOOKUP(YEAR($A1008),'Festive dates'!$A$2:$J$5,4,FALSE),1,0)</f>
        <v>0</v>
      </c>
      <c r="V1008" s="9">
        <f>IF(AND($A1008&gt;=VLOOKUP(YEAR($A1008),'Festive dates'!$A$2:$J$5,9,FALSE),$A1008&lt;=VLOOKUP(YEAR($A1008),'Festive dates'!$A$2:$J$5,10,FALSE)),1,0)</f>
        <v>0</v>
      </c>
      <c r="W1008" s="9">
        <f>IF($A1008=VLOOKUP(YEAR($A1008),'Festive dates'!$A$2:$J$5,7,FALSE),1,0)</f>
        <v>0</v>
      </c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</row>
    <row r="1009" spans="1:51">
      <c r="A1009" s="8">
        <v>46024</v>
      </c>
      <c r="B1009" s="9">
        <v>0</v>
      </c>
      <c r="C1009" s="9">
        <v>0</v>
      </c>
      <c r="D1009" s="9">
        <v>0</v>
      </c>
      <c r="E1009" s="9">
        <v>0</v>
      </c>
      <c r="F1009" s="9">
        <v>0</v>
      </c>
      <c r="G1009" s="9">
        <v>0</v>
      </c>
      <c r="H1009" s="9">
        <v>0</v>
      </c>
      <c r="I1009" s="9">
        <v>0</v>
      </c>
      <c r="J1009" s="9">
        <v>0</v>
      </c>
      <c r="K1009" s="9">
        <v>0</v>
      </c>
      <c r="L1009" s="9">
        <v>0</v>
      </c>
      <c r="M1009" s="9">
        <v>0</v>
      </c>
      <c r="N1009" s="9">
        <v>0</v>
      </c>
      <c r="O1009" s="9">
        <v>0</v>
      </c>
      <c r="P1009" s="9">
        <v>0</v>
      </c>
      <c r="Q1009" s="9">
        <f>MAX(-20,MIN(10,$A1009-VLOOKUP(YEAR($A1009),'Festive dates'!$A$2:$J$5,8,FALSE)))</f>
        <v>-20</v>
      </c>
      <c r="R1009" s="9">
        <f>IF(AND($A1009&gt;VLOOKUP(YEAR($A1009),'Festive dates'!$A$2:$J$5,2,FALSE),$A1009&lt;VLOOKUP(YEAR($A1009),'Festive dates'!$A$2:$J$5,3,FALSE)),1,0)</f>
        <v>0</v>
      </c>
      <c r="S1009" s="9">
        <f>IF($A1009=VLOOKUP(YEAR($A1009),'Festive dates'!$A$2:$J$5,2,FALSE),1,0)</f>
        <v>0</v>
      </c>
      <c r="T1009" s="9">
        <f>IF($A1009=VLOOKUP(YEAR($A1009),'Festive dates'!$A$2:$J$5,3,FALSE),1,0)</f>
        <v>0</v>
      </c>
      <c r="U1009" s="9">
        <f>IF($A1009=VLOOKUP(YEAR($A1009),'Festive dates'!$A$2:$J$5,4,FALSE),1,0)</f>
        <v>0</v>
      </c>
      <c r="V1009" s="9">
        <f>IF(AND($A1009&gt;=VLOOKUP(YEAR($A1009),'Festive dates'!$A$2:$J$5,9,FALSE),$A1009&lt;=VLOOKUP(YEAR($A1009),'Festive dates'!$A$2:$J$5,10,FALSE)),1,0)</f>
        <v>0</v>
      </c>
      <c r="W1009" s="9">
        <f>IF($A1009=VLOOKUP(YEAR($A1009),'Festive dates'!$A$2:$J$5,7,FALSE),1,0)</f>
        <v>0</v>
      </c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</row>
    <row r="1010" spans="1:51">
      <c r="A1010" s="8">
        <v>46025</v>
      </c>
      <c r="B1010" s="9">
        <v>0</v>
      </c>
      <c r="C1010" s="9">
        <v>0</v>
      </c>
      <c r="D1010" s="9">
        <v>0</v>
      </c>
      <c r="E1010" s="9">
        <v>0</v>
      </c>
      <c r="F1010" s="9">
        <v>0</v>
      </c>
      <c r="G1010" s="9">
        <v>0</v>
      </c>
      <c r="H1010" s="9">
        <v>0</v>
      </c>
      <c r="I1010" s="9">
        <v>0</v>
      </c>
      <c r="J1010" s="9">
        <v>0</v>
      </c>
      <c r="K1010" s="9">
        <v>0</v>
      </c>
      <c r="L1010" s="9">
        <v>0</v>
      </c>
      <c r="M1010" s="9">
        <v>0</v>
      </c>
      <c r="N1010" s="9">
        <v>0</v>
      </c>
      <c r="O1010" s="9">
        <v>0</v>
      </c>
      <c r="P1010" s="9">
        <v>0</v>
      </c>
      <c r="Q1010" s="9">
        <f>MAX(-20,MIN(10,$A1010-VLOOKUP(YEAR($A1010),'Festive dates'!$A$2:$J$5,8,FALSE)))</f>
        <v>-20</v>
      </c>
      <c r="R1010" s="9">
        <f>IF(AND($A1010&gt;VLOOKUP(YEAR($A1010),'Festive dates'!$A$2:$J$5,2,FALSE),$A1010&lt;VLOOKUP(YEAR($A1010),'Festive dates'!$A$2:$J$5,3,FALSE)),1,0)</f>
        <v>0</v>
      </c>
      <c r="S1010" s="9">
        <f>IF($A1010=VLOOKUP(YEAR($A1010),'Festive dates'!$A$2:$J$5,2,FALSE),1,0)</f>
        <v>0</v>
      </c>
      <c r="T1010" s="9">
        <f>IF($A1010=VLOOKUP(YEAR($A1010),'Festive dates'!$A$2:$J$5,3,FALSE),1,0)</f>
        <v>0</v>
      </c>
      <c r="U1010" s="9">
        <f>IF($A1010=VLOOKUP(YEAR($A1010),'Festive dates'!$A$2:$J$5,4,FALSE),1,0)</f>
        <v>0</v>
      </c>
      <c r="V1010" s="9">
        <f>IF(AND($A1010&gt;=VLOOKUP(YEAR($A1010),'Festive dates'!$A$2:$J$5,9,FALSE),$A1010&lt;=VLOOKUP(YEAR($A1010),'Festive dates'!$A$2:$J$5,10,FALSE)),1,0)</f>
        <v>0</v>
      </c>
      <c r="W1010" s="9">
        <f>IF($A1010=VLOOKUP(YEAR($A1010),'Festive dates'!$A$2:$J$5,7,FALSE),1,0)</f>
        <v>0</v>
      </c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</row>
    <row r="1011" spans="1:51">
      <c r="A1011" s="8">
        <v>46026</v>
      </c>
      <c r="B1011" s="9">
        <v>0</v>
      </c>
      <c r="C1011" s="9">
        <v>0</v>
      </c>
      <c r="D1011" s="9">
        <v>0</v>
      </c>
      <c r="E1011" s="9">
        <v>0</v>
      </c>
      <c r="F1011" s="9">
        <v>0</v>
      </c>
      <c r="G1011" s="9">
        <v>0</v>
      </c>
      <c r="H1011" s="9">
        <v>0</v>
      </c>
      <c r="I1011" s="9">
        <v>0</v>
      </c>
      <c r="J1011" s="9">
        <v>0</v>
      </c>
      <c r="K1011" s="9">
        <v>0</v>
      </c>
      <c r="L1011" s="9">
        <v>0</v>
      </c>
      <c r="M1011" s="9">
        <v>0</v>
      </c>
      <c r="N1011" s="9">
        <v>0</v>
      </c>
      <c r="O1011" s="9">
        <v>0</v>
      </c>
      <c r="P1011" s="9">
        <v>0</v>
      </c>
      <c r="Q1011" s="9">
        <f>MAX(-20,MIN(10,$A1011-VLOOKUP(YEAR($A1011),'Festive dates'!$A$2:$J$5,8,FALSE)))</f>
        <v>-20</v>
      </c>
      <c r="R1011" s="9">
        <f>IF(AND($A1011&gt;VLOOKUP(YEAR($A1011),'Festive dates'!$A$2:$J$5,2,FALSE),$A1011&lt;VLOOKUP(YEAR($A1011),'Festive dates'!$A$2:$J$5,3,FALSE)),1,0)</f>
        <v>0</v>
      </c>
      <c r="S1011" s="9">
        <f>IF($A1011=VLOOKUP(YEAR($A1011),'Festive dates'!$A$2:$J$5,2,FALSE),1,0)</f>
        <v>0</v>
      </c>
      <c r="T1011" s="9">
        <f>IF($A1011=VLOOKUP(YEAR($A1011),'Festive dates'!$A$2:$J$5,3,FALSE),1,0)</f>
        <v>0</v>
      </c>
      <c r="U1011" s="9">
        <f>IF($A1011=VLOOKUP(YEAR($A1011),'Festive dates'!$A$2:$J$5,4,FALSE),1,0)</f>
        <v>0</v>
      </c>
      <c r="V1011" s="9">
        <f>IF(AND($A1011&gt;=VLOOKUP(YEAR($A1011),'Festive dates'!$A$2:$J$5,9,FALSE),$A1011&lt;=VLOOKUP(YEAR($A1011),'Festive dates'!$A$2:$J$5,10,FALSE)),1,0)</f>
        <v>0</v>
      </c>
      <c r="W1011" s="9">
        <f>IF($A1011=VLOOKUP(YEAR($A1011),'Festive dates'!$A$2:$J$5,7,FALSE),1,0)</f>
        <v>0</v>
      </c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</row>
    <row r="1012" spans="1:51">
      <c r="A1012" s="8">
        <v>46027</v>
      </c>
      <c r="B1012" s="9">
        <v>0</v>
      </c>
      <c r="C1012" s="9">
        <v>0</v>
      </c>
      <c r="D1012" s="9">
        <v>0</v>
      </c>
      <c r="E1012" s="9">
        <v>0</v>
      </c>
      <c r="F1012" s="9">
        <v>0</v>
      </c>
      <c r="G1012" s="9">
        <v>0</v>
      </c>
      <c r="H1012" s="9">
        <v>0</v>
      </c>
      <c r="I1012" s="9">
        <v>0</v>
      </c>
      <c r="J1012" s="9">
        <v>0</v>
      </c>
      <c r="K1012" s="9">
        <v>0</v>
      </c>
      <c r="L1012" s="9">
        <v>0</v>
      </c>
      <c r="M1012" s="9">
        <v>0</v>
      </c>
      <c r="N1012" s="9">
        <v>0</v>
      </c>
      <c r="O1012" s="9">
        <v>0</v>
      </c>
      <c r="P1012" s="9">
        <v>0</v>
      </c>
      <c r="Q1012" s="9">
        <f>MAX(-20,MIN(10,$A1012-VLOOKUP(YEAR($A1012),'Festive dates'!$A$2:$J$5,8,FALSE)))</f>
        <v>-20</v>
      </c>
      <c r="R1012" s="9">
        <f>IF(AND($A1012&gt;VLOOKUP(YEAR($A1012),'Festive dates'!$A$2:$J$5,2,FALSE),$A1012&lt;VLOOKUP(YEAR($A1012),'Festive dates'!$A$2:$J$5,3,FALSE)),1,0)</f>
        <v>0</v>
      </c>
      <c r="S1012" s="9">
        <f>IF($A1012=VLOOKUP(YEAR($A1012),'Festive dates'!$A$2:$J$5,2,FALSE),1,0)</f>
        <v>0</v>
      </c>
      <c r="T1012" s="9">
        <f>IF($A1012=VLOOKUP(YEAR($A1012),'Festive dates'!$A$2:$J$5,3,FALSE),1,0)</f>
        <v>0</v>
      </c>
      <c r="U1012" s="9">
        <f>IF($A1012=VLOOKUP(YEAR($A1012),'Festive dates'!$A$2:$J$5,4,FALSE),1,0)</f>
        <v>0</v>
      </c>
      <c r="V1012" s="9">
        <f>IF(AND($A1012&gt;=VLOOKUP(YEAR($A1012),'Festive dates'!$A$2:$J$5,9,FALSE),$A1012&lt;=VLOOKUP(YEAR($A1012),'Festive dates'!$A$2:$J$5,10,FALSE)),1,0)</f>
        <v>0</v>
      </c>
      <c r="W1012" s="9">
        <f>IF($A1012=VLOOKUP(YEAR($A1012),'Festive dates'!$A$2:$J$5,7,FALSE),1,0)</f>
        <v>0</v>
      </c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</row>
    <row r="1013" spans="1:51">
      <c r="A1013" s="8">
        <v>46028</v>
      </c>
      <c r="B1013" s="9">
        <v>0</v>
      </c>
      <c r="C1013" s="9">
        <v>0</v>
      </c>
      <c r="D1013" s="9">
        <v>0</v>
      </c>
      <c r="E1013" s="9">
        <v>0</v>
      </c>
      <c r="F1013" s="9">
        <v>0</v>
      </c>
      <c r="G1013" s="9">
        <v>0</v>
      </c>
      <c r="H1013" s="9">
        <v>0</v>
      </c>
      <c r="I1013" s="9">
        <v>0</v>
      </c>
      <c r="J1013" s="9">
        <v>0</v>
      </c>
      <c r="K1013" s="9">
        <v>0</v>
      </c>
      <c r="L1013" s="9">
        <v>0</v>
      </c>
      <c r="M1013" s="9">
        <v>0</v>
      </c>
      <c r="N1013" s="9">
        <v>0</v>
      </c>
      <c r="O1013" s="9">
        <v>0</v>
      </c>
      <c r="P1013" s="9">
        <v>0</v>
      </c>
      <c r="Q1013" s="9">
        <f>MAX(-20,MIN(10,$A1013-VLOOKUP(YEAR($A1013),'Festive dates'!$A$2:$J$5,8,FALSE)))</f>
        <v>-20</v>
      </c>
      <c r="R1013" s="9">
        <f>IF(AND($A1013&gt;VLOOKUP(YEAR($A1013),'Festive dates'!$A$2:$J$5,2,FALSE),$A1013&lt;VLOOKUP(YEAR($A1013),'Festive dates'!$A$2:$J$5,3,FALSE)),1,0)</f>
        <v>0</v>
      </c>
      <c r="S1013" s="9">
        <f>IF($A1013=VLOOKUP(YEAR($A1013),'Festive dates'!$A$2:$J$5,2,FALSE),1,0)</f>
        <v>0</v>
      </c>
      <c r="T1013" s="9">
        <f>IF($A1013=VLOOKUP(YEAR($A1013),'Festive dates'!$A$2:$J$5,3,FALSE),1,0)</f>
        <v>0</v>
      </c>
      <c r="U1013" s="9">
        <f>IF($A1013=VLOOKUP(YEAR($A1013),'Festive dates'!$A$2:$J$5,4,FALSE),1,0)</f>
        <v>0</v>
      </c>
      <c r="V1013" s="9">
        <f>IF(AND($A1013&gt;=VLOOKUP(YEAR($A1013),'Festive dates'!$A$2:$J$5,9,FALSE),$A1013&lt;=VLOOKUP(YEAR($A1013),'Festive dates'!$A$2:$J$5,10,FALSE)),1,0)</f>
        <v>0</v>
      </c>
      <c r="W1013" s="9">
        <f>IF($A1013=VLOOKUP(YEAR($A1013),'Festive dates'!$A$2:$J$5,7,FALSE),1,0)</f>
        <v>0</v>
      </c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</row>
    <row r="1014" spans="1:51">
      <c r="A1014" s="8">
        <v>46029</v>
      </c>
      <c r="B1014" s="9">
        <v>0</v>
      </c>
      <c r="C1014" s="9">
        <v>0</v>
      </c>
      <c r="D1014" s="9">
        <v>0</v>
      </c>
      <c r="E1014" s="9">
        <v>0</v>
      </c>
      <c r="F1014" s="9">
        <v>0</v>
      </c>
      <c r="G1014" s="9">
        <v>0</v>
      </c>
      <c r="H1014" s="9">
        <v>0</v>
      </c>
      <c r="I1014" s="9">
        <v>0</v>
      </c>
      <c r="J1014" s="9">
        <v>0</v>
      </c>
      <c r="K1014" s="9">
        <v>0</v>
      </c>
      <c r="L1014" s="9">
        <v>0</v>
      </c>
      <c r="M1014" s="9">
        <v>0</v>
      </c>
      <c r="N1014" s="9">
        <v>0</v>
      </c>
      <c r="O1014" s="9">
        <v>0</v>
      </c>
      <c r="P1014" s="9">
        <v>0</v>
      </c>
      <c r="Q1014" s="9">
        <f>MAX(-20,MIN(10,$A1014-VLOOKUP(YEAR($A1014),'Festive dates'!$A$2:$J$5,8,FALSE)))</f>
        <v>-20</v>
      </c>
      <c r="R1014" s="9">
        <f>IF(AND($A1014&gt;VLOOKUP(YEAR($A1014),'Festive dates'!$A$2:$J$5,2,FALSE),$A1014&lt;VLOOKUP(YEAR($A1014),'Festive dates'!$A$2:$J$5,3,FALSE)),1,0)</f>
        <v>0</v>
      </c>
      <c r="S1014" s="9">
        <f>IF($A1014=VLOOKUP(YEAR($A1014),'Festive dates'!$A$2:$J$5,2,FALSE),1,0)</f>
        <v>0</v>
      </c>
      <c r="T1014" s="9">
        <f>IF($A1014=VLOOKUP(YEAR($A1014),'Festive dates'!$A$2:$J$5,3,FALSE),1,0)</f>
        <v>0</v>
      </c>
      <c r="U1014" s="9">
        <f>IF($A1014=VLOOKUP(YEAR($A1014),'Festive dates'!$A$2:$J$5,4,FALSE),1,0)</f>
        <v>0</v>
      </c>
      <c r="V1014" s="9">
        <f>IF(AND($A1014&gt;=VLOOKUP(YEAR($A1014),'Festive dates'!$A$2:$J$5,9,FALSE),$A1014&lt;=VLOOKUP(YEAR($A1014),'Festive dates'!$A$2:$J$5,10,FALSE)),1,0)</f>
        <v>0</v>
      </c>
      <c r="W1014" s="9">
        <f>IF($A1014=VLOOKUP(YEAR($A1014),'Festive dates'!$A$2:$J$5,7,FALSE),1,0)</f>
        <v>0</v>
      </c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</row>
    <row r="1015" spans="1:51">
      <c r="A1015" s="8">
        <v>46030</v>
      </c>
      <c r="B1015" s="9">
        <v>0</v>
      </c>
      <c r="C1015" s="9">
        <v>0</v>
      </c>
      <c r="D1015" s="9">
        <v>0</v>
      </c>
      <c r="E1015" s="9">
        <v>0</v>
      </c>
      <c r="F1015" s="9">
        <v>0</v>
      </c>
      <c r="G1015" s="9">
        <v>0</v>
      </c>
      <c r="H1015" s="9">
        <v>0</v>
      </c>
      <c r="I1015" s="9">
        <v>0</v>
      </c>
      <c r="J1015" s="9">
        <v>0</v>
      </c>
      <c r="K1015" s="9">
        <v>0</v>
      </c>
      <c r="L1015" s="9">
        <v>0</v>
      </c>
      <c r="M1015" s="9">
        <v>0</v>
      </c>
      <c r="N1015" s="9">
        <v>0</v>
      </c>
      <c r="O1015" s="9">
        <v>0</v>
      </c>
      <c r="P1015" s="9">
        <v>0</v>
      </c>
      <c r="Q1015" s="9">
        <f>MAX(-20,MIN(10,$A1015-VLOOKUP(YEAR($A1015),'Festive dates'!$A$2:$J$5,8,FALSE)))</f>
        <v>-20</v>
      </c>
      <c r="R1015" s="9">
        <f>IF(AND($A1015&gt;VLOOKUP(YEAR($A1015),'Festive dates'!$A$2:$J$5,2,FALSE),$A1015&lt;VLOOKUP(YEAR($A1015),'Festive dates'!$A$2:$J$5,3,FALSE)),1,0)</f>
        <v>0</v>
      </c>
      <c r="S1015" s="9">
        <f>IF($A1015=VLOOKUP(YEAR($A1015),'Festive dates'!$A$2:$J$5,2,FALSE),1,0)</f>
        <v>0</v>
      </c>
      <c r="T1015" s="9">
        <f>IF($A1015=VLOOKUP(YEAR($A1015),'Festive dates'!$A$2:$J$5,3,FALSE),1,0)</f>
        <v>0</v>
      </c>
      <c r="U1015" s="9">
        <f>IF($A1015=VLOOKUP(YEAR($A1015),'Festive dates'!$A$2:$J$5,4,FALSE),1,0)</f>
        <v>0</v>
      </c>
      <c r="V1015" s="9">
        <f>IF(AND($A1015&gt;=VLOOKUP(YEAR($A1015),'Festive dates'!$A$2:$J$5,9,FALSE),$A1015&lt;=VLOOKUP(YEAR($A1015),'Festive dates'!$A$2:$J$5,10,FALSE)),1,0)</f>
        <v>0</v>
      </c>
      <c r="W1015" s="9">
        <f>IF($A1015=VLOOKUP(YEAR($A1015),'Festive dates'!$A$2:$J$5,7,FALSE),1,0)</f>
        <v>0</v>
      </c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</row>
    <row r="1016" spans="1:51">
      <c r="A1016" s="8">
        <v>46031</v>
      </c>
      <c r="B1016" s="9">
        <v>0</v>
      </c>
      <c r="C1016" s="9">
        <v>0</v>
      </c>
      <c r="D1016" s="9">
        <v>0</v>
      </c>
      <c r="E1016" s="9">
        <v>0</v>
      </c>
      <c r="F1016" s="9">
        <v>0</v>
      </c>
      <c r="G1016" s="9">
        <v>0</v>
      </c>
      <c r="H1016" s="9">
        <v>0</v>
      </c>
      <c r="I1016" s="9">
        <v>0</v>
      </c>
      <c r="J1016" s="9">
        <v>0</v>
      </c>
      <c r="K1016" s="9">
        <v>0</v>
      </c>
      <c r="L1016" s="9">
        <v>0</v>
      </c>
      <c r="M1016" s="9">
        <v>0</v>
      </c>
      <c r="N1016" s="9">
        <v>0</v>
      </c>
      <c r="O1016" s="9">
        <v>0</v>
      </c>
      <c r="P1016" s="9">
        <v>0</v>
      </c>
      <c r="Q1016" s="9">
        <f>MAX(-20,MIN(10,$A1016-VLOOKUP(YEAR($A1016),'Festive dates'!$A$2:$J$5,8,FALSE)))</f>
        <v>-20</v>
      </c>
      <c r="R1016" s="9">
        <f>IF(AND($A1016&gt;VLOOKUP(YEAR($A1016),'Festive dates'!$A$2:$J$5,2,FALSE),$A1016&lt;VLOOKUP(YEAR($A1016),'Festive dates'!$A$2:$J$5,3,FALSE)),1,0)</f>
        <v>0</v>
      </c>
      <c r="S1016" s="9">
        <f>IF($A1016=VLOOKUP(YEAR($A1016),'Festive dates'!$A$2:$J$5,2,FALSE),1,0)</f>
        <v>0</v>
      </c>
      <c r="T1016" s="9">
        <f>IF($A1016=VLOOKUP(YEAR($A1016),'Festive dates'!$A$2:$J$5,3,FALSE),1,0)</f>
        <v>0</v>
      </c>
      <c r="U1016" s="9">
        <f>IF($A1016=VLOOKUP(YEAR($A1016),'Festive dates'!$A$2:$J$5,4,FALSE),1,0)</f>
        <v>0</v>
      </c>
      <c r="V1016" s="9">
        <f>IF(AND($A1016&gt;=VLOOKUP(YEAR($A1016),'Festive dates'!$A$2:$J$5,9,FALSE),$A1016&lt;=VLOOKUP(YEAR($A1016),'Festive dates'!$A$2:$J$5,10,FALSE)),1,0)</f>
        <v>0</v>
      </c>
      <c r="W1016" s="9">
        <f>IF($A1016=VLOOKUP(YEAR($A1016),'Festive dates'!$A$2:$J$5,7,FALSE),1,0)</f>
        <v>0</v>
      </c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</row>
    <row r="1017" spans="1:51">
      <c r="A1017" s="8">
        <v>46032</v>
      </c>
      <c r="B1017" s="9">
        <v>0</v>
      </c>
      <c r="C1017" s="9">
        <v>0</v>
      </c>
      <c r="D1017" s="9">
        <v>0</v>
      </c>
      <c r="E1017" s="9">
        <v>0</v>
      </c>
      <c r="F1017" s="9">
        <v>0</v>
      </c>
      <c r="G1017" s="9">
        <v>0</v>
      </c>
      <c r="H1017" s="9">
        <v>0</v>
      </c>
      <c r="I1017" s="9">
        <v>0</v>
      </c>
      <c r="J1017" s="9">
        <v>0</v>
      </c>
      <c r="K1017" s="9">
        <v>0</v>
      </c>
      <c r="L1017" s="9">
        <v>0</v>
      </c>
      <c r="M1017" s="9">
        <v>0</v>
      </c>
      <c r="N1017" s="9">
        <v>0</v>
      </c>
      <c r="O1017" s="9">
        <v>0</v>
      </c>
      <c r="P1017" s="9">
        <v>0</v>
      </c>
      <c r="Q1017" s="9">
        <f>MAX(-20,MIN(10,$A1017-VLOOKUP(YEAR($A1017),'Festive dates'!$A$2:$J$5,8,FALSE)))</f>
        <v>-20</v>
      </c>
      <c r="R1017" s="9">
        <f>IF(AND($A1017&gt;VLOOKUP(YEAR($A1017),'Festive dates'!$A$2:$J$5,2,FALSE),$A1017&lt;VLOOKUP(YEAR($A1017),'Festive dates'!$A$2:$J$5,3,FALSE)),1,0)</f>
        <v>0</v>
      </c>
      <c r="S1017" s="9">
        <f>IF($A1017=VLOOKUP(YEAR($A1017),'Festive dates'!$A$2:$J$5,2,FALSE),1,0)</f>
        <v>0</v>
      </c>
      <c r="T1017" s="9">
        <f>IF($A1017=VLOOKUP(YEAR($A1017),'Festive dates'!$A$2:$J$5,3,FALSE),1,0)</f>
        <v>0</v>
      </c>
      <c r="U1017" s="9">
        <f>IF($A1017=VLOOKUP(YEAR($A1017),'Festive dates'!$A$2:$J$5,4,FALSE),1,0)</f>
        <v>0</v>
      </c>
      <c r="V1017" s="9">
        <f>IF(AND($A1017&gt;=VLOOKUP(YEAR($A1017),'Festive dates'!$A$2:$J$5,9,FALSE),$A1017&lt;=VLOOKUP(YEAR($A1017),'Festive dates'!$A$2:$J$5,10,FALSE)),1,0)</f>
        <v>0</v>
      </c>
      <c r="W1017" s="9">
        <f>IF($A1017=VLOOKUP(YEAR($A1017),'Festive dates'!$A$2:$J$5,7,FALSE),1,0)</f>
        <v>0</v>
      </c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</row>
    <row r="1018" spans="1:51">
      <c r="A1018" s="8">
        <v>46033</v>
      </c>
      <c r="B1018" s="9">
        <v>0</v>
      </c>
      <c r="C1018" s="9">
        <v>0</v>
      </c>
      <c r="D1018" s="9">
        <v>0</v>
      </c>
      <c r="E1018" s="9">
        <v>0</v>
      </c>
      <c r="F1018" s="9">
        <v>0</v>
      </c>
      <c r="G1018" s="9">
        <v>0</v>
      </c>
      <c r="H1018" s="9">
        <v>0</v>
      </c>
      <c r="I1018" s="9">
        <v>0</v>
      </c>
      <c r="J1018" s="9">
        <v>0</v>
      </c>
      <c r="K1018" s="9">
        <v>0</v>
      </c>
      <c r="L1018" s="9">
        <v>0</v>
      </c>
      <c r="M1018" s="9">
        <v>0</v>
      </c>
      <c r="N1018" s="9">
        <v>0</v>
      </c>
      <c r="O1018" s="9">
        <v>0</v>
      </c>
      <c r="P1018" s="9">
        <v>0</v>
      </c>
      <c r="Q1018" s="9">
        <f>MAX(-20,MIN(10,$A1018-VLOOKUP(YEAR($A1018),'Festive dates'!$A$2:$J$5,8,FALSE)))</f>
        <v>-20</v>
      </c>
      <c r="R1018" s="9">
        <f>IF(AND($A1018&gt;VLOOKUP(YEAR($A1018),'Festive dates'!$A$2:$J$5,2,FALSE),$A1018&lt;VLOOKUP(YEAR($A1018),'Festive dates'!$A$2:$J$5,3,FALSE)),1,0)</f>
        <v>0</v>
      </c>
      <c r="S1018" s="9">
        <f>IF($A1018=VLOOKUP(YEAR($A1018),'Festive dates'!$A$2:$J$5,2,FALSE),1,0)</f>
        <v>0</v>
      </c>
      <c r="T1018" s="9">
        <f>IF($A1018=VLOOKUP(YEAR($A1018),'Festive dates'!$A$2:$J$5,3,FALSE),1,0)</f>
        <v>0</v>
      </c>
      <c r="U1018" s="9">
        <f>IF($A1018=VLOOKUP(YEAR($A1018),'Festive dates'!$A$2:$J$5,4,FALSE),1,0)</f>
        <v>0</v>
      </c>
      <c r="V1018" s="9">
        <f>IF(AND($A1018&gt;=VLOOKUP(YEAR($A1018),'Festive dates'!$A$2:$J$5,9,FALSE),$A1018&lt;=VLOOKUP(YEAR($A1018),'Festive dates'!$A$2:$J$5,10,FALSE)),1,0)</f>
        <v>0</v>
      </c>
      <c r="W1018" s="9">
        <f>IF($A1018=VLOOKUP(YEAR($A1018),'Festive dates'!$A$2:$J$5,7,FALSE),1,0)</f>
        <v>0</v>
      </c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</row>
    <row r="1019" spans="1:51">
      <c r="A1019" s="8">
        <v>46034</v>
      </c>
      <c r="B1019" s="9">
        <v>0</v>
      </c>
      <c r="C1019" s="9">
        <v>0</v>
      </c>
      <c r="D1019" s="9">
        <v>0</v>
      </c>
      <c r="E1019" s="9">
        <v>0</v>
      </c>
      <c r="F1019" s="9">
        <v>0</v>
      </c>
      <c r="G1019" s="9">
        <v>0</v>
      </c>
      <c r="H1019" s="9">
        <v>0</v>
      </c>
      <c r="I1019" s="9">
        <v>0</v>
      </c>
      <c r="J1019" s="9">
        <v>0</v>
      </c>
      <c r="K1019" s="9">
        <v>0</v>
      </c>
      <c r="L1019" s="9">
        <v>0</v>
      </c>
      <c r="M1019" s="9">
        <v>0</v>
      </c>
      <c r="N1019" s="9">
        <v>0</v>
      </c>
      <c r="O1019" s="9">
        <v>0</v>
      </c>
      <c r="P1019" s="9">
        <v>0</v>
      </c>
      <c r="Q1019" s="9">
        <f>MAX(-20,MIN(10,$A1019-VLOOKUP(YEAR($A1019),'Festive dates'!$A$2:$J$5,8,FALSE)))</f>
        <v>-20</v>
      </c>
      <c r="R1019" s="9">
        <f>IF(AND($A1019&gt;VLOOKUP(YEAR($A1019),'Festive dates'!$A$2:$J$5,2,FALSE),$A1019&lt;VLOOKUP(YEAR($A1019),'Festive dates'!$A$2:$J$5,3,FALSE)),1,0)</f>
        <v>0</v>
      </c>
      <c r="S1019" s="9">
        <f>IF($A1019=VLOOKUP(YEAR($A1019),'Festive dates'!$A$2:$J$5,2,FALSE),1,0)</f>
        <v>0</v>
      </c>
      <c r="T1019" s="9">
        <f>IF($A1019=VLOOKUP(YEAR($A1019),'Festive dates'!$A$2:$J$5,3,FALSE),1,0)</f>
        <v>0</v>
      </c>
      <c r="U1019" s="9">
        <f>IF($A1019=VLOOKUP(YEAR($A1019),'Festive dates'!$A$2:$J$5,4,FALSE),1,0)</f>
        <v>0</v>
      </c>
      <c r="V1019" s="9">
        <f>IF(AND($A1019&gt;=VLOOKUP(YEAR($A1019),'Festive dates'!$A$2:$J$5,9,FALSE),$A1019&lt;=VLOOKUP(YEAR($A1019),'Festive dates'!$A$2:$J$5,10,FALSE)),1,0)</f>
        <v>0</v>
      </c>
      <c r="W1019" s="9">
        <f>IF($A1019=VLOOKUP(YEAR($A1019),'Festive dates'!$A$2:$J$5,7,FALSE),1,0)</f>
        <v>0</v>
      </c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</row>
    <row r="1020" spans="1:51">
      <c r="A1020" s="8">
        <v>46035</v>
      </c>
      <c r="B1020" s="9">
        <v>0</v>
      </c>
      <c r="C1020" s="9">
        <v>0</v>
      </c>
      <c r="D1020" s="9">
        <v>0</v>
      </c>
      <c r="E1020" s="9">
        <v>0</v>
      </c>
      <c r="F1020" s="9">
        <v>0</v>
      </c>
      <c r="G1020" s="9">
        <v>0</v>
      </c>
      <c r="H1020" s="9">
        <v>0</v>
      </c>
      <c r="I1020" s="9">
        <v>0</v>
      </c>
      <c r="J1020" s="9">
        <v>0</v>
      </c>
      <c r="K1020" s="9">
        <v>0</v>
      </c>
      <c r="L1020" s="9">
        <v>0</v>
      </c>
      <c r="M1020" s="9">
        <v>0</v>
      </c>
      <c r="N1020" s="9">
        <v>0</v>
      </c>
      <c r="O1020" s="9">
        <v>0</v>
      </c>
      <c r="P1020" s="9">
        <v>0</v>
      </c>
      <c r="Q1020" s="9">
        <f>MAX(-20,MIN(10,$A1020-VLOOKUP(YEAR($A1020),'Festive dates'!$A$2:$J$5,8,FALSE)))</f>
        <v>-20</v>
      </c>
      <c r="R1020" s="9">
        <f>IF(AND($A1020&gt;VLOOKUP(YEAR($A1020),'Festive dates'!$A$2:$J$5,2,FALSE),$A1020&lt;VLOOKUP(YEAR($A1020),'Festive dates'!$A$2:$J$5,3,FALSE)),1,0)</f>
        <v>0</v>
      </c>
      <c r="S1020" s="9">
        <f>IF($A1020=VLOOKUP(YEAR($A1020),'Festive dates'!$A$2:$J$5,2,FALSE),1,0)</f>
        <v>0</v>
      </c>
      <c r="T1020" s="9">
        <f>IF($A1020=VLOOKUP(YEAR($A1020),'Festive dates'!$A$2:$J$5,3,FALSE),1,0)</f>
        <v>0</v>
      </c>
      <c r="U1020" s="9">
        <f>IF($A1020=VLOOKUP(YEAR($A1020),'Festive dates'!$A$2:$J$5,4,FALSE),1,0)</f>
        <v>0</v>
      </c>
      <c r="V1020" s="9">
        <f>IF(AND($A1020&gt;=VLOOKUP(YEAR($A1020),'Festive dates'!$A$2:$J$5,9,FALSE),$A1020&lt;=VLOOKUP(YEAR($A1020),'Festive dates'!$A$2:$J$5,10,FALSE)),1,0)</f>
        <v>0</v>
      </c>
      <c r="W1020" s="9">
        <f>IF($A1020=VLOOKUP(YEAR($A1020),'Festive dates'!$A$2:$J$5,7,FALSE),1,0)</f>
        <v>0</v>
      </c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</row>
    <row r="1021" spans="1:51">
      <c r="A1021" s="8">
        <v>46036</v>
      </c>
      <c r="B1021" s="9">
        <v>0</v>
      </c>
      <c r="C1021" s="9">
        <v>0</v>
      </c>
      <c r="D1021" s="9">
        <v>0</v>
      </c>
      <c r="E1021" s="9">
        <v>0</v>
      </c>
      <c r="F1021" s="9">
        <v>0</v>
      </c>
      <c r="G1021" s="9">
        <v>0</v>
      </c>
      <c r="H1021" s="9">
        <v>0</v>
      </c>
      <c r="I1021" s="9">
        <v>0</v>
      </c>
      <c r="J1021" s="9">
        <v>0</v>
      </c>
      <c r="K1021" s="9">
        <v>0</v>
      </c>
      <c r="L1021" s="9">
        <v>0</v>
      </c>
      <c r="M1021" s="9">
        <v>0</v>
      </c>
      <c r="N1021" s="9">
        <v>0</v>
      </c>
      <c r="O1021" s="9">
        <v>0</v>
      </c>
      <c r="P1021" s="9">
        <v>0</v>
      </c>
      <c r="Q1021" s="9">
        <f>MAX(-20,MIN(10,$A1021-VLOOKUP(YEAR($A1021),'Festive dates'!$A$2:$J$5,8,FALSE)))</f>
        <v>-20</v>
      </c>
      <c r="R1021" s="9">
        <f>IF(AND($A1021&gt;VLOOKUP(YEAR($A1021),'Festive dates'!$A$2:$J$5,2,FALSE),$A1021&lt;VLOOKUP(YEAR($A1021),'Festive dates'!$A$2:$J$5,3,FALSE)),1,0)</f>
        <v>0</v>
      </c>
      <c r="S1021" s="9">
        <f>IF($A1021=VLOOKUP(YEAR($A1021),'Festive dates'!$A$2:$J$5,2,FALSE),1,0)</f>
        <v>0</v>
      </c>
      <c r="T1021" s="9">
        <f>IF($A1021=VLOOKUP(YEAR($A1021),'Festive dates'!$A$2:$J$5,3,FALSE),1,0)</f>
        <v>0</v>
      </c>
      <c r="U1021" s="9">
        <f>IF($A1021=VLOOKUP(YEAR($A1021),'Festive dates'!$A$2:$J$5,4,FALSE),1,0)</f>
        <v>0</v>
      </c>
      <c r="V1021" s="9">
        <f>IF(AND($A1021&gt;=VLOOKUP(YEAR($A1021),'Festive dates'!$A$2:$J$5,9,FALSE),$A1021&lt;=VLOOKUP(YEAR($A1021),'Festive dates'!$A$2:$J$5,10,FALSE)),1,0)</f>
        <v>0</v>
      </c>
      <c r="W1021" s="9">
        <f>IF($A1021=VLOOKUP(YEAR($A1021),'Festive dates'!$A$2:$J$5,7,FALSE),1,0)</f>
        <v>0</v>
      </c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</row>
    <row r="1022" spans="1:51">
      <c r="A1022" s="8">
        <v>46037</v>
      </c>
      <c r="B1022" s="9">
        <v>0</v>
      </c>
      <c r="C1022" s="9">
        <v>0</v>
      </c>
      <c r="D1022" s="9">
        <v>0</v>
      </c>
      <c r="E1022" s="9">
        <v>0</v>
      </c>
      <c r="F1022" s="9">
        <v>0</v>
      </c>
      <c r="G1022" s="9">
        <v>0</v>
      </c>
      <c r="H1022" s="9">
        <v>0</v>
      </c>
      <c r="I1022" s="9">
        <v>0</v>
      </c>
      <c r="J1022" s="9">
        <v>0</v>
      </c>
      <c r="K1022" s="9">
        <v>0</v>
      </c>
      <c r="L1022" s="9">
        <v>0</v>
      </c>
      <c r="M1022" s="9">
        <v>0</v>
      </c>
      <c r="N1022" s="9">
        <v>0</v>
      </c>
      <c r="O1022" s="9">
        <v>0</v>
      </c>
      <c r="P1022" s="9">
        <v>0</v>
      </c>
      <c r="Q1022" s="9">
        <f>MAX(-20,MIN(10,$A1022-VLOOKUP(YEAR($A1022),'Festive dates'!$A$2:$J$5,8,FALSE)))</f>
        <v>-20</v>
      </c>
      <c r="R1022" s="9">
        <f>IF(AND($A1022&gt;VLOOKUP(YEAR($A1022),'Festive dates'!$A$2:$J$5,2,FALSE),$A1022&lt;VLOOKUP(YEAR($A1022),'Festive dates'!$A$2:$J$5,3,FALSE)),1,0)</f>
        <v>0</v>
      </c>
      <c r="S1022" s="9">
        <f>IF($A1022=VLOOKUP(YEAR($A1022),'Festive dates'!$A$2:$J$5,2,FALSE),1,0)</f>
        <v>0</v>
      </c>
      <c r="T1022" s="9">
        <f>IF($A1022=VLOOKUP(YEAR($A1022),'Festive dates'!$A$2:$J$5,3,FALSE),1,0)</f>
        <v>0</v>
      </c>
      <c r="U1022" s="9">
        <f>IF($A1022=VLOOKUP(YEAR($A1022),'Festive dates'!$A$2:$J$5,4,FALSE),1,0)</f>
        <v>0</v>
      </c>
      <c r="V1022" s="9">
        <f>IF(AND($A1022&gt;=VLOOKUP(YEAR($A1022),'Festive dates'!$A$2:$J$5,9,FALSE),$A1022&lt;=VLOOKUP(YEAR($A1022),'Festive dates'!$A$2:$J$5,10,FALSE)),1,0)</f>
        <v>0</v>
      </c>
      <c r="W1022" s="9">
        <f>IF($A1022=VLOOKUP(YEAR($A1022),'Festive dates'!$A$2:$J$5,7,FALSE),1,0)</f>
        <v>0</v>
      </c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</row>
    <row r="1023" spans="1:51">
      <c r="A1023" s="8">
        <v>46038</v>
      </c>
      <c r="B1023" s="9">
        <v>0</v>
      </c>
      <c r="C1023" s="9">
        <v>0</v>
      </c>
      <c r="D1023" s="9">
        <v>0</v>
      </c>
      <c r="E1023" s="9">
        <v>0</v>
      </c>
      <c r="F1023" s="9">
        <v>0</v>
      </c>
      <c r="G1023" s="9">
        <v>0</v>
      </c>
      <c r="H1023" s="9">
        <v>0</v>
      </c>
      <c r="I1023" s="9">
        <v>0</v>
      </c>
      <c r="J1023" s="9">
        <v>0</v>
      </c>
      <c r="K1023" s="9">
        <v>0</v>
      </c>
      <c r="L1023" s="9">
        <v>0</v>
      </c>
      <c r="M1023" s="9">
        <v>0</v>
      </c>
      <c r="N1023" s="9">
        <v>0</v>
      </c>
      <c r="O1023" s="9">
        <v>0</v>
      </c>
      <c r="P1023" s="9">
        <v>0</v>
      </c>
      <c r="Q1023" s="9">
        <f>MAX(-20,MIN(10,$A1023-VLOOKUP(YEAR($A1023),'Festive dates'!$A$2:$J$5,8,FALSE)))</f>
        <v>-20</v>
      </c>
      <c r="R1023" s="9">
        <f>IF(AND($A1023&gt;VLOOKUP(YEAR($A1023),'Festive dates'!$A$2:$J$5,2,FALSE),$A1023&lt;VLOOKUP(YEAR($A1023),'Festive dates'!$A$2:$J$5,3,FALSE)),1,0)</f>
        <v>0</v>
      </c>
      <c r="S1023" s="9">
        <f>IF($A1023=VLOOKUP(YEAR($A1023),'Festive dates'!$A$2:$J$5,2,FALSE),1,0)</f>
        <v>0</v>
      </c>
      <c r="T1023" s="9">
        <f>IF($A1023=VLOOKUP(YEAR($A1023),'Festive dates'!$A$2:$J$5,3,FALSE),1,0)</f>
        <v>0</v>
      </c>
      <c r="U1023" s="9">
        <f>IF($A1023=VLOOKUP(YEAR($A1023),'Festive dates'!$A$2:$J$5,4,FALSE),1,0)</f>
        <v>0</v>
      </c>
      <c r="V1023" s="9">
        <f>IF(AND($A1023&gt;=VLOOKUP(YEAR($A1023),'Festive dates'!$A$2:$J$5,9,FALSE),$A1023&lt;=VLOOKUP(YEAR($A1023),'Festive dates'!$A$2:$J$5,10,FALSE)),1,0)</f>
        <v>0</v>
      </c>
      <c r="W1023" s="9">
        <f>IF($A1023=VLOOKUP(YEAR($A1023),'Festive dates'!$A$2:$J$5,7,FALSE),1,0)</f>
        <v>0</v>
      </c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</row>
    <row r="1024" spans="1:51">
      <c r="A1024" s="8">
        <v>46039</v>
      </c>
      <c r="B1024" s="9">
        <v>0</v>
      </c>
      <c r="C1024" s="9">
        <v>0</v>
      </c>
      <c r="D1024" s="9">
        <v>0</v>
      </c>
      <c r="E1024" s="9">
        <v>0</v>
      </c>
      <c r="F1024" s="9">
        <v>0</v>
      </c>
      <c r="G1024" s="9">
        <v>0</v>
      </c>
      <c r="H1024" s="9">
        <v>0</v>
      </c>
      <c r="I1024" s="9">
        <v>0</v>
      </c>
      <c r="J1024" s="9">
        <v>0</v>
      </c>
      <c r="K1024" s="9">
        <v>0</v>
      </c>
      <c r="L1024" s="9">
        <v>0</v>
      </c>
      <c r="M1024" s="9">
        <v>0</v>
      </c>
      <c r="N1024" s="9">
        <v>0</v>
      </c>
      <c r="O1024" s="9">
        <v>0</v>
      </c>
      <c r="P1024" s="9">
        <v>0</v>
      </c>
      <c r="Q1024" s="9">
        <f>MAX(-20,MIN(10,$A1024-VLOOKUP(YEAR($A1024),'Festive dates'!$A$2:$J$5,8,FALSE)))</f>
        <v>-20</v>
      </c>
      <c r="R1024" s="9">
        <f>IF(AND($A1024&gt;VLOOKUP(YEAR($A1024),'Festive dates'!$A$2:$J$5,2,FALSE),$A1024&lt;VLOOKUP(YEAR($A1024),'Festive dates'!$A$2:$J$5,3,FALSE)),1,0)</f>
        <v>0</v>
      </c>
      <c r="S1024" s="9">
        <f>IF($A1024=VLOOKUP(YEAR($A1024),'Festive dates'!$A$2:$J$5,2,FALSE),1,0)</f>
        <v>0</v>
      </c>
      <c r="T1024" s="9">
        <f>IF($A1024=VLOOKUP(YEAR($A1024),'Festive dates'!$A$2:$J$5,3,FALSE),1,0)</f>
        <v>0</v>
      </c>
      <c r="U1024" s="9">
        <f>IF($A1024=VLOOKUP(YEAR($A1024),'Festive dates'!$A$2:$J$5,4,FALSE),1,0)</f>
        <v>0</v>
      </c>
      <c r="V1024" s="9">
        <f>IF(AND($A1024&gt;=VLOOKUP(YEAR($A1024),'Festive dates'!$A$2:$J$5,9,FALSE),$A1024&lt;=VLOOKUP(YEAR($A1024),'Festive dates'!$A$2:$J$5,10,FALSE)),1,0)</f>
        <v>0</v>
      </c>
      <c r="W1024" s="9">
        <f>IF($A1024=VLOOKUP(YEAR($A1024),'Festive dates'!$A$2:$J$5,7,FALSE),1,0)</f>
        <v>0</v>
      </c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</row>
    <row r="1025" spans="1:51">
      <c r="A1025" s="8">
        <v>46040</v>
      </c>
      <c r="B1025" s="9">
        <v>0</v>
      </c>
      <c r="C1025" s="9">
        <v>0</v>
      </c>
      <c r="D1025" s="9">
        <v>0</v>
      </c>
      <c r="E1025" s="9">
        <v>0</v>
      </c>
      <c r="F1025" s="9">
        <v>0</v>
      </c>
      <c r="G1025" s="9">
        <v>0</v>
      </c>
      <c r="H1025" s="9">
        <v>0</v>
      </c>
      <c r="I1025" s="9">
        <v>0</v>
      </c>
      <c r="J1025" s="9">
        <v>0</v>
      </c>
      <c r="K1025" s="9">
        <v>0</v>
      </c>
      <c r="L1025" s="9">
        <v>0</v>
      </c>
      <c r="M1025" s="9">
        <v>0</v>
      </c>
      <c r="N1025" s="9">
        <v>0</v>
      </c>
      <c r="O1025" s="9">
        <v>0</v>
      </c>
      <c r="P1025" s="9">
        <v>0</v>
      </c>
      <c r="Q1025" s="9">
        <f>MAX(-20,MIN(10,$A1025-VLOOKUP(YEAR($A1025),'Festive dates'!$A$2:$J$5,8,FALSE)))</f>
        <v>-20</v>
      </c>
      <c r="R1025" s="9">
        <f>IF(AND($A1025&gt;VLOOKUP(YEAR($A1025),'Festive dates'!$A$2:$J$5,2,FALSE),$A1025&lt;VLOOKUP(YEAR($A1025),'Festive dates'!$A$2:$J$5,3,FALSE)),1,0)</f>
        <v>0</v>
      </c>
      <c r="S1025" s="9">
        <f>IF($A1025=VLOOKUP(YEAR($A1025),'Festive dates'!$A$2:$J$5,2,FALSE),1,0)</f>
        <v>0</v>
      </c>
      <c r="T1025" s="9">
        <f>IF($A1025=VLOOKUP(YEAR($A1025),'Festive dates'!$A$2:$J$5,3,FALSE),1,0)</f>
        <v>0</v>
      </c>
      <c r="U1025" s="9">
        <f>IF($A1025=VLOOKUP(YEAR($A1025),'Festive dates'!$A$2:$J$5,4,FALSE),1,0)</f>
        <v>0</v>
      </c>
      <c r="V1025" s="9">
        <f>IF(AND($A1025&gt;=VLOOKUP(YEAR($A1025),'Festive dates'!$A$2:$J$5,9,FALSE),$A1025&lt;=VLOOKUP(YEAR($A1025),'Festive dates'!$A$2:$J$5,10,FALSE)),1,0)</f>
        <v>0</v>
      </c>
      <c r="W1025" s="9">
        <f>IF($A1025=VLOOKUP(YEAR($A1025),'Festive dates'!$A$2:$J$5,7,FALSE),1,0)</f>
        <v>0</v>
      </c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</row>
    <row r="1026" spans="1:51">
      <c r="A1026" s="8">
        <v>46041</v>
      </c>
      <c r="B1026" s="9">
        <v>0</v>
      </c>
      <c r="C1026" s="9">
        <v>0</v>
      </c>
      <c r="D1026" s="9">
        <v>0</v>
      </c>
      <c r="E1026" s="9">
        <v>0</v>
      </c>
      <c r="F1026" s="9">
        <v>0</v>
      </c>
      <c r="G1026" s="9">
        <v>0</v>
      </c>
      <c r="H1026" s="9">
        <v>0</v>
      </c>
      <c r="I1026" s="9">
        <v>0</v>
      </c>
      <c r="J1026" s="9">
        <v>0</v>
      </c>
      <c r="K1026" s="9">
        <v>0</v>
      </c>
      <c r="L1026" s="9">
        <v>0</v>
      </c>
      <c r="M1026" s="9">
        <v>0</v>
      </c>
      <c r="N1026" s="9">
        <v>0</v>
      </c>
      <c r="O1026" s="9">
        <v>0</v>
      </c>
      <c r="P1026" s="9">
        <v>0</v>
      </c>
      <c r="Q1026" s="9">
        <f>MAX(-20,MIN(10,$A1026-VLOOKUP(YEAR($A1026),'Festive dates'!$A$2:$J$5,8,FALSE)))</f>
        <v>-20</v>
      </c>
      <c r="R1026" s="9">
        <f>IF(AND($A1026&gt;VLOOKUP(YEAR($A1026),'Festive dates'!$A$2:$J$5,2,FALSE),$A1026&lt;VLOOKUP(YEAR($A1026),'Festive dates'!$A$2:$J$5,3,FALSE)),1,0)</f>
        <v>0</v>
      </c>
      <c r="S1026" s="9">
        <f>IF($A1026=VLOOKUP(YEAR($A1026),'Festive dates'!$A$2:$J$5,2,FALSE),1,0)</f>
        <v>0</v>
      </c>
      <c r="T1026" s="9">
        <f>IF($A1026=VLOOKUP(YEAR($A1026),'Festive dates'!$A$2:$J$5,3,FALSE),1,0)</f>
        <v>0</v>
      </c>
      <c r="U1026" s="9">
        <f>IF($A1026=VLOOKUP(YEAR($A1026),'Festive dates'!$A$2:$J$5,4,FALSE),1,0)</f>
        <v>0</v>
      </c>
      <c r="V1026" s="9">
        <f>IF(AND($A1026&gt;=VLOOKUP(YEAR($A1026),'Festive dates'!$A$2:$J$5,9,FALSE),$A1026&lt;=VLOOKUP(YEAR($A1026),'Festive dates'!$A$2:$J$5,10,FALSE)),1,0)</f>
        <v>0</v>
      </c>
      <c r="W1026" s="9">
        <f>IF($A1026=VLOOKUP(YEAR($A1026),'Festive dates'!$A$2:$J$5,7,FALSE),1,0)</f>
        <v>0</v>
      </c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</row>
    <row r="1027" spans="1:51">
      <c r="A1027" s="8">
        <v>46042</v>
      </c>
      <c r="B1027" s="9">
        <v>0</v>
      </c>
      <c r="C1027" s="9">
        <v>0</v>
      </c>
      <c r="D1027" s="9">
        <v>0</v>
      </c>
      <c r="E1027" s="9">
        <v>0</v>
      </c>
      <c r="F1027" s="9">
        <v>0</v>
      </c>
      <c r="G1027" s="9">
        <v>0</v>
      </c>
      <c r="H1027" s="9">
        <v>0</v>
      </c>
      <c r="I1027" s="9">
        <v>0</v>
      </c>
      <c r="J1027" s="9">
        <v>0</v>
      </c>
      <c r="K1027" s="9">
        <v>0</v>
      </c>
      <c r="L1027" s="9">
        <v>0</v>
      </c>
      <c r="M1027" s="9">
        <v>0</v>
      </c>
      <c r="N1027" s="9">
        <v>0</v>
      </c>
      <c r="O1027" s="9">
        <v>0</v>
      </c>
      <c r="P1027" s="9">
        <v>0</v>
      </c>
      <c r="Q1027" s="9">
        <f>MAX(-20,MIN(10,$A1027-VLOOKUP(YEAR($A1027),'Festive dates'!$A$2:$J$5,8,FALSE)))</f>
        <v>-20</v>
      </c>
      <c r="R1027" s="9">
        <f>IF(AND($A1027&gt;VLOOKUP(YEAR($A1027),'Festive dates'!$A$2:$J$5,2,FALSE),$A1027&lt;VLOOKUP(YEAR($A1027),'Festive dates'!$A$2:$J$5,3,FALSE)),1,0)</f>
        <v>0</v>
      </c>
      <c r="S1027" s="9">
        <f>IF($A1027=VLOOKUP(YEAR($A1027),'Festive dates'!$A$2:$J$5,2,FALSE),1,0)</f>
        <v>0</v>
      </c>
      <c r="T1027" s="9">
        <f>IF($A1027=VLOOKUP(YEAR($A1027),'Festive dates'!$A$2:$J$5,3,FALSE),1,0)</f>
        <v>0</v>
      </c>
      <c r="U1027" s="9">
        <f>IF($A1027=VLOOKUP(YEAR($A1027),'Festive dates'!$A$2:$J$5,4,FALSE),1,0)</f>
        <v>0</v>
      </c>
      <c r="V1027" s="9">
        <f>IF(AND($A1027&gt;=VLOOKUP(YEAR($A1027),'Festive dates'!$A$2:$J$5,9,FALSE),$A1027&lt;=VLOOKUP(YEAR($A1027),'Festive dates'!$A$2:$J$5,10,FALSE)),1,0)</f>
        <v>0</v>
      </c>
      <c r="W1027" s="9">
        <f>IF($A1027=VLOOKUP(YEAR($A1027),'Festive dates'!$A$2:$J$5,7,FALSE),1,0)</f>
        <v>0</v>
      </c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</row>
    <row r="1028" spans="1:51">
      <c r="A1028" s="8">
        <v>46043</v>
      </c>
      <c r="B1028" s="9">
        <v>0</v>
      </c>
      <c r="C1028" s="9">
        <v>0</v>
      </c>
      <c r="D1028" s="9">
        <v>0</v>
      </c>
      <c r="E1028" s="9">
        <v>0</v>
      </c>
      <c r="F1028" s="9">
        <v>0</v>
      </c>
      <c r="G1028" s="9">
        <v>0</v>
      </c>
      <c r="H1028" s="9">
        <v>0</v>
      </c>
      <c r="I1028" s="9">
        <v>0</v>
      </c>
      <c r="J1028" s="9">
        <v>0</v>
      </c>
      <c r="K1028" s="9">
        <v>0</v>
      </c>
      <c r="L1028" s="9">
        <v>0</v>
      </c>
      <c r="M1028" s="9">
        <v>0</v>
      </c>
      <c r="N1028" s="9">
        <v>0</v>
      </c>
      <c r="O1028" s="9">
        <v>0</v>
      </c>
      <c r="P1028" s="9">
        <v>0</v>
      </c>
      <c r="Q1028" s="9">
        <f>MAX(-20,MIN(10,$A1028-VLOOKUP(YEAR($A1028),'Festive dates'!$A$2:$J$5,8,FALSE)))</f>
        <v>-20</v>
      </c>
      <c r="R1028" s="9">
        <f>IF(AND($A1028&gt;VLOOKUP(YEAR($A1028),'Festive dates'!$A$2:$J$5,2,FALSE),$A1028&lt;VLOOKUP(YEAR($A1028),'Festive dates'!$A$2:$J$5,3,FALSE)),1,0)</f>
        <v>0</v>
      </c>
      <c r="S1028" s="9">
        <f>IF($A1028=VLOOKUP(YEAR($A1028),'Festive dates'!$A$2:$J$5,2,FALSE),1,0)</f>
        <v>0</v>
      </c>
      <c r="T1028" s="9">
        <f>IF($A1028=VLOOKUP(YEAR($A1028),'Festive dates'!$A$2:$J$5,3,FALSE),1,0)</f>
        <v>0</v>
      </c>
      <c r="U1028" s="9">
        <f>IF($A1028=VLOOKUP(YEAR($A1028),'Festive dates'!$A$2:$J$5,4,FALSE),1,0)</f>
        <v>0</v>
      </c>
      <c r="V1028" s="9">
        <f>IF(AND($A1028&gt;=VLOOKUP(YEAR($A1028),'Festive dates'!$A$2:$J$5,9,FALSE),$A1028&lt;=VLOOKUP(YEAR($A1028),'Festive dates'!$A$2:$J$5,10,FALSE)),1,0)</f>
        <v>0</v>
      </c>
      <c r="W1028" s="9">
        <f>IF($A1028=VLOOKUP(YEAR($A1028),'Festive dates'!$A$2:$J$5,7,FALSE),1,0)</f>
        <v>0</v>
      </c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</row>
    <row r="1029" spans="1:51">
      <c r="A1029" s="8">
        <v>46044</v>
      </c>
      <c r="B1029" s="9">
        <v>0</v>
      </c>
      <c r="C1029" s="9">
        <v>0</v>
      </c>
      <c r="D1029" s="9">
        <v>0</v>
      </c>
      <c r="E1029" s="9">
        <v>0</v>
      </c>
      <c r="F1029" s="9">
        <v>0</v>
      </c>
      <c r="G1029" s="9">
        <v>0</v>
      </c>
      <c r="H1029" s="9">
        <v>0</v>
      </c>
      <c r="I1029" s="9">
        <v>0</v>
      </c>
      <c r="J1029" s="9">
        <v>0</v>
      </c>
      <c r="K1029" s="9">
        <v>0</v>
      </c>
      <c r="L1029" s="9">
        <v>0</v>
      </c>
      <c r="M1029" s="9">
        <v>0</v>
      </c>
      <c r="N1029" s="9">
        <v>0</v>
      </c>
      <c r="O1029" s="9">
        <v>0</v>
      </c>
      <c r="P1029" s="9">
        <v>0</v>
      </c>
      <c r="Q1029" s="9">
        <f>MAX(-20,MIN(10,$A1029-VLOOKUP(YEAR($A1029),'Festive dates'!$A$2:$J$5,8,FALSE)))</f>
        <v>-20</v>
      </c>
      <c r="R1029" s="9">
        <f>IF(AND($A1029&gt;VLOOKUP(YEAR($A1029),'Festive dates'!$A$2:$J$5,2,FALSE),$A1029&lt;VLOOKUP(YEAR($A1029),'Festive dates'!$A$2:$J$5,3,FALSE)),1,0)</f>
        <v>0</v>
      </c>
      <c r="S1029" s="9">
        <f>IF($A1029=VLOOKUP(YEAR($A1029),'Festive dates'!$A$2:$J$5,2,FALSE),1,0)</f>
        <v>0</v>
      </c>
      <c r="T1029" s="9">
        <f>IF($A1029=VLOOKUP(YEAR($A1029),'Festive dates'!$A$2:$J$5,3,FALSE),1,0)</f>
        <v>0</v>
      </c>
      <c r="U1029" s="9">
        <f>IF($A1029=VLOOKUP(YEAR($A1029),'Festive dates'!$A$2:$J$5,4,FALSE),1,0)</f>
        <v>0</v>
      </c>
      <c r="V1029" s="9">
        <f>IF(AND($A1029&gt;=VLOOKUP(YEAR($A1029),'Festive dates'!$A$2:$J$5,9,FALSE),$A1029&lt;=VLOOKUP(YEAR($A1029),'Festive dates'!$A$2:$J$5,10,FALSE)),1,0)</f>
        <v>0</v>
      </c>
      <c r="W1029" s="9">
        <f>IF($A1029=VLOOKUP(YEAR($A1029),'Festive dates'!$A$2:$J$5,7,FALSE),1,0)</f>
        <v>0</v>
      </c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</row>
    <row r="1030" spans="1:51">
      <c r="A1030" s="8">
        <v>46045</v>
      </c>
      <c r="B1030" s="9">
        <v>0</v>
      </c>
      <c r="C1030" s="9">
        <v>0</v>
      </c>
      <c r="D1030" s="9">
        <v>0</v>
      </c>
      <c r="E1030" s="9">
        <v>0</v>
      </c>
      <c r="F1030" s="9">
        <v>0</v>
      </c>
      <c r="G1030" s="9">
        <v>0</v>
      </c>
      <c r="H1030" s="9">
        <v>0</v>
      </c>
      <c r="I1030" s="9">
        <v>0</v>
      </c>
      <c r="J1030" s="9">
        <v>0</v>
      </c>
      <c r="K1030" s="9">
        <v>0</v>
      </c>
      <c r="L1030" s="9">
        <v>0</v>
      </c>
      <c r="M1030" s="9">
        <v>0</v>
      </c>
      <c r="N1030" s="9">
        <v>0</v>
      </c>
      <c r="O1030" s="9">
        <v>0</v>
      </c>
      <c r="P1030" s="9">
        <v>0</v>
      </c>
      <c r="Q1030" s="9">
        <f>MAX(-20,MIN(10,$A1030-VLOOKUP(YEAR($A1030),'Festive dates'!$A$2:$J$5,8,FALSE)))</f>
        <v>-20</v>
      </c>
      <c r="R1030" s="9">
        <f>IF(AND($A1030&gt;VLOOKUP(YEAR($A1030),'Festive dates'!$A$2:$J$5,2,FALSE),$A1030&lt;VLOOKUP(YEAR($A1030),'Festive dates'!$A$2:$J$5,3,FALSE)),1,0)</f>
        <v>0</v>
      </c>
      <c r="S1030" s="9">
        <f>IF($A1030=VLOOKUP(YEAR($A1030),'Festive dates'!$A$2:$J$5,2,FALSE),1,0)</f>
        <v>0</v>
      </c>
      <c r="T1030" s="9">
        <f>IF($A1030=VLOOKUP(YEAR($A1030),'Festive dates'!$A$2:$J$5,3,FALSE),1,0)</f>
        <v>0</v>
      </c>
      <c r="U1030" s="9">
        <f>IF($A1030=VLOOKUP(YEAR($A1030),'Festive dates'!$A$2:$J$5,4,FALSE),1,0)</f>
        <v>0</v>
      </c>
      <c r="V1030" s="9">
        <f>IF(AND($A1030&gt;=VLOOKUP(YEAR($A1030),'Festive dates'!$A$2:$J$5,9,FALSE),$A1030&lt;=VLOOKUP(YEAR($A1030),'Festive dates'!$A$2:$J$5,10,FALSE)),1,0)</f>
        <v>0</v>
      </c>
      <c r="W1030" s="9">
        <f>IF($A1030=VLOOKUP(YEAR($A1030),'Festive dates'!$A$2:$J$5,7,FALSE),1,0)</f>
        <v>0</v>
      </c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</row>
    <row r="1031" spans="1:51">
      <c r="A1031" s="8">
        <v>46046</v>
      </c>
      <c r="B1031" s="9">
        <v>0</v>
      </c>
      <c r="C1031" s="9">
        <v>0</v>
      </c>
      <c r="D1031" s="9">
        <v>0</v>
      </c>
      <c r="E1031" s="9">
        <v>0</v>
      </c>
      <c r="F1031" s="9">
        <v>0</v>
      </c>
      <c r="G1031" s="9">
        <v>0</v>
      </c>
      <c r="H1031" s="9">
        <v>0</v>
      </c>
      <c r="I1031" s="9">
        <v>0</v>
      </c>
      <c r="J1031" s="9">
        <v>0</v>
      </c>
      <c r="K1031" s="9">
        <v>0</v>
      </c>
      <c r="L1031" s="9">
        <v>0</v>
      </c>
      <c r="M1031" s="9">
        <v>0</v>
      </c>
      <c r="N1031" s="9">
        <v>0</v>
      </c>
      <c r="O1031" s="9">
        <v>0</v>
      </c>
      <c r="P1031" s="9">
        <v>0</v>
      </c>
      <c r="Q1031" s="9">
        <f>MAX(-20,MIN(10,$A1031-VLOOKUP(YEAR($A1031),'Festive dates'!$A$2:$J$5,8,FALSE)))</f>
        <v>-20</v>
      </c>
      <c r="R1031" s="9">
        <f>IF(AND($A1031&gt;VLOOKUP(YEAR($A1031),'Festive dates'!$A$2:$J$5,2,FALSE),$A1031&lt;VLOOKUP(YEAR($A1031),'Festive dates'!$A$2:$J$5,3,FALSE)),1,0)</f>
        <v>0</v>
      </c>
      <c r="S1031" s="9">
        <f>IF($A1031=VLOOKUP(YEAR($A1031),'Festive dates'!$A$2:$J$5,2,FALSE),1,0)</f>
        <v>0</v>
      </c>
      <c r="T1031" s="9">
        <f>IF($A1031=VLOOKUP(YEAR($A1031),'Festive dates'!$A$2:$J$5,3,FALSE),1,0)</f>
        <v>0</v>
      </c>
      <c r="U1031" s="9">
        <f>IF($A1031=VLOOKUP(YEAR($A1031),'Festive dates'!$A$2:$J$5,4,FALSE),1,0)</f>
        <v>0</v>
      </c>
      <c r="V1031" s="9">
        <f>IF(AND($A1031&gt;=VLOOKUP(YEAR($A1031),'Festive dates'!$A$2:$J$5,9,FALSE),$A1031&lt;=VLOOKUP(YEAR($A1031),'Festive dates'!$A$2:$J$5,10,FALSE)),1,0)</f>
        <v>0</v>
      </c>
      <c r="W1031" s="9">
        <f>IF($A1031=VLOOKUP(YEAR($A1031),'Festive dates'!$A$2:$J$5,7,FALSE),1,0)</f>
        <v>0</v>
      </c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</row>
    <row r="1032" spans="1:51">
      <c r="A1032" s="8">
        <v>46047</v>
      </c>
      <c r="B1032" s="9">
        <v>0</v>
      </c>
      <c r="C1032" s="9">
        <v>0</v>
      </c>
      <c r="D1032" s="9">
        <v>0</v>
      </c>
      <c r="E1032" s="9">
        <v>0</v>
      </c>
      <c r="F1032" s="9">
        <v>0</v>
      </c>
      <c r="G1032" s="9">
        <v>0</v>
      </c>
      <c r="H1032" s="9">
        <v>0</v>
      </c>
      <c r="I1032" s="9">
        <v>0</v>
      </c>
      <c r="J1032" s="9">
        <v>0</v>
      </c>
      <c r="K1032" s="9">
        <v>0</v>
      </c>
      <c r="L1032" s="9">
        <v>0</v>
      </c>
      <c r="M1032" s="9">
        <v>0</v>
      </c>
      <c r="N1032" s="9">
        <v>0</v>
      </c>
      <c r="O1032" s="9">
        <v>0</v>
      </c>
      <c r="P1032" s="9">
        <v>0</v>
      </c>
      <c r="Q1032" s="9">
        <f>MAX(-20,MIN(10,$A1032-VLOOKUP(YEAR($A1032),'Festive dates'!$A$2:$J$5,8,FALSE)))</f>
        <v>-20</v>
      </c>
      <c r="R1032" s="9">
        <f>IF(AND($A1032&gt;VLOOKUP(YEAR($A1032),'Festive dates'!$A$2:$J$5,2,FALSE),$A1032&lt;VLOOKUP(YEAR($A1032),'Festive dates'!$A$2:$J$5,3,FALSE)),1,0)</f>
        <v>0</v>
      </c>
      <c r="S1032" s="9">
        <f>IF($A1032=VLOOKUP(YEAR($A1032),'Festive dates'!$A$2:$J$5,2,FALSE),1,0)</f>
        <v>0</v>
      </c>
      <c r="T1032" s="9">
        <f>IF($A1032=VLOOKUP(YEAR($A1032),'Festive dates'!$A$2:$J$5,3,FALSE),1,0)</f>
        <v>0</v>
      </c>
      <c r="U1032" s="9">
        <f>IF($A1032=VLOOKUP(YEAR($A1032),'Festive dates'!$A$2:$J$5,4,FALSE),1,0)</f>
        <v>0</v>
      </c>
      <c r="V1032" s="9">
        <f>IF(AND($A1032&gt;=VLOOKUP(YEAR($A1032),'Festive dates'!$A$2:$J$5,9,FALSE),$A1032&lt;=VLOOKUP(YEAR($A1032),'Festive dates'!$A$2:$J$5,10,FALSE)),1,0)</f>
        <v>0</v>
      </c>
      <c r="W1032" s="9">
        <f>IF($A1032=VLOOKUP(YEAR($A1032),'Festive dates'!$A$2:$J$5,7,FALSE),1,0)</f>
        <v>0</v>
      </c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</row>
    <row r="1033" spans="1:51">
      <c r="A1033" s="8">
        <v>46048</v>
      </c>
      <c r="B1033" s="9">
        <v>0</v>
      </c>
      <c r="C1033" s="9">
        <v>0</v>
      </c>
      <c r="D1033" s="9">
        <v>0</v>
      </c>
      <c r="E1033" s="9">
        <v>0</v>
      </c>
      <c r="F1033" s="9">
        <v>0</v>
      </c>
      <c r="G1033" s="9">
        <v>0</v>
      </c>
      <c r="H1033" s="9">
        <v>0</v>
      </c>
      <c r="I1033" s="9">
        <v>0</v>
      </c>
      <c r="J1033" s="9">
        <v>0</v>
      </c>
      <c r="K1033" s="9">
        <v>0</v>
      </c>
      <c r="L1033" s="9">
        <v>0</v>
      </c>
      <c r="M1033" s="9">
        <v>0</v>
      </c>
      <c r="N1033" s="9">
        <v>0</v>
      </c>
      <c r="O1033" s="9">
        <v>0</v>
      </c>
      <c r="P1033" s="9">
        <v>0</v>
      </c>
      <c r="Q1033" s="9">
        <f>MAX(-20,MIN(10,$A1033-VLOOKUP(YEAR($A1033),'Festive dates'!$A$2:$J$5,8,FALSE)))</f>
        <v>-20</v>
      </c>
      <c r="R1033" s="9">
        <f>IF(AND($A1033&gt;VLOOKUP(YEAR($A1033),'Festive dates'!$A$2:$J$5,2,FALSE),$A1033&lt;VLOOKUP(YEAR($A1033),'Festive dates'!$A$2:$J$5,3,FALSE)),1,0)</f>
        <v>0</v>
      </c>
      <c r="S1033" s="9">
        <f>IF($A1033=VLOOKUP(YEAR($A1033),'Festive dates'!$A$2:$J$5,2,FALSE),1,0)</f>
        <v>0</v>
      </c>
      <c r="T1033" s="9">
        <f>IF($A1033=VLOOKUP(YEAR($A1033),'Festive dates'!$A$2:$J$5,3,FALSE),1,0)</f>
        <v>0</v>
      </c>
      <c r="U1033" s="9">
        <f>IF($A1033=VLOOKUP(YEAR($A1033),'Festive dates'!$A$2:$J$5,4,FALSE),1,0)</f>
        <v>0</v>
      </c>
      <c r="V1033" s="9">
        <f>IF(AND($A1033&gt;=VLOOKUP(YEAR($A1033),'Festive dates'!$A$2:$J$5,9,FALSE),$A1033&lt;=VLOOKUP(YEAR($A1033),'Festive dates'!$A$2:$J$5,10,FALSE)),1,0)</f>
        <v>0</v>
      </c>
      <c r="W1033" s="9">
        <f>IF($A1033=VLOOKUP(YEAR($A1033),'Festive dates'!$A$2:$J$5,7,FALSE),1,0)</f>
        <v>0</v>
      </c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</row>
    <row r="1034" spans="1:51">
      <c r="A1034" s="8">
        <v>46049</v>
      </c>
      <c r="B1034" s="9">
        <v>0</v>
      </c>
      <c r="C1034" s="9">
        <v>0</v>
      </c>
      <c r="D1034" s="9">
        <v>0</v>
      </c>
      <c r="E1034" s="9">
        <v>0</v>
      </c>
      <c r="F1034" s="9">
        <v>0</v>
      </c>
      <c r="G1034" s="9">
        <v>0</v>
      </c>
      <c r="H1034" s="9">
        <v>0</v>
      </c>
      <c r="I1034" s="9">
        <v>0</v>
      </c>
      <c r="J1034" s="9">
        <v>0</v>
      </c>
      <c r="K1034" s="9">
        <v>0</v>
      </c>
      <c r="L1034" s="9">
        <v>0</v>
      </c>
      <c r="M1034" s="9">
        <v>0</v>
      </c>
      <c r="N1034" s="9">
        <v>0</v>
      </c>
      <c r="O1034" s="9">
        <v>0</v>
      </c>
      <c r="P1034" s="9">
        <v>0</v>
      </c>
      <c r="Q1034" s="9">
        <f>MAX(-20,MIN(10,$A1034-VLOOKUP(YEAR($A1034),'Festive dates'!$A$2:$J$5,8,FALSE)))</f>
        <v>-20</v>
      </c>
      <c r="R1034" s="9">
        <f>IF(AND($A1034&gt;VLOOKUP(YEAR($A1034),'Festive dates'!$A$2:$J$5,2,FALSE),$A1034&lt;VLOOKUP(YEAR($A1034),'Festive dates'!$A$2:$J$5,3,FALSE)),1,0)</f>
        <v>0</v>
      </c>
      <c r="S1034" s="9">
        <f>IF($A1034=VLOOKUP(YEAR($A1034),'Festive dates'!$A$2:$J$5,2,FALSE),1,0)</f>
        <v>0</v>
      </c>
      <c r="T1034" s="9">
        <f>IF($A1034=VLOOKUP(YEAR($A1034),'Festive dates'!$A$2:$J$5,3,FALSE),1,0)</f>
        <v>0</v>
      </c>
      <c r="U1034" s="9">
        <f>IF($A1034=VLOOKUP(YEAR($A1034),'Festive dates'!$A$2:$J$5,4,FALSE),1,0)</f>
        <v>0</v>
      </c>
      <c r="V1034" s="9">
        <f>IF(AND($A1034&gt;=VLOOKUP(YEAR($A1034),'Festive dates'!$A$2:$J$5,9,FALSE),$A1034&lt;=VLOOKUP(YEAR($A1034),'Festive dates'!$A$2:$J$5,10,FALSE)),1,0)</f>
        <v>0</v>
      </c>
      <c r="W1034" s="9">
        <f>IF($A1034=VLOOKUP(YEAR($A1034),'Festive dates'!$A$2:$J$5,7,FALSE),1,0)</f>
        <v>0</v>
      </c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</row>
    <row r="1035" spans="1:51">
      <c r="A1035" s="8">
        <v>46050</v>
      </c>
      <c r="B1035" s="9">
        <v>0</v>
      </c>
      <c r="C1035" s="9">
        <v>0</v>
      </c>
      <c r="D1035" s="9">
        <v>0</v>
      </c>
      <c r="E1035" s="9">
        <v>0</v>
      </c>
      <c r="F1035" s="9">
        <v>0</v>
      </c>
      <c r="G1035" s="9">
        <v>0</v>
      </c>
      <c r="H1035" s="9">
        <v>0</v>
      </c>
      <c r="I1035" s="9">
        <v>0</v>
      </c>
      <c r="J1035" s="9">
        <v>0</v>
      </c>
      <c r="K1035" s="9">
        <v>0</v>
      </c>
      <c r="L1035" s="9">
        <v>0</v>
      </c>
      <c r="M1035" s="9">
        <v>0</v>
      </c>
      <c r="N1035" s="9">
        <v>0</v>
      </c>
      <c r="O1035" s="9">
        <v>0</v>
      </c>
      <c r="P1035" s="9">
        <v>0</v>
      </c>
      <c r="Q1035" s="9">
        <f>MAX(-20,MIN(10,$A1035-VLOOKUP(YEAR($A1035),'Festive dates'!$A$2:$J$5,8,FALSE)))</f>
        <v>-20</v>
      </c>
      <c r="R1035" s="9">
        <f>IF(AND($A1035&gt;VLOOKUP(YEAR($A1035),'Festive dates'!$A$2:$J$5,2,FALSE),$A1035&lt;VLOOKUP(YEAR($A1035),'Festive dates'!$A$2:$J$5,3,FALSE)),1,0)</f>
        <v>0</v>
      </c>
      <c r="S1035" s="9">
        <f>IF($A1035=VLOOKUP(YEAR($A1035),'Festive dates'!$A$2:$J$5,2,FALSE),1,0)</f>
        <v>0</v>
      </c>
      <c r="T1035" s="9">
        <f>IF($A1035=VLOOKUP(YEAR($A1035),'Festive dates'!$A$2:$J$5,3,FALSE),1,0)</f>
        <v>0</v>
      </c>
      <c r="U1035" s="9">
        <f>IF($A1035=VLOOKUP(YEAR($A1035),'Festive dates'!$A$2:$J$5,4,FALSE),1,0)</f>
        <v>0</v>
      </c>
      <c r="V1035" s="9">
        <f>IF(AND($A1035&gt;=VLOOKUP(YEAR($A1035),'Festive dates'!$A$2:$J$5,9,FALSE),$A1035&lt;=VLOOKUP(YEAR($A1035),'Festive dates'!$A$2:$J$5,10,FALSE)),1,0)</f>
        <v>0</v>
      </c>
      <c r="W1035" s="9">
        <f>IF($A1035=VLOOKUP(YEAR($A1035),'Festive dates'!$A$2:$J$5,7,FALSE),1,0)</f>
        <v>0</v>
      </c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</row>
    <row r="1036" spans="1:51">
      <c r="A1036" s="8">
        <v>46051</v>
      </c>
      <c r="B1036" s="9">
        <v>0</v>
      </c>
      <c r="C1036" s="9">
        <v>0</v>
      </c>
      <c r="D1036" s="9">
        <v>0</v>
      </c>
      <c r="E1036" s="9">
        <v>0</v>
      </c>
      <c r="F1036" s="9">
        <v>0</v>
      </c>
      <c r="G1036" s="9">
        <v>0</v>
      </c>
      <c r="H1036" s="9">
        <v>0</v>
      </c>
      <c r="I1036" s="9">
        <v>0</v>
      </c>
      <c r="J1036" s="9">
        <v>0</v>
      </c>
      <c r="K1036" s="9">
        <v>0</v>
      </c>
      <c r="L1036" s="9">
        <v>0</v>
      </c>
      <c r="M1036" s="9">
        <v>0</v>
      </c>
      <c r="N1036" s="9">
        <v>0</v>
      </c>
      <c r="O1036" s="9">
        <v>0</v>
      </c>
      <c r="P1036" s="9">
        <v>1</v>
      </c>
      <c r="Q1036" s="9">
        <f>MAX(-20,MIN(10,$A1036-VLOOKUP(YEAR($A1036),'Festive dates'!$A$2:$J$5,8,FALSE)))</f>
        <v>-20</v>
      </c>
      <c r="R1036" s="9">
        <f>IF(AND($A1036&gt;VLOOKUP(YEAR($A1036),'Festive dates'!$A$2:$J$5,2,FALSE),$A1036&lt;VLOOKUP(YEAR($A1036),'Festive dates'!$A$2:$J$5,3,FALSE)),1,0)</f>
        <v>0</v>
      </c>
      <c r="S1036" s="9">
        <f>IF($A1036=VLOOKUP(YEAR($A1036),'Festive dates'!$A$2:$J$5,2,FALSE),1,0)</f>
        <v>0</v>
      </c>
      <c r="T1036" s="9">
        <f>IF($A1036=VLOOKUP(YEAR($A1036),'Festive dates'!$A$2:$J$5,3,FALSE),1,0)</f>
        <v>0</v>
      </c>
      <c r="U1036" s="9">
        <f>IF($A1036=VLOOKUP(YEAR($A1036),'Festive dates'!$A$2:$J$5,4,FALSE),1,0)</f>
        <v>0</v>
      </c>
      <c r="V1036" s="9">
        <f>IF(AND($A1036&gt;=VLOOKUP(YEAR($A1036),'Festive dates'!$A$2:$J$5,9,FALSE),$A1036&lt;=VLOOKUP(YEAR($A1036),'Festive dates'!$A$2:$J$5,10,FALSE)),1,0)</f>
        <v>0</v>
      </c>
      <c r="W1036" s="9">
        <f>IF($A1036=VLOOKUP(YEAR($A1036),'Festive dates'!$A$2:$J$5,7,FALSE),1,0)</f>
        <v>0</v>
      </c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</row>
    <row r="1037" spans="1:51">
      <c r="A1037" s="8">
        <v>46052</v>
      </c>
      <c r="B1037" s="9">
        <v>0</v>
      </c>
      <c r="C1037" s="9">
        <v>0</v>
      </c>
      <c r="D1037" s="9">
        <v>0</v>
      </c>
      <c r="E1037" s="9">
        <v>0</v>
      </c>
      <c r="F1037" s="9">
        <v>0</v>
      </c>
      <c r="G1037" s="9">
        <v>0</v>
      </c>
      <c r="H1037" s="9">
        <v>0</v>
      </c>
      <c r="I1037" s="9">
        <v>0</v>
      </c>
      <c r="J1037" s="9">
        <v>0</v>
      </c>
      <c r="K1037" s="9">
        <v>0</v>
      </c>
      <c r="L1037" s="9">
        <v>0</v>
      </c>
      <c r="M1037" s="9">
        <v>0</v>
      </c>
      <c r="N1037" s="9">
        <v>0</v>
      </c>
      <c r="O1037" s="9">
        <v>0</v>
      </c>
      <c r="P1037" s="9">
        <v>1</v>
      </c>
      <c r="Q1037" s="9">
        <f>MAX(-20,MIN(10,$A1037-VLOOKUP(YEAR($A1037),'Festive dates'!$A$2:$J$5,8,FALSE)))</f>
        <v>-20</v>
      </c>
      <c r="R1037" s="9">
        <f>IF(AND($A1037&gt;VLOOKUP(YEAR($A1037),'Festive dates'!$A$2:$J$5,2,FALSE),$A1037&lt;VLOOKUP(YEAR($A1037),'Festive dates'!$A$2:$J$5,3,FALSE)),1,0)</f>
        <v>0</v>
      </c>
      <c r="S1037" s="9">
        <f>IF($A1037=VLOOKUP(YEAR($A1037),'Festive dates'!$A$2:$J$5,2,FALSE),1,0)</f>
        <v>0</v>
      </c>
      <c r="T1037" s="9">
        <f>IF($A1037=VLOOKUP(YEAR($A1037),'Festive dates'!$A$2:$J$5,3,FALSE),1,0)</f>
        <v>0</v>
      </c>
      <c r="U1037" s="9">
        <f>IF($A1037=VLOOKUP(YEAR($A1037),'Festive dates'!$A$2:$J$5,4,FALSE),1,0)</f>
        <v>0</v>
      </c>
      <c r="V1037" s="9">
        <f>IF(AND($A1037&gt;=VLOOKUP(YEAR($A1037),'Festive dates'!$A$2:$J$5,9,FALSE),$A1037&lt;=VLOOKUP(YEAR($A1037),'Festive dates'!$A$2:$J$5,10,FALSE)),1,0)</f>
        <v>0</v>
      </c>
      <c r="W1037" s="9">
        <f>IF($A1037=VLOOKUP(YEAR($A1037),'Festive dates'!$A$2:$J$5,7,FALSE),1,0)</f>
        <v>0</v>
      </c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</row>
    <row r="1038" spans="1:51">
      <c r="A1038" s="8">
        <v>46053</v>
      </c>
      <c r="B1038" s="9">
        <v>0</v>
      </c>
      <c r="C1038" s="9">
        <v>0</v>
      </c>
      <c r="D1038" s="9">
        <v>0</v>
      </c>
      <c r="E1038" s="9">
        <v>0</v>
      </c>
      <c r="F1038" s="9">
        <v>0</v>
      </c>
      <c r="G1038" s="9">
        <v>0</v>
      </c>
      <c r="H1038" s="9">
        <v>0</v>
      </c>
      <c r="I1038" s="9">
        <v>0</v>
      </c>
      <c r="J1038" s="9">
        <v>0</v>
      </c>
      <c r="K1038" s="9">
        <v>0</v>
      </c>
      <c r="L1038" s="9">
        <v>0</v>
      </c>
      <c r="M1038" s="9">
        <v>0</v>
      </c>
      <c r="N1038" s="9">
        <v>0</v>
      </c>
      <c r="O1038" s="9">
        <v>0</v>
      </c>
      <c r="P1038" s="9">
        <v>0</v>
      </c>
      <c r="Q1038" s="9">
        <f>MAX(-20,MIN(10,$A1038-VLOOKUP(YEAR($A1038),'Festive dates'!$A$2:$J$5,8,FALSE)))</f>
        <v>-20</v>
      </c>
      <c r="R1038" s="9">
        <f>IF(AND($A1038&gt;VLOOKUP(YEAR($A1038),'Festive dates'!$A$2:$J$5,2,FALSE),$A1038&lt;VLOOKUP(YEAR($A1038),'Festive dates'!$A$2:$J$5,3,FALSE)),1,0)</f>
        <v>0</v>
      </c>
      <c r="S1038" s="9">
        <f>IF($A1038=VLOOKUP(YEAR($A1038),'Festive dates'!$A$2:$J$5,2,FALSE),1,0)</f>
        <v>0</v>
      </c>
      <c r="T1038" s="9">
        <f>IF($A1038=VLOOKUP(YEAR($A1038),'Festive dates'!$A$2:$J$5,3,FALSE),1,0)</f>
        <v>0</v>
      </c>
      <c r="U1038" s="9">
        <f>IF($A1038=VLOOKUP(YEAR($A1038),'Festive dates'!$A$2:$J$5,4,FALSE),1,0)</f>
        <v>0</v>
      </c>
      <c r="V1038" s="9">
        <f>IF(AND($A1038&gt;=VLOOKUP(YEAR($A1038),'Festive dates'!$A$2:$J$5,9,FALSE),$A1038&lt;=VLOOKUP(YEAR($A1038),'Festive dates'!$A$2:$J$5,10,FALSE)),1,0)</f>
        <v>0</v>
      </c>
      <c r="W1038" s="9">
        <f>IF($A1038=VLOOKUP(YEAR($A1038),'Festive dates'!$A$2:$J$5,7,FALSE),1,0)</f>
        <v>0</v>
      </c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</row>
    <row r="1039" spans="1:51">
      <c r="A1039" s="8">
        <v>46054</v>
      </c>
      <c r="B1039" s="9">
        <v>0</v>
      </c>
      <c r="C1039" s="9">
        <v>0</v>
      </c>
      <c r="D1039" s="9">
        <v>0</v>
      </c>
      <c r="E1039" s="9">
        <v>0</v>
      </c>
      <c r="F1039" s="9">
        <v>0</v>
      </c>
      <c r="G1039" s="9">
        <v>0</v>
      </c>
      <c r="H1039" s="9">
        <v>0</v>
      </c>
      <c r="I1039" s="9">
        <v>0</v>
      </c>
      <c r="J1039" s="9">
        <v>0</v>
      </c>
      <c r="K1039" s="9">
        <v>0</v>
      </c>
      <c r="L1039" s="9">
        <v>0</v>
      </c>
      <c r="M1039" s="9">
        <v>0</v>
      </c>
      <c r="N1039" s="9">
        <v>0</v>
      </c>
      <c r="O1039" s="9">
        <v>0</v>
      </c>
      <c r="P1039" s="9">
        <v>1</v>
      </c>
      <c r="Q1039" s="9">
        <f>MAX(-20,MIN(10,$A1039-VLOOKUP(YEAR($A1039),'Festive dates'!$A$2:$J$5,8,FALSE)))</f>
        <v>-20</v>
      </c>
      <c r="R1039" s="9">
        <f>IF(AND($A1039&gt;VLOOKUP(YEAR($A1039),'Festive dates'!$A$2:$J$5,2,FALSE),$A1039&lt;VLOOKUP(YEAR($A1039),'Festive dates'!$A$2:$J$5,3,FALSE)),1,0)</f>
        <v>0</v>
      </c>
      <c r="S1039" s="9">
        <f>IF($A1039=VLOOKUP(YEAR($A1039),'Festive dates'!$A$2:$J$5,2,FALSE),1,0)</f>
        <v>0</v>
      </c>
      <c r="T1039" s="9">
        <f>IF($A1039=VLOOKUP(YEAR($A1039),'Festive dates'!$A$2:$J$5,3,FALSE),1,0)</f>
        <v>0</v>
      </c>
      <c r="U1039" s="9">
        <f>IF($A1039=VLOOKUP(YEAR($A1039),'Festive dates'!$A$2:$J$5,4,FALSE),1,0)</f>
        <v>0</v>
      </c>
      <c r="V1039" s="9">
        <f>IF(AND($A1039&gt;=VLOOKUP(YEAR($A1039),'Festive dates'!$A$2:$J$5,9,FALSE),$A1039&lt;=VLOOKUP(YEAR($A1039),'Festive dates'!$A$2:$J$5,10,FALSE)),1,0)</f>
        <v>0</v>
      </c>
      <c r="W1039" s="9">
        <f>IF($A1039=VLOOKUP(YEAR($A1039),'Festive dates'!$A$2:$J$5,7,FALSE),1,0)</f>
        <v>0</v>
      </c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</row>
    <row r="1040" spans="1:51">
      <c r="A1040" s="8">
        <v>46055</v>
      </c>
      <c r="B1040" s="9">
        <v>0</v>
      </c>
      <c r="C1040" s="9">
        <v>0</v>
      </c>
      <c r="D1040" s="9">
        <v>0</v>
      </c>
      <c r="E1040" s="9">
        <v>0</v>
      </c>
      <c r="F1040" s="9">
        <v>0</v>
      </c>
      <c r="G1040" s="9">
        <v>0</v>
      </c>
      <c r="H1040" s="9">
        <v>0</v>
      </c>
      <c r="I1040" s="9">
        <v>0</v>
      </c>
      <c r="J1040" s="9">
        <v>0</v>
      </c>
      <c r="K1040" s="9">
        <v>0</v>
      </c>
      <c r="L1040" s="9">
        <v>0</v>
      </c>
      <c r="M1040" s="9">
        <v>0</v>
      </c>
      <c r="N1040" s="9">
        <v>0</v>
      </c>
      <c r="O1040" s="9">
        <v>0</v>
      </c>
      <c r="P1040" s="9">
        <v>0</v>
      </c>
      <c r="Q1040" s="9">
        <f>MAX(-20,MIN(10,$A1040-VLOOKUP(YEAR($A1040),'Festive dates'!$A$2:$J$5,8,FALSE)))</f>
        <v>-20</v>
      </c>
      <c r="R1040" s="9">
        <f>IF(AND($A1040&gt;VLOOKUP(YEAR($A1040),'Festive dates'!$A$2:$J$5,2,FALSE),$A1040&lt;VLOOKUP(YEAR($A1040),'Festive dates'!$A$2:$J$5,3,FALSE)),1,0)</f>
        <v>0</v>
      </c>
      <c r="S1040" s="9">
        <f>IF($A1040=VLOOKUP(YEAR($A1040),'Festive dates'!$A$2:$J$5,2,FALSE),1,0)</f>
        <v>0</v>
      </c>
      <c r="T1040" s="9">
        <f>IF($A1040=VLOOKUP(YEAR($A1040),'Festive dates'!$A$2:$J$5,3,FALSE),1,0)</f>
        <v>0</v>
      </c>
      <c r="U1040" s="9">
        <f>IF($A1040=VLOOKUP(YEAR($A1040),'Festive dates'!$A$2:$J$5,4,FALSE),1,0)</f>
        <v>0</v>
      </c>
      <c r="V1040" s="9">
        <f>IF(AND($A1040&gt;=VLOOKUP(YEAR($A1040),'Festive dates'!$A$2:$J$5,9,FALSE),$A1040&lt;=VLOOKUP(YEAR($A1040),'Festive dates'!$A$2:$J$5,10,FALSE)),1,0)</f>
        <v>0</v>
      </c>
      <c r="W1040" s="9">
        <f>IF($A1040=VLOOKUP(YEAR($A1040),'Festive dates'!$A$2:$J$5,7,FALSE),1,0)</f>
        <v>0</v>
      </c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</row>
    <row r="1041" spans="1:51">
      <c r="A1041" s="8">
        <v>46056</v>
      </c>
      <c r="B1041" s="9">
        <v>0</v>
      </c>
      <c r="C1041" s="9">
        <v>0</v>
      </c>
      <c r="D1041" s="9">
        <v>0</v>
      </c>
      <c r="E1041" s="9">
        <v>0</v>
      </c>
      <c r="F1041" s="9">
        <v>0</v>
      </c>
      <c r="G1041" s="9">
        <v>0</v>
      </c>
      <c r="H1041" s="9">
        <v>0</v>
      </c>
      <c r="I1041" s="9">
        <v>0</v>
      </c>
      <c r="J1041" s="9">
        <v>0</v>
      </c>
      <c r="K1041" s="9">
        <v>0</v>
      </c>
      <c r="L1041" s="9">
        <v>0</v>
      </c>
      <c r="M1041" s="9">
        <v>0</v>
      </c>
      <c r="N1041" s="9">
        <v>0</v>
      </c>
      <c r="O1041" s="9">
        <v>0</v>
      </c>
      <c r="P1041" s="9">
        <v>1</v>
      </c>
      <c r="Q1041" s="9">
        <f>MAX(-20,MIN(10,$A1041-VLOOKUP(YEAR($A1041),'Festive dates'!$A$2:$J$5,8,FALSE)))</f>
        <v>-20</v>
      </c>
      <c r="R1041" s="9">
        <f>IF(AND($A1041&gt;VLOOKUP(YEAR($A1041),'Festive dates'!$A$2:$J$5,2,FALSE),$A1041&lt;VLOOKUP(YEAR($A1041),'Festive dates'!$A$2:$J$5,3,FALSE)),1,0)</f>
        <v>0</v>
      </c>
      <c r="S1041" s="9">
        <f>IF($A1041=VLOOKUP(YEAR($A1041),'Festive dates'!$A$2:$J$5,2,FALSE),1,0)</f>
        <v>0</v>
      </c>
      <c r="T1041" s="9">
        <f>IF($A1041=VLOOKUP(YEAR($A1041),'Festive dates'!$A$2:$J$5,3,FALSE),1,0)</f>
        <v>0</v>
      </c>
      <c r="U1041" s="9">
        <f>IF($A1041=VLOOKUP(YEAR($A1041),'Festive dates'!$A$2:$J$5,4,FALSE),1,0)</f>
        <v>0</v>
      </c>
      <c r="V1041" s="9">
        <f>IF(AND($A1041&gt;=VLOOKUP(YEAR($A1041),'Festive dates'!$A$2:$J$5,9,FALSE),$A1041&lt;=VLOOKUP(YEAR($A1041),'Festive dates'!$A$2:$J$5,10,FALSE)),1,0)</f>
        <v>0</v>
      </c>
      <c r="W1041" s="9">
        <f>IF($A1041=VLOOKUP(YEAR($A1041),'Festive dates'!$A$2:$J$5,7,FALSE),1,0)</f>
        <v>0</v>
      </c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</row>
    <row r="1042" spans="1:51">
      <c r="A1042" s="8">
        <v>46057</v>
      </c>
      <c r="B1042" s="9">
        <v>0</v>
      </c>
      <c r="C1042" s="9">
        <v>0</v>
      </c>
      <c r="D1042" s="9">
        <v>0</v>
      </c>
      <c r="E1042" s="9">
        <v>0</v>
      </c>
      <c r="F1042" s="9">
        <v>0</v>
      </c>
      <c r="G1042" s="9">
        <v>0</v>
      </c>
      <c r="H1042" s="9">
        <v>0</v>
      </c>
      <c r="I1042" s="9">
        <v>0</v>
      </c>
      <c r="J1042" s="9">
        <v>0</v>
      </c>
      <c r="K1042" s="9">
        <v>0</v>
      </c>
      <c r="L1042" s="9">
        <v>0</v>
      </c>
      <c r="M1042" s="9">
        <v>0</v>
      </c>
      <c r="N1042" s="9">
        <v>0</v>
      </c>
      <c r="O1042" s="9">
        <v>0</v>
      </c>
      <c r="P1042" s="9">
        <v>0</v>
      </c>
      <c r="Q1042" s="9">
        <f>MAX(-20,MIN(10,$A1042-VLOOKUP(YEAR($A1042),'Festive dates'!$A$2:$J$5,8,FALSE)))</f>
        <v>-20</v>
      </c>
      <c r="R1042" s="9">
        <f>IF(AND($A1042&gt;VLOOKUP(YEAR($A1042),'Festive dates'!$A$2:$J$5,2,FALSE),$A1042&lt;VLOOKUP(YEAR($A1042),'Festive dates'!$A$2:$J$5,3,FALSE)),1,0)</f>
        <v>0</v>
      </c>
      <c r="S1042" s="9">
        <f>IF($A1042=VLOOKUP(YEAR($A1042),'Festive dates'!$A$2:$J$5,2,FALSE),1,0)</f>
        <v>0</v>
      </c>
      <c r="T1042" s="9">
        <f>IF($A1042=VLOOKUP(YEAR($A1042),'Festive dates'!$A$2:$J$5,3,FALSE),1,0)</f>
        <v>0</v>
      </c>
      <c r="U1042" s="9">
        <f>IF($A1042=VLOOKUP(YEAR($A1042),'Festive dates'!$A$2:$J$5,4,FALSE),1,0)</f>
        <v>0</v>
      </c>
      <c r="V1042" s="9">
        <f>IF(AND($A1042&gt;=VLOOKUP(YEAR($A1042),'Festive dates'!$A$2:$J$5,9,FALSE),$A1042&lt;=VLOOKUP(YEAR($A1042),'Festive dates'!$A$2:$J$5,10,FALSE)),1,0)</f>
        <v>0</v>
      </c>
      <c r="W1042" s="9">
        <f>IF($A1042=VLOOKUP(YEAR($A1042),'Festive dates'!$A$2:$J$5,7,FALSE),1,0)</f>
        <v>0</v>
      </c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</row>
    <row r="1043" spans="1:51">
      <c r="A1043" s="8">
        <v>46058</v>
      </c>
      <c r="B1043" s="9">
        <v>0</v>
      </c>
      <c r="C1043" s="9">
        <v>0</v>
      </c>
      <c r="D1043" s="9">
        <v>0</v>
      </c>
      <c r="E1043" s="9">
        <v>0</v>
      </c>
      <c r="F1043" s="9">
        <v>0</v>
      </c>
      <c r="G1043" s="9">
        <v>0</v>
      </c>
      <c r="H1043" s="9">
        <v>0</v>
      </c>
      <c r="I1043" s="9">
        <v>0</v>
      </c>
      <c r="J1043" s="9">
        <v>0</v>
      </c>
      <c r="K1043" s="9">
        <v>0</v>
      </c>
      <c r="L1043" s="9">
        <v>0</v>
      </c>
      <c r="M1043" s="9">
        <v>0</v>
      </c>
      <c r="N1043" s="9">
        <v>0</v>
      </c>
      <c r="O1043" s="9">
        <v>0</v>
      </c>
      <c r="P1043" s="9">
        <v>1</v>
      </c>
      <c r="Q1043" s="9">
        <f>MAX(-20,MIN(10,$A1043-VLOOKUP(YEAR($A1043),'Festive dates'!$A$2:$J$5,8,FALSE)))</f>
        <v>-20</v>
      </c>
      <c r="R1043" s="9">
        <f>IF(AND($A1043&gt;VLOOKUP(YEAR($A1043),'Festive dates'!$A$2:$J$5,2,FALSE),$A1043&lt;VLOOKUP(YEAR($A1043),'Festive dates'!$A$2:$J$5,3,FALSE)),1,0)</f>
        <v>0</v>
      </c>
      <c r="S1043" s="9">
        <f>IF($A1043=VLOOKUP(YEAR($A1043),'Festive dates'!$A$2:$J$5,2,FALSE),1,0)</f>
        <v>0</v>
      </c>
      <c r="T1043" s="9">
        <f>IF($A1043=VLOOKUP(YEAR($A1043),'Festive dates'!$A$2:$J$5,3,FALSE),1,0)</f>
        <v>0</v>
      </c>
      <c r="U1043" s="9">
        <f>IF($A1043=VLOOKUP(YEAR($A1043),'Festive dates'!$A$2:$J$5,4,FALSE),1,0)</f>
        <v>0</v>
      </c>
      <c r="V1043" s="9">
        <f>IF(AND($A1043&gt;=VLOOKUP(YEAR($A1043),'Festive dates'!$A$2:$J$5,9,FALSE),$A1043&lt;=VLOOKUP(YEAR($A1043),'Festive dates'!$A$2:$J$5,10,FALSE)),1,0)</f>
        <v>0</v>
      </c>
      <c r="W1043" s="9">
        <f>IF($A1043=VLOOKUP(YEAR($A1043),'Festive dates'!$A$2:$J$5,7,FALSE),1,0)</f>
        <v>0</v>
      </c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</row>
    <row r="1044" spans="1:51">
      <c r="A1044" s="8">
        <v>46059</v>
      </c>
      <c r="B1044" s="9">
        <v>0</v>
      </c>
      <c r="C1044" s="9">
        <v>0</v>
      </c>
      <c r="D1044" s="9">
        <v>0</v>
      </c>
      <c r="E1044" s="9">
        <v>0</v>
      </c>
      <c r="F1044" s="9">
        <v>0</v>
      </c>
      <c r="G1044" s="9">
        <v>0</v>
      </c>
      <c r="H1044" s="9">
        <v>0</v>
      </c>
      <c r="I1044" s="9">
        <v>0</v>
      </c>
      <c r="J1044" s="9">
        <v>0</v>
      </c>
      <c r="K1044" s="9">
        <v>0</v>
      </c>
      <c r="L1044" s="9">
        <v>0</v>
      </c>
      <c r="M1044" s="9">
        <v>0</v>
      </c>
      <c r="N1044" s="9">
        <v>0</v>
      </c>
      <c r="O1044" s="9">
        <v>0</v>
      </c>
      <c r="P1044" s="9">
        <v>0</v>
      </c>
      <c r="Q1044" s="9">
        <f>MAX(-20,MIN(10,$A1044-VLOOKUP(YEAR($A1044),'Festive dates'!$A$2:$J$5,8,FALSE)))</f>
        <v>-20</v>
      </c>
      <c r="R1044" s="9">
        <f>IF(AND($A1044&gt;VLOOKUP(YEAR($A1044),'Festive dates'!$A$2:$J$5,2,FALSE),$A1044&lt;VLOOKUP(YEAR($A1044),'Festive dates'!$A$2:$J$5,3,FALSE)),1,0)</f>
        <v>0</v>
      </c>
      <c r="S1044" s="9">
        <f>IF($A1044=VLOOKUP(YEAR($A1044),'Festive dates'!$A$2:$J$5,2,FALSE),1,0)</f>
        <v>0</v>
      </c>
      <c r="T1044" s="9">
        <f>IF($A1044=VLOOKUP(YEAR($A1044),'Festive dates'!$A$2:$J$5,3,FALSE),1,0)</f>
        <v>0</v>
      </c>
      <c r="U1044" s="9">
        <f>IF($A1044=VLOOKUP(YEAR($A1044),'Festive dates'!$A$2:$J$5,4,FALSE),1,0)</f>
        <v>0</v>
      </c>
      <c r="V1044" s="9">
        <f>IF(AND($A1044&gt;=VLOOKUP(YEAR($A1044),'Festive dates'!$A$2:$J$5,9,FALSE),$A1044&lt;=VLOOKUP(YEAR($A1044),'Festive dates'!$A$2:$J$5,10,FALSE)),1,0)</f>
        <v>0</v>
      </c>
      <c r="W1044" s="9">
        <f>IF($A1044=VLOOKUP(YEAR($A1044),'Festive dates'!$A$2:$J$5,7,FALSE),1,0)</f>
        <v>0</v>
      </c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</row>
    <row r="1045" spans="1:51">
      <c r="A1045" s="8">
        <v>46060</v>
      </c>
      <c r="B1045" s="9">
        <v>0</v>
      </c>
      <c r="C1045" s="9">
        <v>0</v>
      </c>
      <c r="D1045" s="9">
        <v>0</v>
      </c>
      <c r="E1045" s="9">
        <v>0</v>
      </c>
      <c r="F1045" s="9">
        <v>0</v>
      </c>
      <c r="G1045" s="9">
        <v>0</v>
      </c>
      <c r="H1045" s="9">
        <v>0</v>
      </c>
      <c r="I1045" s="9">
        <v>0</v>
      </c>
      <c r="J1045" s="9">
        <v>0</v>
      </c>
      <c r="K1045" s="9">
        <v>0</v>
      </c>
      <c r="L1045" s="9">
        <v>0</v>
      </c>
      <c r="M1045" s="9">
        <v>0</v>
      </c>
      <c r="N1045" s="9">
        <v>0</v>
      </c>
      <c r="O1045" s="9">
        <v>0</v>
      </c>
      <c r="P1045" s="9">
        <v>1</v>
      </c>
      <c r="Q1045" s="9">
        <f>MAX(-20,MIN(10,$A1045-VLOOKUP(YEAR($A1045),'Festive dates'!$A$2:$J$5,8,FALSE)))</f>
        <v>-20</v>
      </c>
      <c r="R1045" s="9">
        <f>IF(AND($A1045&gt;VLOOKUP(YEAR($A1045),'Festive dates'!$A$2:$J$5,2,FALSE),$A1045&lt;VLOOKUP(YEAR($A1045),'Festive dates'!$A$2:$J$5,3,FALSE)),1,0)</f>
        <v>0</v>
      </c>
      <c r="S1045" s="9">
        <f>IF($A1045=VLOOKUP(YEAR($A1045),'Festive dates'!$A$2:$J$5,2,FALSE),1,0)</f>
        <v>0</v>
      </c>
      <c r="T1045" s="9">
        <f>IF($A1045=VLOOKUP(YEAR($A1045),'Festive dates'!$A$2:$J$5,3,FALSE),1,0)</f>
        <v>0</v>
      </c>
      <c r="U1045" s="9">
        <f>IF($A1045=VLOOKUP(YEAR($A1045),'Festive dates'!$A$2:$J$5,4,FALSE),1,0)</f>
        <v>0</v>
      </c>
      <c r="V1045" s="9">
        <f>IF(AND($A1045&gt;=VLOOKUP(YEAR($A1045),'Festive dates'!$A$2:$J$5,9,FALSE),$A1045&lt;=VLOOKUP(YEAR($A1045),'Festive dates'!$A$2:$J$5,10,FALSE)),1,0)</f>
        <v>0</v>
      </c>
      <c r="W1045" s="9">
        <f>IF($A1045=VLOOKUP(YEAR($A1045),'Festive dates'!$A$2:$J$5,7,FALSE),1,0)</f>
        <v>0</v>
      </c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</row>
    <row r="1046" spans="1:51">
      <c r="A1046" s="8">
        <v>46061</v>
      </c>
      <c r="B1046" s="9">
        <v>0</v>
      </c>
      <c r="C1046" s="9">
        <v>0</v>
      </c>
      <c r="D1046" s="9">
        <v>0</v>
      </c>
      <c r="E1046" s="9">
        <v>0</v>
      </c>
      <c r="F1046" s="9">
        <v>0</v>
      </c>
      <c r="G1046" s="9">
        <v>0</v>
      </c>
      <c r="H1046" s="9">
        <v>0</v>
      </c>
      <c r="I1046" s="9">
        <v>0</v>
      </c>
      <c r="J1046" s="9">
        <v>0</v>
      </c>
      <c r="K1046" s="9">
        <v>0</v>
      </c>
      <c r="L1046" s="9">
        <v>0</v>
      </c>
      <c r="M1046" s="9">
        <v>0</v>
      </c>
      <c r="N1046" s="9">
        <v>0</v>
      </c>
      <c r="O1046" s="9">
        <v>0</v>
      </c>
      <c r="P1046" s="9">
        <v>0</v>
      </c>
      <c r="Q1046" s="9">
        <f>MAX(-20,MIN(10,$A1046-VLOOKUP(YEAR($A1046),'Festive dates'!$A$2:$J$5,8,FALSE)))</f>
        <v>-20</v>
      </c>
      <c r="R1046" s="9">
        <f>IF(AND($A1046&gt;VLOOKUP(YEAR($A1046),'Festive dates'!$A$2:$J$5,2,FALSE),$A1046&lt;VLOOKUP(YEAR($A1046),'Festive dates'!$A$2:$J$5,3,FALSE)),1,0)</f>
        <v>0</v>
      </c>
      <c r="S1046" s="9">
        <f>IF($A1046=VLOOKUP(YEAR($A1046),'Festive dates'!$A$2:$J$5,2,FALSE),1,0)</f>
        <v>0</v>
      </c>
      <c r="T1046" s="9">
        <f>IF($A1046=VLOOKUP(YEAR($A1046),'Festive dates'!$A$2:$J$5,3,FALSE),1,0)</f>
        <v>0</v>
      </c>
      <c r="U1046" s="9">
        <f>IF($A1046=VLOOKUP(YEAR($A1046),'Festive dates'!$A$2:$J$5,4,FALSE),1,0)</f>
        <v>0</v>
      </c>
      <c r="V1046" s="9">
        <f>IF(AND($A1046&gt;=VLOOKUP(YEAR($A1046),'Festive dates'!$A$2:$J$5,9,FALSE),$A1046&lt;=VLOOKUP(YEAR($A1046),'Festive dates'!$A$2:$J$5,10,FALSE)),1,0)</f>
        <v>0</v>
      </c>
      <c r="W1046" s="9">
        <f>IF($A1046=VLOOKUP(YEAR($A1046),'Festive dates'!$A$2:$J$5,7,FALSE),1,0)</f>
        <v>0</v>
      </c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</row>
    <row r="1047" spans="1:51">
      <c r="A1047" s="8">
        <v>46062</v>
      </c>
      <c r="B1047" s="9">
        <v>0</v>
      </c>
      <c r="C1047" s="9">
        <v>0</v>
      </c>
      <c r="D1047" s="9">
        <v>0</v>
      </c>
      <c r="E1047" s="9">
        <v>0</v>
      </c>
      <c r="F1047" s="9">
        <v>0</v>
      </c>
      <c r="G1047" s="9">
        <v>0</v>
      </c>
      <c r="H1047" s="9">
        <v>0</v>
      </c>
      <c r="I1047" s="9">
        <v>0</v>
      </c>
      <c r="J1047" s="9">
        <v>0</v>
      </c>
      <c r="K1047" s="9">
        <v>0</v>
      </c>
      <c r="L1047" s="9">
        <v>0</v>
      </c>
      <c r="M1047" s="9">
        <v>0</v>
      </c>
      <c r="N1047" s="9">
        <v>0</v>
      </c>
      <c r="O1047" s="9">
        <v>0</v>
      </c>
      <c r="P1047" s="9">
        <v>0</v>
      </c>
      <c r="Q1047" s="9">
        <f>MAX(-20,MIN(10,$A1047-VLOOKUP(YEAR($A1047),'Festive dates'!$A$2:$J$5,8,FALSE)))</f>
        <v>-20</v>
      </c>
      <c r="R1047" s="9">
        <f>IF(AND($A1047&gt;VLOOKUP(YEAR($A1047),'Festive dates'!$A$2:$J$5,2,FALSE),$A1047&lt;VLOOKUP(YEAR($A1047),'Festive dates'!$A$2:$J$5,3,FALSE)),1,0)</f>
        <v>0</v>
      </c>
      <c r="S1047" s="9">
        <f>IF($A1047=VLOOKUP(YEAR($A1047),'Festive dates'!$A$2:$J$5,2,FALSE),1,0)</f>
        <v>0</v>
      </c>
      <c r="T1047" s="9">
        <f>IF($A1047=VLOOKUP(YEAR($A1047),'Festive dates'!$A$2:$J$5,3,FALSE),1,0)</f>
        <v>0</v>
      </c>
      <c r="U1047" s="9">
        <f>IF($A1047=VLOOKUP(YEAR($A1047),'Festive dates'!$A$2:$J$5,4,FALSE),1,0)</f>
        <v>0</v>
      </c>
      <c r="V1047" s="9">
        <f>IF(AND($A1047&gt;=VLOOKUP(YEAR($A1047),'Festive dates'!$A$2:$J$5,9,FALSE),$A1047&lt;=VLOOKUP(YEAR($A1047),'Festive dates'!$A$2:$J$5,10,FALSE)),1,0)</f>
        <v>0</v>
      </c>
      <c r="W1047" s="9">
        <f>IF($A1047=VLOOKUP(YEAR($A1047),'Festive dates'!$A$2:$J$5,7,FALSE),1,0)</f>
        <v>0</v>
      </c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</row>
    <row r="1048" spans="1:51">
      <c r="A1048" s="8">
        <v>46063</v>
      </c>
      <c r="B1048" s="9">
        <v>0</v>
      </c>
      <c r="C1048" s="9">
        <v>0</v>
      </c>
      <c r="D1048" s="9">
        <v>0</v>
      </c>
      <c r="E1048" s="9">
        <v>0</v>
      </c>
      <c r="F1048" s="9">
        <v>0</v>
      </c>
      <c r="G1048" s="9">
        <v>0</v>
      </c>
      <c r="H1048" s="9">
        <v>0</v>
      </c>
      <c r="I1048" s="9">
        <v>0</v>
      </c>
      <c r="J1048" s="9">
        <v>0</v>
      </c>
      <c r="K1048" s="9">
        <v>0</v>
      </c>
      <c r="L1048" s="9">
        <v>0</v>
      </c>
      <c r="M1048" s="9">
        <v>0</v>
      </c>
      <c r="N1048" s="9">
        <v>0</v>
      </c>
      <c r="O1048" s="9">
        <v>0</v>
      </c>
      <c r="P1048" s="9">
        <v>0</v>
      </c>
      <c r="Q1048" s="9">
        <f>MAX(-20,MIN(10,$A1048-VLOOKUP(YEAR($A1048),'Festive dates'!$A$2:$J$5,8,FALSE)))</f>
        <v>-20</v>
      </c>
      <c r="R1048" s="9">
        <f>IF(AND($A1048&gt;VLOOKUP(YEAR($A1048),'Festive dates'!$A$2:$J$5,2,FALSE),$A1048&lt;VLOOKUP(YEAR($A1048),'Festive dates'!$A$2:$J$5,3,FALSE)),1,0)</f>
        <v>0</v>
      </c>
      <c r="S1048" s="9">
        <f>IF($A1048=VLOOKUP(YEAR($A1048),'Festive dates'!$A$2:$J$5,2,FALSE),1,0)</f>
        <v>0</v>
      </c>
      <c r="T1048" s="9">
        <f>IF($A1048=VLOOKUP(YEAR($A1048),'Festive dates'!$A$2:$J$5,3,FALSE),1,0)</f>
        <v>0</v>
      </c>
      <c r="U1048" s="9">
        <f>IF($A1048=VLOOKUP(YEAR($A1048),'Festive dates'!$A$2:$J$5,4,FALSE),1,0)</f>
        <v>0</v>
      </c>
      <c r="V1048" s="9">
        <f>IF(AND($A1048&gt;=VLOOKUP(YEAR($A1048),'Festive dates'!$A$2:$J$5,9,FALSE),$A1048&lt;=VLOOKUP(YEAR($A1048),'Festive dates'!$A$2:$J$5,10,FALSE)),1,0)</f>
        <v>0</v>
      </c>
      <c r="W1048" s="9">
        <f>IF($A1048=VLOOKUP(YEAR($A1048),'Festive dates'!$A$2:$J$5,7,FALSE),1,0)</f>
        <v>0</v>
      </c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</row>
    <row r="1049" spans="1:51">
      <c r="A1049" s="8">
        <v>46064</v>
      </c>
      <c r="B1049" s="9">
        <v>0</v>
      </c>
      <c r="C1049" s="9">
        <v>0</v>
      </c>
      <c r="D1049" s="9">
        <v>0</v>
      </c>
      <c r="E1049" s="9">
        <v>0</v>
      </c>
      <c r="F1049" s="9">
        <v>0</v>
      </c>
      <c r="G1049" s="9">
        <v>0</v>
      </c>
      <c r="H1049" s="9">
        <v>0</v>
      </c>
      <c r="I1049" s="9">
        <v>0</v>
      </c>
      <c r="J1049" s="9">
        <v>0</v>
      </c>
      <c r="K1049" s="9">
        <v>0</v>
      </c>
      <c r="L1049" s="9">
        <v>0</v>
      </c>
      <c r="M1049" s="9">
        <v>0</v>
      </c>
      <c r="N1049" s="9">
        <v>0</v>
      </c>
      <c r="O1049" s="9">
        <v>0</v>
      </c>
      <c r="P1049" s="9">
        <v>0</v>
      </c>
      <c r="Q1049" s="9">
        <f>MAX(-20,MIN(10,$A1049-VLOOKUP(YEAR($A1049),'Festive dates'!$A$2:$J$5,8,FALSE)))</f>
        <v>-20</v>
      </c>
      <c r="R1049" s="9">
        <f>IF(AND($A1049&gt;VLOOKUP(YEAR($A1049),'Festive dates'!$A$2:$J$5,2,FALSE),$A1049&lt;VLOOKUP(YEAR($A1049),'Festive dates'!$A$2:$J$5,3,FALSE)),1,0)</f>
        <v>0</v>
      </c>
      <c r="S1049" s="9">
        <f>IF($A1049=VLOOKUP(YEAR($A1049),'Festive dates'!$A$2:$J$5,2,FALSE),1,0)</f>
        <v>0</v>
      </c>
      <c r="T1049" s="9">
        <f>IF($A1049=VLOOKUP(YEAR($A1049),'Festive dates'!$A$2:$J$5,3,FALSE),1,0)</f>
        <v>0</v>
      </c>
      <c r="U1049" s="9">
        <f>IF($A1049=VLOOKUP(YEAR($A1049),'Festive dates'!$A$2:$J$5,4,FALSE),1,0)</f>
        <v>0</v>
      </c>
      <c r="V1049" s="9">
        <f>IF(AND($A1049&gt;=VLOOKUP(YEAR($A1049),'Festive dates'!$A$2:$J$5,9,FALSE),$A1049&lt;=VLOOKUP(YEAR($A1049),'Festive dates'!$A$2:$J$5,10,FALSE)),1,0)</f>
        <v>0</v>
      </c>
      <c r="W1049" s="9">
        <f>IF($A1049=VLOOKUP(YEAR($A1049),'Festive dates'!$A$2:$J$5,7,FALSE),1,0)</f>
        <v>0</v>
      </c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</row>
    <row r="1050" spans="1:51">
      <c r="A1050" s="8">
        <v>46065</v>
      </c>
      <c r="B1050" s="9">
        <v>0</v>
      </c>
      <c r="C1050" s="9">
        <v>0</v>
      </c>
      <c r="D1050" s="9">
        <v>0</v>
      </c>
      <c r="E1050" s="9">
        <v>0</v>
      </c>
      <c r="F1050" s="9">
        <v>0</v>
      </c>
      <c r="G1050" s="9">
        <v>0</v>
      </c>
      <c r="H1050" s="9">
        <v>0</v>
      </c>
      <c r="I1050" s="9">
        <v>0</v>
      </c>
      <c r="J1050" s="9">
        <v>0</v>
      </c>
      <c r="K1050" s="9">
        <v>0</v>
      </c>
      <c r="L1050" s="9">
        <v>0</v>
      </c>
      <c r="M1050" s="9">
        <v>0</v>
      </c>
      <c r="N1050" s="9">
        <v>0</v>
      </c>
      <c r="O1050" s="9">
        <v>0</v>
      </c>
      <c r="P1050" s="9">
        <v>1</v>
      </c>
      <c r="Q1050" s="9">
        <f>MAX(-20,MIN(10,$A1050-VLOOKUP(YEAR($A1050),'Festive dates'!$A$2:$J$5,8,FALSE)))</f>
        <v>-20</v>
      </c>
      <c r="R1050" s="9">
        <f>IF(AND($A1050&gt;VLOOKUP(YEAR($A1050),'Festive dates'!$A$2:$J$5,2,FALSE),$A1050&lt;VLOOKUP(YEAR($A1050),'Festive dates'!$A$2:$J$5,3,FALSE)),1,0)</f>
        <v>0</v>
      </c>
      <c r="S1050" s="9">
        <f>IF($A1050=VLOOKUP(YEAR($A1050),'Festive dates'!$A$2:$J$5,2,FALSE),1,0)</f>
        <v>0</v>
      </c>
      <c r="T1050" s="9">
        <f>IF($A1050=VLOOKUP(YEAR($A1050),'Festive dates'!$A$2:$J$5,3,FALSE),1,0)</f>
        <v>0</v>
      </c>
      <c r="U1050" s="9">
        <f>IF($A1050=VLOOKUP(YEAR($A1050),'Festive dates'!$A$2:$J$5,4,FALSE),1,0)</f>
        <v>0</v>
      </c>
      <c r="V1050" s="9">
        <f>IF(AND($A1050&gt;=VLOOKUP(YEAR($A1050),'Festive dates'!$A$2:$J$5,9,FALSE),$A1050&lt;=VLOOKUP(YEAR($A1050),'Festive dates'!$A$2:$J$5,10,FALSE)),1,0)</f>
        <v>0</v>
      </c>
      <c r="W1050" s="9">
        <f>IF($A1050=VLOOKUP(YEAR($A1050),'Festive dates'!$A$2:$J$5,7,FALSE),1,0)</f>
        <v>0</v>
      </c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</row>
    <row r="1051" spans="1:51">
      <c r="A1051" s="8">
        <v>46066</v>
      </c>
      <c r="B1051" s="9">
        <v>0</v>
      </c>
      <c r="C1051" s="9">
        <v>0</v>
      </c>
      <c r="D1051" s="9">
        <v>0</v>
      </c>
      <c r="E1051" s="9">
        <v>0</v>
      </c>
      <c r="F1051" s="9">
        <v>0</v>
      </c>
      <c r="G1051" s="9">
        <v>0</v>
      </c>
      <c r="H1051" s="9">
        <v>0</v>
      </c>
      <c r="I1051" s="9">
        <v>0</v>
      </c>
      <c r="J1051" s="9">
        <v>0</v>
      </c>
      <c r="K1051" s="9">
        <v>0</v>
      </c>
      <c r="L1051" s="9">
        <v>0</v>
      </c>
      <c r="M1051" s="9">
        <v>0</v>
      </c>
      <c r="N1051" s="9">
        <v>0</v>
      </c>
      <c r="O1051" s="9">
        <v>0</v>
      </c>
      <c r="P1051" s="9">
        <v>1</v>
      </c>
      <c r="Q1051" s="9">
        <f>MAX(-20,MIN(10,$A1051-VLOOKUP(YEAR($A1051),'Festive dates'!$A$2:$J$5,8,FALSE)))</f>
        <v>-20</v>
      </c>
      <c r="R1051" s="9">
        <f>IF(AND($A1051&gt;VLOOKUP(YEAR($A1051),'Festive dates'!$A$2:$J$5,2,FALSE),$A1051&lt;VLOOKUP(YEAR($A1051),'Festive dates'!$A$2:$J$5,3,FALSE)),1,0)</f>
        <v>0</v>
      </c>
      <c r="S1051" s="9">
        <f>IF($A1051=VLOOKUP(YEAR($A1051),'Festive dates'!$A$2:$J$5,2,FALSE),1,0)</f>
        <v>0</v>
      </c>
      <c r="T1051" s="9">
        <f>IF($A1051=VLOOKUP(YEAR($A1051),'Festive dates'!$A$2:$J$5,3,FALSE),1,0)</f>
        <v>0</v>
      </c>
      <c r="U1051" s="9">
        <f>IF($A1051=VLOOKUP(YEAR($A1051),'Festive dates'!$A$2:$J$5,4,FALSE),1,0)</f>
        <v>0</v>
      </c>
      <c r="V1051" s="9">
        <f>IF(AND($A1051&gt;=VLOOKUP(YEAR($A1051),'Festive dates'!$A$2:$J$5,9,FALSE),$A1051&lt;=VLOOKUP(YEAR($A1051),'Festive dates'!$A$2:$J$5,10,FALSE)),1,0)</f>
        <v>0</v>
      </c>
      <c r="W1051" s="9">
        <f>IF($A1051=VLOOKUP(YEAR($A1051),'Festive dates'!$A$2:$J$5,7,FALSE),1,0)</f>
        <v>0</v>
      </c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</row>
    <row r="1052" spans="1:51">
      <c r="A1052" s="8">
        <v>46067</v>
      </c>
      <c r="B1052" s="9">
        <v>0</v>
      </c>
      <c r="C1052" s="9">
        <v>0</v>
      </c>
      <c r="D1052" s="9">
        <v>0</v>
      </c>
      <c r="E1052" s="9">
        <v>0</v>
      </c>
      <c r="F1052" s="9">
        <v>0</v>
      </c>
      <c r="G1052" s="9">
        <v>0</v>
      </c>
      <c r="H1052" s="9">
        <v>0</v>
      </c>
      <c r="I1052" s="9">
        <v>0</v>
      </c>
      <c r="J1052" s="9">
        <v>0</v>
      </c>
      <c r="K1052" s="9">
        <v>0</v>
      </c>
      <c r="L1052" s="9">
        <v>0</v>
      </c>
      <c r="M1052" s="9">
        <v>0</v>
      </c>
      <c r="N1052" s="9">
        <v>0</v>
      </c>
      <c r="O1052" s="9">
        <v>0</v>
      </c>
      <c r="P1052" s="9">
        <v>1</v>
      </c>
      <c r="Q1052" s="9">
        <f>MAX(-20,MIN(10,$A1052-VLOOKUP(YEAR($A1052),'Festive dates'!$A$2:$J$5,8,FALSE)))</f>
        <v>-20</v>
      </c>
      <c r="R1052" s="9">
        <f>IF(AND($A1052&gt;VLOOKUP(YEAR($A1052),'Festive dates'!$A$2:$J$5,2,FALSE),$A1052&lt;VLOOKUP(YEAR($A1052),'Festive dates'!$A$2:$J$5,3,FALSE)),1,0)</f>
        <v>0</v>
      </c>
      <c r="S1052" s="9">
        <f>IF($A1052=VLOOKUP(YEAR($A1052),'Festive dates'!$A$2:$J$5,2,FALSE),1,0)</f>
        <v>0</v>
      </c>
      <c r="T1052" s="9">
        <f>IF($A1052=VLOOKUP(YEAR($A1052),'Festive dates'!$A$2:$J$5,3,FALSE),1,0)</f>
        <v>0</v>
      </c>
      <c r="U1052" s="9">
        <f>IF($A1052=VLOOKUP(YEAR($A1052),'Festive dates'!$A$2:$J$5,4,FALSE),1,0)</f>
        <v>0</v>
      </c>
      <c r="V1052" s="9">
        <f>IF(AND($A1052&gt;=VLOOKUP(YEAR($A1052),'Festive dates'!$A$2:$J$5,9,FALSE),$A1052&lt;=VLOOKUP(YEAR($A1052),'Festive dates'!$A$2:$J$5,10,FALSE)),1,0)</f>
        <v>0</v>
      </c>
      <c r="W1052" s="9">
        <f>IF($A1052=VLOOKUP(YEAR($A1052),'Festive dates'!$A$2:$J$5,7,FALSE),1,0)</f>
        <v>0</v>
      </c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</row>
    <row r="1053" spans="1:51">
      <c r="A1053" s="8">
        <v>46068</v>
      </c>
      <c r="B1053" s="9">
        <v>0</v>
      </c>
      <c r="C1053" s="9">
        <v>0</v>
      </c>
      <c r="D1053" s="9">
        <v>0</v>
      </c>
      <c r="E1053" s="9">
        <v>0</v>
      </c>
      <c r="F1053" s="9">
        <v>0</v>
      </c>
      <c r="G1053" s="9">
        <v>0</v>
      </c>
      <c r="H1053" s="9">
        <v>0</v>
      </c>
      <c r="I1053" s="9">
        <v>0</v>
      </c>
      <c r="J1053" s="9">
        <v>0</v>
      </c>
      <c r="K1053" s="9">
        <v>0</v>
      </c>
      <c r="L1053" s="9">
        <v>0</v>
      </c>
      <c r="M1053" s="9">
        <v>0</v>
      </c>
      <c r="N1053" s="9">
        <v>0</v>
      </c>
      <c r="O1053" s="9">
        <v>0</v>
      </c>
      <c r="P1053" s="9">
        <v>0</v>
      </c>
      <c r="Q1053" s="9">
        <f>MAX(-20,MIN(10,$A1053-VLOOKUP(YEAR($A1053),'Festive dates'!$A$2:$J$5,8,FALSE)))</f>
        <v>-20</v>
      </c>
      <c r="R1053" s="9">
        <f>IF(AND($A1053&gt;VLOOKUP(YEAR($A1053),'Festive dates'!$A$2:$J$5,2,FALSE),$A1053&lt;VLOOKUP(YEAR($A1053),'Festive dates'!$A$2:$J$5,3,FALSE)),1,0)</f>
        <v>0</v>
      </c>
      <c r="S1053" s="9">
        <f>IF($A1053=VLOOKUP(YEAR($A1053),'Festive dates'!$A$2:$J$5,2,FALSE),1,0)</f>
        <v>0</v>
      </c>
      <c r="T1053" s="9">
        <f>IF($A1053=VLOOKUP(YEAR($A1053),'Festive dates'!$A$2:$J$5,3,FALSE),1,0)</f>
        <v>0</v>
      </c>
      <c r="U1053" s="9">
        <f>IF($A1053=VLOOKUP(YEAR($A1053),'Festive dates'!$A$2:$J$5,4,FALSE),1,0)</f>
        <v>0</v>
      </c>
      <c r="V1053" s="9">
        <f>IF(AND($A1053&gt;=VLOOKUP(YEAR($A1053),'Festive dates'!$A$2:$J$5,9,FALSE),$A1053&lt;=VLOOKUP(YEAR($A1053),'Festive dates'!$A$2:$J$5,10,FALSE)),1,0)</f>
        <v>0</v>
      </c>
      <c r="W1053" s="9">
        <f>IF($A1053=VLOOKUP(YEAR($A1053),'Festive dates'!$A$2:$J$5,7,FALSE),1,0)</f>
        <v>0</v>
      </c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</row>
    <row r="1054" spans="1:51">
      <c r="A1054" s="8">
        <v>46069</v>
      </c>
      <c r="B1054" s="9">
        <v>0</v>
      </c>
      <c r="C1054" s="9">
        <v>0</v>
      </c>
      <c r="D1054" s="9">
        <v>0</v>
      </c>
      <c r="E1054" s="9">
        <v>0</v>
      </c>
      <c r="F1054" s="9">
        <v>0</v>
      </c>
      <c r="G1054" s="9">
        <v>0</v>
      </c>
      <c r="H1054" s="9">
        <v>0</v>
      </c>
      <c r="I1054" s="9">
        <v>0</v>
      </c>
      <c r="J1054" s="9">
        <v>0</v>
      </c>
      <c r="K1054" s="9">
        <v>0</v>
      </c>
      <c r="L1054" s="9">
        <v>0</v>
      </c>
      <c r="M1054" s="9">
        <v>0</v>
      </c>
      <c r="N1054" s="9">
        <v>0</v>
      </c>
      <c r="O1054" s="9">
        <v>0</v>
      </c>
      <c r="P1054" s="9">
        <v>0</v>
      </c>
      <c r="Q1054" s="9">
        <f>MAX(-20,MIN(10,$A1054-VLOOKUP(YEAR($A1054),'Festive dates'!$A$2:$J$5,8,FALSE)))</f>
        <v>-20</v>
      </c>
      <c r="R1054" s="9">
        <f>IF(AND($A1054&gt;VLOOKUP(YEAR($A1054),'Festive dates'!$A$2:$J$5,2,FALSE),$A1054&lt;VLOOKUP(YEAR($A1054),'Festive dates'!$A$2:$J$5,3,FALSE)),1,0)</f>
        <v>0</v>
      </c>
      <c r="S1054" s="9">
        <f>IF($A1054=VLOOKUP(YEAR($A1054),'Festive dates'!$A$2:$J$5,2,FALSE),1,0)</f>
        <v>0</v>
      </c>
      <c r="T1054" s="9">
        <f>IF($A1054=VLOOKUP(YEAR($A1054),'Festive dates'!$A$2:$J$5,3,FALSE),1,0)</f>
        <v>0</v>
      </c>
      <c r="U1054" s="9">
        <f>IF($A1054=VLOOKUP(YEAR($A1054),'Festive dates'!$A$2:$J$5,4,FALSE),1,0)</f>
        <v>0</v>
      </c>
      <c r="V1054" s="9">
        <f>IF(AND($A1054&gt;=VLOOKUP(YEAR($A1054),'Festive dates'!$A$2:$J$5,9,FALSE),$A1054&lt;=VLOOKUP(YEAR($A1054),'Festive dates'!$A$2:$J$5,10,FALSE)),1,0)</f>
        <v>0</v>
      </c>
      <c r="W1054" s="9">
        <f>IF($A1054=VLOOKUP(YEAR($A1054),'Festive dates'!$A$2:$J$5,7,FALSE),1,0)</f>
        <v>0</v>
      </c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</row>
    <row r="1055" spans="1:51">
      <c r="A1055" s="8">
        <v>46070</v>
      </c>
      <c r="B1055" s="9">
        <v>0</v>
      </c>
      <c r="C1055" s="9">
        <v>0</v>
      </c>
      <c r="D1055" s="9">
        <v>0</v>
      </c>
      <c r="E1055" s="9">
        <v>0</v>
      </c>
      <c r="F1055" s="9">
        <v>0</v>
      </c>
      <c r="G1055" s="9">
        <v>0</v>
      </c>
      <c r="H1055" s="9">
        <v>0</v>
      </c>
      <c r="I1055" s="9">
        <v>0</v>
      </c>
      <c r="J1055" s="9">
        <v>0</v>
      </c>
      <c r="K1055" s="9">
        <v>0</v>
      </c>
      <c r="L1055" s="9">
        <v>0</v>
      </c>
      <c r="M1055" s="9">
        <v>0</v>
      </c>
      <c r="N1055" s="9">
        <v>0</v>
      </c>
      <c r="O1055" s="9">
        <v>0</v>
      </c>
      <c r="P1055" s="9">
        <v>1</v>
      </c>
      <c r="Q1055" s="9">
        <f>MAX(-20,MIN(10,$A1055-VLOOKUP(YEAR($A1055),'Festive dates'!$A$2:$J$5,8,FALSE)))</f>
        <v>-20</v>
      </c>
      <c r="R1055" s="9">
        <f>IF(AND($A1055&gt;VLOOKUP(YEAR($A1055),'Festive dates'!$A$2:$J$5,2,FALSE),$A1055&lt;VLOOKUP(YEAR($A1055),'Festive dates'!$A$2:$J$5,3,FALSE)),1,0)</f>
        <v>0</v>
      </c>
      <c r="S1055" s="9">
        <f>IF($A1055=VLOOKUP(YEAR($A1055),'Festive dates'!$A$2:$J$5,2,FALSE),1,0)</f>
        <v>0</v>
      </c>
      <c r="T1055" s="9">
        <f>IF($A1055=VLOOKUP(YEAR($A1055),'Festive dates'!$A$2:$J$5,3,FALSE),1,0)</f>
        <v>0</v>
      </c>
      <c r="U1055" s="9">
        <f>IF($A1055=VLOOKUP(YEAR($A1055),'Festive dates'!$A$2:$J$5,4,FALSE),1,0)</f>
        <v>0</v>
      </c>
      <c r="V1055" s="9">
        <f>IF(AND($A1055&gt;=VLOOKUP(YEAR($A1055),'Festive dates'!$A$2:$J$5,9,FALSE),$A1055&lt;=VLOOKUP(YEAR($A1055),'Festive dates'!$A$2:$J$5,10,FALSE)),1,0)</f>
        <v>0</v>
      </c>
      <c r="W1055" s="9">
        <f>IF($A1055=VLOOKUP(YEAR($A1055),'Festive dates'!$A$2:$J$5,7,FALSE),1,0)</f>
        <v>0</v>
      </c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</row>
    <row r="1056" spans="1:51">
      <c r="A1056" s="8">
        <v>46071</v>
      </c>
      <c r="B1056" s="9">
        <v>0</v>
      </c>
      <c r="C1056" s="9">
        <v>0</v>
      </c>
      <c r="D1056" s="9">
        <v>0</v>
      </c>
      <c r="E1056" s="9">
        <v>0</v>
      </c>
      <c r="F1056" s="9">
        <v>0</v>
      </c>
      <c r="G1056" s="9">
        <v>0</v>
      </c>
      <c r="H1056" s="9">
        <v>0</v>
      </c>
      <c r="I1056" s="9">
        <v>0</v>
      </c>
      <c r="J1056" s="9">
        <v>0</v>
      </c>
      <c r="K1056" s="9">
        <v>0</v>
      </c>
      <c r="L1056" s="9">
        <v>0</v>
      </c>
      <c r="M1056" s="9">
        <v>0</v>
      </c>
      <c r="N1056" s="9">
        <v>0</v>
      </c>
      <c r="O1056" s="9">
        <v>0</v>
      </c>
      <c r="P1056" s="9">
        <v>1</v>
      </c>
      <c r="Q1056" s="9">
        <f>MAX(-20,MIN(10,$A1056-VLOOKUP(YEAR($A1056),'Festive dates'!$A$2:$J$5,8,FALSE)))</f>
        <v>-20</v>
      </c>
      <c r="R1056" s="9">
        <f>IF(AND($A1056&gt;VLOOKUP(YEAR($A1056),'Festive dates'!$A$2:$J$5,2,FALSE),$A1056&lt;VLOOKUP(YEAR($A1056),'Festive dates'!$A$2:$J$5,3,FALSE)),1,0)</f>
        <v>0</v>
      </c>
      <c r="S1056" s="9">
        <f>IF($A1056=VLOOKUP(YEAR($A1056),'Festive dates'!$A$2:$J$5,2,FALSE),1,0)</f>
        <v>0</v>
      </c>
      <c r="T1056" s="9">
        <f>IF($A1056=VLOOKUP(YEAR($A1056),'Festive dates'!$A$2:$J$5,3,FALSE),1,0)</f>
        <v>0</v>
      </c>
      <c r="U1056" s="9">
        <f>IF($A1056=VLOOKUP(YEAR($A1056),'Festive dates'!$A$2:$J$5,4,FALSE),1,0)</f>
        <v>0</v>
      </c>
      <c r="V1056" s="9">
        <f>IF(AND($A1056&gt;=VLOOKUP(YEAR($A1056),'Festive dates'!$A$2:$J$5,9,FALSE),$A1056&lt;=VLOOKUP(YEAR($A1056),'Festive dates'!$A$2:$J$5,10,FALSE)),1,0)</f>
        <v>0</v>
      </c>
      <c r="W1056" s="9">
        <f>IF($A1056=VLOOKUP(YEAR($A1056),'Festive dates'!$A$2:$J$5,7,FALSE),1,0)</f>
        <v>0</v>
      </c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</row>
    <row r="1057" spans="1:51">
      <c r="A1057" s="8">
        <v>46072</v>
      </c>
      <c r="B1057" s="9">
        <v>0</v>
      </c>
      <c r="C1057" s="9">
        <v>0</v>
      </c>
      <c r="D1057" s="9">
        <v>0</v>
      </c>
      <c r="E1057" s="9">
        <v>0</v>
      </c>
      <c r="F1057" s="9">
        <v>0</v>
      </c>
      <c r="G1057" s="9">
        <v>0</v>
      </c>
      <c r="H1057" s="9">
        <v>0</v>
      </c>
      <c r="I1057" s="9">
        <v>0</v>
      </c>
      <c r="J1057" s="9">
        <v>0</v>
      </c>
      <c r="K1057" s="9">
        <v>0</v>
      </c>
      <c r="L1057" s="9">
        <v>0</v>
      </c>
      <c r="M1057" s="9">
        <v>0</v>
      </c>
      <c r="N1057" s="9">
        <v>0</v>
      </c>
      <c r="O1057" s="9">
        <v>0</v>
      </c>
      <c r="P1057" s="9">
        <v>1</v>
      </c>
      <c r="Q1057" s="9">
        <f>MAX(-20,MIN(10,$A1057-VLOOKUP(YEAR($A1057),'Festive dates'!$A$2:$J$5,8,FALSE)))</f>
        <v>-20</v>
      </c>
      <c r="R1057" s="9">
        <f>IF(AND($A1057&gt;VLOOKUP(YEAR($A1057),'Festive dates'!$A$2:$J$5,2,FALSE),$A1057&lt;VLOOKUP(YEAR($A1057),'Festive dates'!$A$2:$J$5,3,FALSE)),1,0)</f>
        <v>0</v>
      </c>
      <c r="S1057" s="9">
        <f>IF($A1057=VLOOKUP(YEAR($A1057),'Festive dates'!$A$2:$J$5,2,FALSE),1,0)</f>
        <v>0</v>
      </c>
      <c r="T1057" s="9">
        <f>IF($A1057=VLOOKUP(YEAR($A1057),'Festive dates'!$A$2:$J$5,3,FALSE),1,0)</f>
        <v>0</v>
      </c>
      <c r="U1057" s="9">
        <f>IF($A1057=VLOOKUP(YEAR($A1057),'Festive dates'!$A$2:$J$5,4,FALSE),1,0)</f>
        <v>0</v>
      </c>
      <c r="V1057" s="9">
        <f>IF(AND($A1057&gt;=VLOOKUP(YEAR($A1057),'Festive dates'!$A$2:$J$5,9,FALSE),$A1057&lt;=VLOOKUP(YEAR($A1057),'Festive dates'!$A$2:$J$5,10,FALSE)),1,0)</f>
        <v>0</v>
      </c>
      <c r="W1057" s="9">
        <f>IF($A1057=VLOOKUP(YEAR($A1057),'Festive dates'!$A$2:$J$5,7,FALSE),1,0)</f>
        <v>0</v>
      </c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</row>
    <row r="1058" spans="1:51">
      <c r="A1058" s="8">
        <v>46073</v>
      </c>
      <c r="B1058" s="9">
        <v>0</v>
      </c>
      <c r="C1058" s="9">
        <v>0</v>
      </c>
      <c r="D1058" s="9">
        <v>0</v>
      </c>
      <c r="E1058" s="9">
        <v>0</v>
      </c>
      <c r="F1058" s="9">
        <v>0</v>
      </c>
      <c r="G1058" s="9">
        <v>0</v>
      </c>
      <c r="H1058" s="9">
        <v>0</v>
      </c>
      <c r="I1058" s="9">
        <v>0</v>
      </c>
      <c r="J1058" s="9">
        <v>0</v>
      </c>
      <c r="K1058" s="9">
        <v>0</v>
      </c>
      <c r="L1058" s="9">
        <v>0</v>
      </c>
      <c r="M1058" s="9">
        <v>0</v>
      </c>
      <c r="N1058" s="9">
        <v>0</v>
      </c>
      <c r="O1058" s="9">
        <v>0</v>
      </c>
      <c r="P1058" s="9">
        <v>0</v>
      </c>
      <c r="Q1058" s="9">
        <f>MAX(-20,MIN(10,$A1058-VLOOKUP(YEAR($A1058),'Festive dates'!$A$2:$J$5,8,FALSE)))</f>
        <v>-20</v>
      </c>
      <c r="R1058" s="9">
        <f>IF(AND($A1058&gt;VLOOKUP(YEAR($A1058),'Festive dates'!$A$2:$J$5,2,FALSE),$A1058&lt;VLOOKUP(YEAR($A1058),'Festive dates'!$A$2:$J$5,3,FALSE)),1,0)</f>
        <v>0</v>
      </c>
      <c r="S1058" s="9">
        <f>IF($A1058=VLOOKUP(YEAR($A1058),'Festive dates'!$A$2:$J$5,2,FALSE),1,0)</f>
        <v>0</v>
      </c>
      <c r="T1058" s="9">
        <f>IF($A1058=VLOOKUP(YEAR($A1058),'Festive dates'!$A$2:$J$5,3,FALSE),1,0)</f>
        <v>0</v>
      </c>
      <c r="U1058" s="9">
        <f>IF($A1058=VLOOKUP(YEAR($A1058),'Festive dates'!$A$2:$J$5,4,FALSE),1,0)</f>
        <v>0</v>
      </c>
      <c r="V1058" s="9">
        <f>IF(AND($A1058&gt;=VLOOKUP(YEAR($A1058),'Festive dates'!$A$2:$J$5,9,FALSE),$A1058&lt;=VLOOKUP(YEAR($A1058),'Festive dates'!$A$2:$J$5,10,FALSE)),1,0)</f>
        <v>0</v>
      </c>
      <c r="W1058" s="9">
        <f>IF($A1058=VLOOKUP(YEAR($A1058),'Festive dates'!$A$2:$J$5,7,FALSE),1,0)</f>
        <v>0</v>
      </c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</row>
    <row r="1059" spans="1:51">
      <c r="A1059" s="8">
        <v>46074</v>
      </c>
      <c r="B1059" s="9">
        <v>0</v>
      </c>
      <c r="C1059" s="9">
        <v>0</v>
      </c>
      <c r="D1059" s="9">
        <v>0</v>
      </c>
      <c r="E1059" s="9">
        <v>0</v>
      </c>
      <c r="F1059" s="9">
        <v>0</v>
      </c>
      <c r="G1059" s="9">
        <v>0</v>
      </c>
      <c r="H1059" s="9">
        <v>0</v>
      </c>
      <c r="I1059" s="9">
        <v>0</v>
      </c>
      <c r="J1059" s="9">
        <v>0</v>
      </c>
      <c r="K1059" s="9">
        <v>0</v>
      </c>
      <c r="L1059" s="9">
        <v>0</v>
      </c>
      <c r="M1059" s="9">
        <v>0</v>
      </c>
      <c r="N1059" s="9">
        <v>0</v>
      </c>
      <c r="O1059" s="9">
        <v>0</v>
      </c>
      <c r="P1059" s="9">
        <v>0</v>
      </c>
      <c r="Q1059" s="9">
        <f>MAX(-20,MIN(10,$A1059-VLOOKUP(YEAR($A1059),'Festive dates'!$A$2:$J$5,8,FALSE)))</f>
        <v>-20</v>
      </c>
      <c r="R1059" s="9">
        <f>IF(AND($A1059&gt;VLOOKUP(YEAR($A1059),'Festive dates'!$A$2:$J$5,2,FALSE),$A1059&lt;VLOOKUP(YEAR($A1059),'Festive dates'!$A$2:$J$5,3,FALSE)),1,0)</f>
        <v>0</v>
      </c>
      <c r="S1059" s="9">
        <f>IF($A1059=VLOOKUP(YEAR($A1059),'Festive dates'!$A$2:$J$5,2,FALSE),1,0)</f>
        <v>0</v>
      </c>
      <c r="T1059" s="9">
        <f>IF($A1059=VLOOKUP(YEAR($A1059),'Festive dates'!$A$2:$J$5,3,FALSE),1,0)</f>
        <v>0</v>
      </c>
      <c r="U1059" s="9">
        <f>IF($A1059=VLOOKUP(YEAR($A1059),'Festive dates'!$A$2:$J$5,4,FALSE),1,0)</f>
        <v>0</v>
      </c>
      <c r="V1059" s="9">
        <f>IF(AND($A1059&gt;=VLOOKUP(YEAR($A1059),'Festive dates'!$A$2:$J$5,9,FALSE),$A1059&lt;=VLOOKUP(YEAR($A1059),'Festive dates'!$A$2:$J$5,10,FALSE)),1,0)</f>
        <v>0</v>
      </c>
      <c r="W1059" s="9">
        <f>IF($A1059=VLOOKUP(YEAR($A1059),'Festive dates'!$A$2:$J$5,7,FALSE),1,0)</f>
        <v>0</v>
      </c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</row>
    <row r="1060" spans="1:51">
      <c r="A1060" s="8">
        <v>46075</v>
      </c>
      <c r="B1060" s="9">
        <v>0</v>
      </c>
      <c r="C1060" s="9">
        <v>0</v>
      </c>
      <c r="D1060" s="9">
        <v>0</v>
      </c>
      <c r="E1060" s="9">
        <v>0</v>
      </c>
      <c r="F1060" s="9">
        <v>0</v>
      </c>
      <c r="G1060" s="9">
        <v>0</v>
      </c>
      <c r="H1060" s="9">
        <v>0</v>
      </c>
      <c r="I1060" s="9">
        <v>0</v>
      </c>
      <c r="J1060" s="9">
        <v>0</v>
      </c>
      <c r="K1060" s="9">
        <v>0</v>
      </c>
      <c r="L1060" s="9">
        <v>0</v>
      </c>
      <c r="M1060" s="9">
        <v>0</v>
      </c>
      <c r="N1060" s="9">
        <v>0</v>
      </c>
      <c r="O1060" s="9">
        <v>0</v>
      </c>
      <c r="P1060" s="9">
        <v>0</v>
      </c>
      <c r="Q1060" s="9">
        <f>MAX(-20,MIN(10,$A1060-VLOOKUP(YEAR($A1060),'Festive dates'!$A$2:$J$5,8,FALSE)))</f>
        <v>-20</v>
      </c>
      <c r="R1060" s="9">
        <f>IF(AND($A1060&gt;VLOOKUP(YEAR($A1060),'Festive dates'!$A$2:$J$5,2,FALSE),$A1060&lt;VLOOKUP(YEAR($A1060),'Festive dates'!$A$2:$J$5,3,FALSE)),1,0)</f>
        <v>0</v>
      </c>
      <c r="S1060" s="9">
        <f>IF($A1060=VLOOKUP(YEAR($A1060),'Festive dates'!$A$2:$J$5,2,FALSE),1,0)</f>
        <v>0</v>
      </c>
      <c r="T1060" s="9">
        <f>IF($A1060=VLOOKUP(YEAR($A1060),'Festive dates'!$A$2:$J$5,3,FALSE),1,0)</f>
        <v>0</v>
      </c>
      <c r="U1060" s="9">
        <f>IF($A1060=VLOOKUP(YEAR($A1060),'Festive dates'!$A$2:$J$5,4,FALSE),1,0)</f>
        <v>0</v>
      </c>
      <c r="V1060" s="9">
        <f>IF(AND($A1060&gt;=VLOOKUP(YEAR($A1060),'Festive dates'!$A$2:$J$5,9,FALSE),$A1060&lt;=VLOOKUP(YEAR($A1060),'Festive dates'!$A$2:$J$5,10,FALSE)),1,0)</f>
        <v>0</v>
      </c>
      <c r="W1060" s="9">
        <f>IF($A1060=VLOOKUP(YEAR($A1060),'Festive dates'!$A$2:$J$5,7,FALSE),1,0)</f>
        <v>0</v>
      </c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</row>
    <row r="1061" spans="1:51">
      <c r="A1061" s="8">
        <v>46076</v>
      </c>
      <c r="B1061" s="9">
        <v>0</v>
      </c>
      <c r="C1061" s="9">
        <v>0</v>
      </c>
      <c r="D1061" s="9">
        <v>0</v>
      </c>
      <c r="E1061" s="9">
        <v>0</v>
      </c>
      <c r="F1061" s="9">
        <v>0</v>
      </c>
      <c r="G1061" s="9">
        <v>0</v>
      </c>
      <c r="H1061" s="9">
        <v>0</v>
      </c>
      <c r="I1061" s="9">
        <v>0</v>
      </c>
      <c r="J1061" s="9">
        <v>0</v>
      </c>
      <c r="K1061" s="9">
        <v>0</v>
      </c>
      <c r="L1061" s="9">
        <v>0</v>
      </c>
      <c r="M1061" s="9">
        <v>0</v>
      </c>
      <c r="N1061" s="9">
        <v>0</v>
      </c>
      <c r="O1061" s="9">
        <v>0</v>
      </c>
      <c r="P1061" s="9">
        <v>1</v>
      </c>
      <c r="Q1061" s="9">
        <f>MAX(-20,MIN(10,$A1061-VLOOKUP(YEAR($A1061),'Festive dates'!$A$2:$J$5,8,FALSE)))</f>
        <v>-20</v>
      </c>
      <c r="R1061" s="9">
        <f>IF(AND($A1061&gt;VLOOKUP(YEAR($A1061),'Festive dates'!$A$2:$J$5,2,FALSE),$A1061&lt;VLOOKUP(YEAR($A1061),'Festive dates'!$A$2:$J$5,3,FALSE)),1,0)</f>
        <v>0</v>
      </c>
      <c r="S1061" s="9">
        <f>IF($A1061=VLOOKUP(YEAR($A1061),'Festive dates'!$A$2:$J$5,2,FALSE),1,0)</f>
        <v>0</v>
      </c>
      <c r="T1061" s="9">
        <f>IF($A1061=VLOOKUP(YEAR($A1061),'Festive dates'!$A$2:$J$5,3,FALSE),1,0)</f>
        <v>0</v>
      </c>
      <c r="U1061" s="9">
        <f>IF($A1061=VLOOKUP(YEAR($A1061),'Festive dates'!$A$2:$J$5,4,FALSE),1,0)</f>
        <v>0</v>
      </c>
      <c r="V1061" s="9">
        <f>IF(AND($A1061&gt;=VLOOKUP(YEAR($A1061),'Festive dates'!$A$2:$J$5,9,FALSE),$A1061&lt;=VLOOKUP(YEAR($A1061),'Festive dates'!$A$2:$J$5,10,FALSE)),1,0)</f>
        <v>0</v>
      </c>
      <c r="W1061" s="9">
        <f>IF($A1061=VLOOKUP(YEAR($A1061),'Festive dates'!$A$2:$J$5,7,FALSE),1,0)</f>
        <v>0</v>
      </c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</row>
    <row r="1062" spans="1:51">
      <c r="A1062" s="8">
        <v>46077</v>
      </c>
      <c r="B1062" s="9">
        <v>0</v>
      </c>
      <c r="C1062" s="9">
        <v>0</v>
      </c>
      <c r="D1062" s="9">
        <v>0</v>
      </c>
      <c r="E1062" s="9">
        <v>0</v>
      </c>
      <c r="F1062" s="9">
        <v>0</v>
      </c>
      <c r="G1062" s="9">
        <v>0</v>
      </c>
      <c r="H1062" s="9">
        <v>0</v>
      </c>
      <c r="I1062" s="9">
        <v>0</v>
      </c>
      <c r="J1062" s="9">
        <v>0</v>
      </c>
      <c r="K1062" s="9">
        <v>0</v>
      </c>
      <c r="L1062" s="9">
        <v>0</v>
      </c>
      <c r="M1062" s="9">
        <v>0</v>
      </c>
      <c r="N1062" s="9">
        <v>0</v>
      </c>
      <c r="O1062" s="9">
        <v>0</v>
      </c>
      <c r="P1062" s="9">
        <v>1</v>
      </c>
      <c r="Q1062" s="9">
        <f>MAX(-20,MIN(10,$A1062-VLOOKUP(YEAR($A1062),'Festive dates'!$A$2:$J$5,8,FALSE)))</f>
        <v>-20</v>
      </c>
      <c r="R1062" s="9">
        <f>IF(AND($A1062&gt;VLOOKUP(YEAR($A1062),'Festive dates'!$A$2:$J$5,2,FALSE),$A1062&lt;VLOOKUP(YEAR($A1062),'Festive dates'!$A$2:$J$5,3,FALSE)),1,0)</f>
        <v>0</v>
      </c>
      <c r="S1062" s="9">
        <f>IF($A1062=VLOOKUP(YEAR($A1062),'Festive dates'!$A$2:$J$5,2,FALSE),1,0)</f>
        <v>0</v>
      </c>
      <c r="T1062" s="9">
        <f>IF($A1062=VLOOKUP(YEAR($A1062),'Festive dates'!$A$2:$J$5,3,FALSE),1,0)</f>
        <v>0</v>
      </c>
      <c r="U1062" s="9">
        <f>IF($A1062=VLOOKUP(YEAR($A1062),'Festive dates'!$A$2:$J$5,4,FALSE),1,0)</f>
        <v>0</v>
      </c>
      <c r="V1062" s="9">
        <f>IF(AND($A1062&gt;=VLOOKUP(YEAR($A1062),'Festive dates'!$A$2:$J$5,9,FALSE),$A1062&lt;=VLOOKUP(YEAR($A1062),'Festive dates'!$A$2:$J$5,10,FALSE)),1,0)</f>
        <v>0</v>
      </c>
      <c r="W1062" s="9">
        <f>IF($A1062=VLOOKUP(YEAR($A1062),'Festive dates'!$A$2:$J$5,7,FALSE),1,0)</f>
        <v>0</v>
      </c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</row>
    <row r="1063" spans="1:51">
      <c r="A1063" s="8">
        <v>46078</v>
      </c>
      <c r="B1063" s="9">
        <v>0</v>
      </c>
      <c r="C1063" s="9">
        <v>0</v>
      </c>
      <c r="D1063" s="9">
        <v>0</v>
      </c>
      <c r="E1063" s="9">
        <v>0</v>
      </c>
      <c r="F1063" s="9">
        <v>0</v>
      </c>
      <c r="G1063" s="9">
        <v>0</v>
      </c>
      <c r="H1063" s="9">
        <v>0</v>
      </c>
      <c r="I1063" s="9">
        <v>0</v>
      </c>
      <c r="J1063" s="9">
        <v>0</v>
      </c>
      <c r="K1063" s="9">
        <v>0</v>
      </c>
      <c r="L1063" s="9">
        <v>0</v>
      </c>
      <c r="M1063" s="9">
        <v>0</v>
      </c>
      <c r="N1063" s="9">
        <v>0</v>
      </c>
      <c r="O1063" s="9">
        <v>0</v>
      </c>
      <c r="P1063" s="9">
        <v>1</v>
      </c>
      <c r="Q1063" s="9">
        <f>MAX(-20,MIN(10,$A1063-VLOOKUP(YEAR($A1063),'Festive dates'!$A$2:$J$5,8,FALSE)))</f>
        <v>-20</v>
      </c>
      <c r="R1063" s="9">
        <f>IF(AND($A1063&gt;VLOOKUP(YEAR($A1063),'Festive dates'!$A$2:$J$5,2,FALSE),$A1063&lt;VLOOKUP(YEAR($A1063),'Festive dates'!$A$2:$J$5,3,FALSE)),1,0)</f>
        <v>0</v>
      </c>
      <c r="S1063" s="9">
        <f>IF($A1063=VLOOKUP(YEAR($A1063),'Festive dates'!$A$2:$J$5,2,FALSE),1,0)</f>
        <v>0</v>
      </c>
      <c r="T1063" s="9">
        <f>IF($A1063=VLOOKUP(YEAR($A1063),'Festive dates'!$A$2:$J$5,3,FALSE),1,0)</f>
        <v>0</v>
      </c>
      <c r="U1063" s="9">
        <f>IF($A1063=VLOOKUP(YEAR($A1063),'Festive dates'!$A$2:$J$5,4,FALSE),1,0)</f>
        <v>0</v>
      </c>
      <c r="V1063" s="9">
        <f>IF(AND($A1063&gt;=VLOOKUP(YEAR($A1063),'Festive dates'!$A$2:$J$5,9,FALSE),$A1063&lt;=VLOOKUP(YEAR($A1063),'Festive dates'!$A$2:$J$5,10,FALSE)),1,0)</f>
        <v>0</v>
      </c>
      <c r="W1063" s="9">
        <f>IF($A1063=VLOOKUP(YEAR($A1063),'Festive dates'!$A$2:$J$5,7,FALSE),1,0)</f>
        <v>0</v>
      </c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</row>
    <row r="1064" spans="1:51">
      <c r="A1064" s="8">
        <v>46079</v>
      </c>
      <c r="B1064" s="9">
        <v>0</v>
      </c>
      <c r="C1064" s="9">
        <v>0</v>
      </c>
      <c r="D1064" s="9">
        <v>0</v>
      </c>
      <c r="E1064" s="9">
        <v>0</v>
      </c>
      <c r="F1064" s="9">
        <v>0</v>
      </c>
      <c r="G1064" s="9">
        <v>0</v>
      </c>
      <c r="H1064" s="9">
        <v>0</v>
      </c>
      <c r="I1064" s="9">
        <v>0</v>
      </c>
      <c r="J1064" s="9">
        <v>0</v>
      </c>
      <c r="K1064" s="9">
        <v>0</v>
      </c>
      <c r="L1064" s="9">
        <v>0</v>
      </c>
      <c r="M1064" s="9">
        <v>0</v>
      </c>
      <c r="N1064" s="9">
        <v>0</v>
      </c>
      <c r="O1064" s="9">
        <v>0</v>
      </c>
      <c r="P1064" s="9">
        <v>0</v>
      </c>
      <c r="Q1064" s="9">
        <f>MAX(-20,MIN(10,$A1064-VLOOKUP(YEAR($A1064),'Festive dates'!$A$2:$J$5,8,FALSE)))</f>
        <v>-20</v>
      </c>
      <c r="R1064" s="9">
        <f>IF(AND($A1064&gt;VLOOKUP(YEAR($A1064),'Festive dates'!$A$2:$J$5,2,FALSE),$A1064&lt;VLOOKUP(YEAR($A1064),'Festive dates'!$A$2:$J$5,3,FALSE)),1,0)</f>
        <v>0</v>
      </c>
      <c r="S1064" s="9">
        <f>IF($A1064=VLOOKUP(YEAR($A1064),'Festive dates'!$A$2:$J$5,2,FALSE),1,0)</f>
        <v>0</v>
      </c>
      <c r="T1064" s="9">
        <f>IF($A1064=VLOOKUP(YEAR($A1064),'Festive dates'!$A$2:$J$5,3,FALSE),1,0)</f>
        <v>0</v>
      </c>
      <c r="U1064" s="9">
        <f>IF($A1064=VLOOKUP(YEAR($A1064),'Festive dates'!$A$2:$J$5,4,FALSE),1,0)</f>
        <v>0</v>
      </c>
      <c r="V1064" s="9">
        <f>IF(AND($A1064&gt;=VLOOKUP(YEAR($A1064),'Festive dates'!$A$2:$J$5,9,FALSE),$A1064&lt;=VLOOKUP(YEAR($A1064),'Festive dates'!$A$2:$J$5,10,FALSE)),1,0)</f>
        <v>0</v>
      </c>
      <c r="W1064" s="9">
        <f>IF($A1064=VLOOKUP(YEAR($A1064),'Festive dates'!$A$2:$J$5,7,FALSE),1,0)</f>
        <v>0</v>
      </c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</row>
    <row r="1065" spans="1:51">
      <c r="A1065" s="8">
        <v>46080</v>
      </c>
      <c r="B1065" s="9">
        <v>0</v>
      </c>
      <c r="C1065" s="9">
        <v>0</v>
      </c>
      <c r="D1065" s="9">
        <v>0</v>
      </c>
      <c r="E1065" s="9">
        <v>0</v>
      </c>
      <c r="F1065" s="9">
        <v>0</v>
      </c>
      <c r="G1065" s="9">
        <v>0</v>
      </c>
      <c r="H1065" s="9">
        <v>0</v>
      </c>
      <c r="I1065" s="9">
        <v>0</v>
      </c>
      <c r="J1065" s="9">
        <v>0</v>
      </c>
      <c r="K1065" s="9">
        <v>0</v>
      </c>
      <c r="L1065" s="9">
        <v>0</v>
      </c>
      <c r="M1065" s="9">
        <v>0</v>
      </c>
      <c r="N1065" s="9">
        <v>0</v>
      </c>
      <c r="O1065" s="9">
        <v>0</v>
      </c>
      <c r="P1065" s="9">
        <v>0</v>
      </c>
      <c r="Q1065" s="9">
        <f>MAX(-20,MIN(10,$A1065-VLOOKUP(YEAR($A1065),'Festive dates'!$A$2:$J$5,8,FALSE)))</f>
        <v>-20</v>
      </c>
      <c r="R1065" s="9">
        <f>IF(AND($A1065&gt;VLOOKUP(YEAR($A1065),'Festive dates'!$A$2:$J$5,2,FALSE),$A1065&lt;VLOOKUP(YEAR($A1065),'Festive dates'!$A$2:$J$5,3,FALSE)),1,0)</f>
        <v>0</v>
      </c>
      <c r="S1065" s="9">
        <f>IF($A1065=VLOOKUP(YEAR($A1065),'Festive dates'!$A$2:$J$5,2,FALSE),1,0)</f>
        <v>0</v>
      </c>
      <c r="T1065" s="9">
        <f>IF($A1065=VLOOKUP(YEAR($A1065),'Festive dates'!$A$2:$J$5,3,FALSE),1,0)</f>
        <v>0</v>
      </c>
      <c r="U1065" s="9">
        <f>IF($A1065=VLOOKUP(YEAR($A1065),'Festive dates'!$A$2:$J$5,4,FALSE),1,0)</f>
        <v>0</v>
      </c>
      <c r="V1065" s="9">
        <f>IF(AND($A1065&gt;=VLOOKUP(YEAR($A1065),'Festive dates'!$A$2:$J$5,9,FALSE),$A1065&lt;=VLOOKUP(YEAR($A1065),'Festive dates'!$A$2:$J$5,10,FALSE)),1,0)</f>
        <v>0</v>
      </c>
      <c r="W1065" s="9">
        <f>IF($A1065=VLOOKUP(YEAR($A1065),'Festive dates'!$A$2:$J$5,7,FALSE),1,0)</f>
        <v>0</v>
      </c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</row>
    <row r="1066" spans="1:51">
      <c r="A1066" s="8">
        <v>46081</v>
      </c>
      <c r="B1066" s="9">
        <v>0</v>
      </c>
      <c r="C1066" s="9">
        <v>0</v>
      </c>
      <c r="D1066" s="9">
        <v>0</v>
      </c>
      <c r="E1066" s="9">
        <v>0</v>
      </c>
      <c r="F1066" s="9">
        <v>0</v>
      </c>
      <c r="G1066" s="9">
        <v>0</v>
      </c>
      <c r="H1066" s="9">
        <v>0</v>
      </c>
      <c r="I1066" s="9">
        <v>0</v>
      </c>
      <c r="J1066" s="9">
        <v>0</v>
      </c>
      <c r="K1066" s="9">
        <v>0</v>
      </c>
      <c r="L1066" s="9">
        <v>0</v>
      </c>
      <c r="M1066" s="9">
        <v>0</v>
      </c>
      <c r="N1066" s="9">
        <v>0</v>
      </c>
      <c r="O1066" s="9">
        <v>0</v>
      </c>
      <c r="P1066" s="9">
        <v>1</v>
      </c>
      <c r="Q1066" s="9">
        <f>MAX(-20,MIN(10,$A1066-VLOOKUP(YEAR($A1066),'Festive dates'!$A$2:$J$5,8,FALSE)))</f>
        <v>-20</v>
      </c>
      <c r="R1066" s="9">
        <f>IF(AND($A1066&gt;VLOOKUP(YEAR($A1066),'Festive dates'!$A$2:$J$5,2,FALSE),$A1066&lt;VLOOKUP(YEAR($A1066),'Festive dates'!$A$2:$J$5,3,FALSE)),1,0)</f>
        <v>0</v>
      </c>
      <c r="S1066" s="9">
        <f>IF($A1066=VLOOKUP(YEAR($A1066),'Festive dates'!$A$2:$J$5,2,FALSE),1,0)</f>
        <v>0</v>
      </c>
      <c r="T1066" s="9">
        <f>IF($A1066=VLOOKUP(YEAR($A1066),'Festive dates'!$A$2:$J$5,3,FALSE),1,0)</f>
        <v>0</v>
      </c>
      <c r="U1066" s="9">
        <f>IF($A1066=VLOOKUP(YEAR($A1066),'Festive dates'!$A$2:$J$5,4,FALSE),1,0)</f>
        <v>0</v>
      </c>
      <c r="V1066" s="9">
        <f>IF(AND($A1066&gt;=VLOOKUP(YEAR($A1066),'Festive dates'!$A$2:$J$5,9,FALSE),$A1066&lt;=VLOOKUP(YEAR($A1066),'Festive dates'!$A$2:$J$5,10,FALSE)),1,0)</f>
        <v>0</v>
      </c>
      <c r="W1066" s="9">
        <f>IF($A1066=VLOOKUP(YEAR($A1066),'Festive dates'!$A$2:$J$5,7,FALSE),1,0)</f>
        <v>0</v>
      </c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</row>
    <row r="1067" spans="1:51">
      <c r="A1067" s="8">
        <v>46082</v>
      </c>
      <c r="B1067" s="9">
        <v>0</v>
      </c>
      <c r="C1067" s="9">
        <v>0</v>
      </c>
      <c r="D1067" s="9">
        <v>0</v>
      </c>
      <c r="E1067" s="9">
        <v>0</v>
      </c>
      <c r="F1067" s="9">
        <v>0</v>
      </c>
      <c r="G1067" s="9">
        <v>0</v>
      </c>
      <c r="H1067" s="9">
        <v>0</v>
      </c>
      <c r="I1067" s="9">
        <v>0</v>
      </c>
      <c r="J1067" s="9">
        <v>0</v>
      </c>
      <c r="K1067" s="9">
        <v>0</v>
      </c>
      <c r="L1067" s="9">
        <v>0</v>
      </c>
      <c r="M1067" s="9">
        <v>0</v>
      </c>
      <c r="N1067" s="9">
        <v>0</v>
      </c>
      <c r="O1067" s="9">
        <v>0</v>
      </c>
      <c r="P1067" s="9">
        <v>1</v>
      </c>
      <c r="Q1067" s="9">
        <f>MAX(-20,MIN(10,$A1067-VLOOKUP(YEAR($A1067),'Festive dates'!$A$2:$J$5,8,FALSE)))</f>
        <v>-20</v>
      </c>
      <c r="R1067" s="9">
        <f>IF(AND($A1067&gt;VLOOKUP(YEAR($A1067),'Festive dates'!$A$2:$J$5,2,FALSE),$A1067&lt;VLOOKUP(YEAR($A1067),'Festive dates'!$A$2:$J$5,3,FALSE)),1,0)</f>
        <v>0</v>
      </c>
      <c r="S1067" s="9">
        <f>IF($A1067=VLOOKUP(YEAR($A1067),'Festive dates'!$A$2:$J$5,2,FALSE),1,0)</f>
        <v>0</v>
      </c>
      <c r="T1067" s="9">
        <f>IF($A1067=VLOOKUP(YEAR($A1067),'Festive dates'!$A$2:$J$5,3,FALSE),1,0)</f>
        <v>0</v>
      </c>
      <c r="U1067" s="9">
        <f>IF($A1067=VLOOKUP(YEAR($A1067),'Festive dates'!$A$2:$J$5,4,FALSE),1,0)</f>
        <v>0</v>
      </c>
      <c r="V1067" s="9">
        <f>IF(AND($A1067&gt;=VLOOKUP(YEAR($A1067),'Festive dates'!$A$2:$J$5,9,FALSE),$A1067&lt;=VLOOKUP(YEAR($A1067),'Festive dates'!$A$2:$J$5,10,FALSE)),1,0)</f>
        <v>0</v>
      </c>
      <c r="W1067" s="9">
        <f>IF($A1067=VLOOKUP(YEAR($A1067),'Festive dates'!$A$2:$J$5,7,FALSE),1,0)</f>
        <v>0</v>
      </c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</row>
    <row r="1068" spans="1:51">
      <c r="A1068" s="8">
        <v>46083</v>
      </c>
      <c r="B1068" s="9">
        <v>0</v>
      </c>
      <c r="C1068" s="9">
        <v>0</v>
      </c>
      <c r="D1068" s="9">
        <v>0</v>
      </c>
      <c r="E1068" s="9">
        <v>0</v>
      </c>
      <c r="F1068" s="9">
        <v>0</v>
      </c>
      <c r="G1068" s="9">
        <v>0</v>
      </c>
      <c r="H1068" s="9">
        <v>0</v>
      </c>
      <c r="I1068" s="9">
        <v>0</v>
      </c>
      <c r="J1068" s="9">
        <v>0</v>
      </c>
      <c r="K1068" s="9">
        <v>0</v>
      </c>
      <c r="L1068" s="9">
        <v>0</v>
      </c>
      <c r="M1068" s="9">
        <v>0</v>
      </c>
      <c r="N1068" s="9">
        <v>0</v>
      </c>
      <c r="O1068" s="9">
        <v>0</v>
      </c>
      <c r="P1068" s="9">
        <v>1</v>
      </c>
      <c r="Q1068" s="9">
        <f>MAX(-20,MIN(10,$A1068-VLOOKUP(YEAR($A1068),'Festive dates'!$A$2:$J$5,8,FALSE)))</f>
        <v>-20</v>
      </c>
      <c r="R1068" s="9">
        <f>IF(AND($A1068&gt;VLOOKUP(YEAR($A1068),'Festive dates'!$A$2:$J$5,2,FALSE),$A1068&lt;VLOOKUP(YEAR($A1068),'Festive dates'!$A$2:$J$5,3,FALSE)),1,0)</f>
        <v>0</v>
      </c>
      <c r="S1068" s="9">
        <f>IF($A1068=VLOOKUP(YEAR($A1068),'Festive dates'!$A$2:$J$5,2,FALSE),1,0)</f>
        <v>0</v>
      </c>
      <c r="T1068" s="9">
        <f>IF($A1068=VLOOKUP(YEAR($A1068),'Festive dates'!$A$2:$J$5,3,FALSE),1,0)</f>
        <v>0</v>
      </c>
      <c r="U1068" s="9">
        <f>IF($A1068=VLOOKUP(YEAR($A1068),'Festive dates'!$A$2:$J$5,4,FALSE),1,0)</f>
        <v>0</v>
      </c>
      <c r="V1068" s="9">
        <f>IF(AND($A1068&gt;=VLOOKUP(YEAR($A1068),'Festive dates'!$A$2:$J$5,9,FALSE),$A1068&lt;=VLOOKUP(YEAR($A1068),'Festive dates'!$A$2:$J$5,10,FALSE)),1,0)</f>
        <v>0</v>
      </c>
      <c r="W1068" s="9">
        <f>IF($A1068=VLOOKUP(YEAR($A1068),'Festive dates'!$A$2:$J$5,7,FALSE),1,0)</f>
        <v>0</v>
      </c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</row>
    <row r="1069" spans="1:51">
      <c r="A1069" s="8">
        <v>46084</v>
      </c>
      <c r="B1069" s="9">
        <v>0</v>
      </c>
      <c r="C1069" s="9">
        <v>0</v>
      </c>
      <c r="D1069" s="9">
        <v>0</v>
      </c>
      <c r="E1069" s="9">
        <v>0</v>
      </c>
      <c r="F1069" s="9">
        <v>0</v>
      </c>
      <c r="G1069" s="9">
        <v>0</v>
      </c>
      <c r="H1069" s="9">
        <v>0</v>
      </c>
      <c r="I1069" s="9">
        <v>0</v>
      </c>
      <c r="J1069" s="9">
        <v>0</v>
      </c>
      <c r="K1069" s="9">
        <v>0</v>
      </c>
      <c r="L1069" s="9">
        <v>0</v>
      </c>
      <c r="M1069" s="9">
        <v>0</v>
      </c>
      <c r="N1069" s="9">
        <v>0</v>
      </c>
      <c r="O1069" s="9">
        <v>0</v>
      </c>
      <c r="P1069" s="9">
        <v>0</v>
      </c>
      <c r="Q1069" s="9">
        <f>MAX(-20,MIN(10,$A1069-VLOOKUP(YEAR($A1069),'Festive dates'!$A$2:$J$5,8,FALSE)))</f>
        <v>-20</v>
      </c>
      <c r="R1069" s="9">
        <f>IF(AND($A1069&gt;VLOOKUP(YEAR($A1069),'Festive dates'!$A$2:$J$5,2,FALSE),$A1069&lt;VLOOKUP(YEAR($A1069),'Festive dates'!$A$2:$J$5,3,FALSE)),1,0)</f>
        <v>0</v>
      </c>
      <c r="S1069" s="9">
        <f>IF($A1069=VLOOKUP(YEAR($A1069),'Festive dates'!$A$2:$J$5,2,FALSE),1,0)</f>
        <v>0</v>
      </c>
      <c r="T1069" s="9">
        <f>IF($A1069=VLOOKUP(YEAR($A1069),'Festive dates'!$A$2:$J$5,3,FALSE),1,0)</f>
        <v>0</v>
      </c>
      <c r="U1069" s="9">
        <f>IF($A1069=VLOOKUP(YEAR($A1069),'Festive dates'!$A$2:$J$5,4,FALSE),1,0)</f>
        <v>0</v>
      </c>
      <c r="V1069" s="9">
        <f>IF(AND($A1069&gt;=VLOOKUP(YEAR($A1069),'Festive dates'!$A$2:$J$5,9,FALSE),$A1069&lt;=VLOOKUP(YEAR($A1069),'Festive dates'!$A$2:$J$5,10,FALSE)),1,0)</f>
        <v>0</v>
      </c>
      <c r="W1069" s="9">
        <f>IF($A1069=VLOOKUP(YEAR($A1069),'Festive dates'!$A$2:$J$5,7,FALSE),1,0)</f>
        <v>0</v>
      </c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</row>
    <row r="1070" spans="1:51">
      <c r="A1070" s="8">
        <v>46085</v>
      </c>
      <c r="B1070" s="9">
        <v>0</v>
      </c>
      <c r="C1070" s="9">
        <v>0</v>
      </c>
      <c r="D1070" s="9">
        <v>0</v>
      </c>
      <c r="E1070" s="9">
        <v>0</v>
      </c>
      <c r="F1070" s="9">
        <v>0</v>
      </c>
      <c r="G1070" s="9">
        <v>0</v>
      </c>
      <c r="H1070" s="9">
        <v>0</v>
      </c>
      <c r="I1070" s="9">
        <v>0</v>
      </c>
      <c r="J1070" s="9">
        <v>0</v>
      </c>
      <c r="K1070" s="9">
        <v>0</v>
      </c>
      <c r="L1070" s="9">
        <v>0</v>
      </c>
      <c r="M1070" s="9">
        <v>0</v>
      </c>
      <c r="N1070" s="9">
        <v>0</v>
      </c>
      <c r="O1070" s="9">
        <v>0</v>
      </c>
      <c r="P1070" s="9">
        <v>1</v>
      </c>
      <c r="Q1070" s="9">
        <f>MAX(-20,MIN(10,$A1070-VLOOKUP(YEAR($A1070),'Festive dates'!$A$2:$J$5,8,FALSE)))</f>
        <v>-20</v>
      </c>
      <c r="R1070" s="9">
        <f>IF(AND($A1070&gt;VLOOKUP(YEAR($A1070),'Festive dates'!$A$2:$J$5,2,FALSE),$A1070&lt;VLOOKUP(YEAR($A1070),'Festive dates'!$A$2:$J$5,3,FALSE)),1,0)</f>
        <v>0</v>
      </c>
      <c r="S1070" s="9">
        <f>IF($A1070=VLOOKUP(YEAR($A1070),'Festive dates'!$A$2:$J$5,2,FALSE),1,0)</f>
        <v>0</v>
      </c>
      <c r="T1070" s="9">
        <f>IF($A1070=VLOOKUP(YEAR($A1070),'Festive dates'!$A$2:$J$5,3,FALSE),1,0)</f>
        <v>0</v>
      </c>
      <c r="U1070" s="9">
        <f>IF($A1070=VLOOKUP(YEAR($A1070),'Festive dates'!$A$2:$J$5,4,FALSE),1,0)</f>
        <v>0</v>
      </c>
      <c r="V1070" s="9">
        <f>IF(AND($A1070&gt;=VLOOKUP(YEAR($A1070),'Festive dates'!$A$2:$J$5,9,FALSE),$A1070&lt;=VLOOKUP(YEAR($A1070),'Festive dates'!$A$2:$J$5,10,FALSE)),1,0)</f>
        <v>0</v>
      </c>
      <c r="W1070" s="9">
        <f>IF($A1070=VLOOKUP(YEAR($A1070),'Festive dates'!$A$2:$J$5,7,FALSE),1,0)</f>
        <v>0</v>
      </c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</row>
    <row r="1071" spans="1:51">
      <c r="A1071" s="8">
        <v>46086</v>
      </c>
      <c r="B1071" s="9">
        <v>0</v>
      </c>
      <c r="C1071" s="9">
        <v>0</v>
      </c>
      <c r="D1071" s="9">
        <v>0</v>
      </c>
      <c r="E1071" s="9">
        <v>0</v>
      </c>
      <c r="F1071" s="9">
        <v>0</v>
      </c>
      <c r="G1071" s="9">
        <v>0</v>
      </c>
      <c r="H1071" s="9">
        <v>0</v>
      </c>
      <c r="I1071" s="9">
        <v>0</v>
      </c>
      <c r="J1071" s="9">
        <v>0</v>
      </c>
      <c r="K1071" s="9">
        <v>0</v>
      </c>
      <c r="L1071" s="9">
        <v>0</v>
      </c>
      <c r="M1071" s="9">
        <v>0</v>
      </c>
      <c r="N1071" s="9">
        <v>0</v>
      </c>
      <c r="O1071" s="9">
        <v>0</v>
      </c>
      <c r="P1071" s="9">
        <v>1</v>
      </c>
      <c r="Q1071" s="9">
        <f>MAX(-20,MIN(10,$A1071-VLOOKUP(YEAR($A1071),'Festive dates'!$A$2:$J$5,8,FALSE)))</f>
        <v>-20</v>
      </c>
      <c r="R1071" s="9">
        <f>IF(AND($A1071&gt;VLOOKUP(YEAR($A1071),'Festive dates'!$A$2:$J$5,2,FALSE),$A1071&lt;VLOOKUP(YEAR($A1071),'Festive dates'!$A$2:$J$5,3,FALSE)),1,0)</f>
        <v>0</v>
      </c>
      <c r="S1071" s="9">
        <f>IF($A1071=VLOOKUP(YEAR($A1071),'Festive dates'!$A$2:$J$5,2,FALSE),1,0)</f>
        <v>0</v>
      </c>
      <c r="T1071" s="9">
        <f>IF($A1071=VLOOKUP(YEAR($A1071),'Festive dates'!$A$2:$J$5,3,FALSE),1,0)</f>
        <v>0</v>
      </c>
      <c r="U1071" s="9">
        <f>IF($A1071=VLOOKUP(YEAR($A1071),'Festive dates'!$A$2:$J$5,4,FALSE),1,0)</f>
        <v>0</v>
      </c>
      <c r="V1071" s="9">
        <f>IF(AND($A1071&gt;=VLOOKUP(YEAR($A1071),'Festive dates'!$A$2:$J$5,9,FALSE),$A1071&lt;=VLOOKUP(YEAR($A1071),'Festive dates'!$A$2:$J$5,10,FALSE)),1,0)</f>
        <v>0</v>
      </c>
      <c r="W1071" s="9">
        <f>IF($A1071=VLOOKUP(YEAR($A1071),'Festive dates'!$A$2:$J$5,7,FALSE),1,0)</f>
        <v>0</v>
      </c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</row>
    <row r="1072" spans="1:51">
      <c r="A1072" s="8">
        <v>46087</v>
      </c>
      <c r="B1072" s="9">
        <v>0</v>
      </c>
      <c r="C1072" s="9">
        <v>0</v>
      </c>
      <c r="D1072" s="9">
        <v>0</v>
      </c>
      <c r="E1072" s="9">
        <v>0</v>
      </c>
      <c r="F1072" s="9">
        <v>0</v>
      </c>
      <c r="G1072" s="9">
        <v>0</v>
      </c>
      <c r="H1072" s="9">
        <v>0</v>
      </c>
      <c r="I1072" s="9">
        <v>0</v>
      </c>
      <c r="J1072" s="9">
        <v>0</v>
      </c>
      <c r="K1072" s="9">
        <v>0</v>
      </c>
      <c r="L1072" s="9">
        <v>0</v>
      </c>
      <c r="M1072" s="9">
        <v>0</v>
      </c>
      <c r="N1072" s="9">
        <v>0</v>
      </c>
      <c r="O1072" s="9">
        <v>0</v>
      </c>
      <c r="P1072" s="9">
        <v>0</v>
      </c>
      <c r="Q1072" s="9">
        <f>MAX(-20,MIN(10,$A1072-VLOOKUP(YEAR($A1072),'Festive dates'!$A$2:$J$5,8,FALSE)))</f>
        <v>-20</v>
      </c>
      <c r="R1072" s="9">
        <f>IF(AND($A1072&gt;VLOOKUP(YEAR($A1072),'Festive dates'!$A$2:$J$5,2,FALSE),$A1072&lt;VLOOKUP(YEAR($A1072),'Festive dates'!$A$2:$J$5,3,FALSE)),1,0)</f>
        <v>0</v>
      </c>
      <c r="S1072" s="9">
        <f>IF($A1072=VLOOKUP(YEAR($A1072),'Festive dates'!$A$2:$J$5,2,FALSE),1,0)</f>
        <v>0</v>
      </c>
      <c r="T1072" s="9">
        <f>IF($A1072=VLOOKUP(YEAR($A1072),'Festive dates'!$A$2:$J$5,3,FALSE),1,0)</f>
        <v>0</v>
      </c>
      <c r="U1072" s="9">
        <f>IF($A1072=VLOOKUP(YEAR($A1072),'Festive dates'!$A$2:$J$5,4,FALSE),1,0)</f>
        <v>0</v>
      </c>
      <c r="V1072" s="9">
        <f>IF(AND($A1072&gt;=VLOOKUP(YEAR($A1072),'Festive dates'!$A$2:$J$5,9,FALSE),$A1072&lt;=VLOOKUP(YEAR($A1072),'Festive dates'!$A$2:$J$5,10,FALSE)),1,0)</f>
        <v>0</v>
      </c>
      <c r="W1072" s="9">
        <f>IF($A1072=VLOOKUP(YEAR($A1072),'Festive dates'!$A$2:$J$5,7,FALSE),1,0)</f>
        <v>0</v>
      </c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</row>
    <row r="1073" spans="1:51">
      <c r="A1073" s="8">
        <v>46088</v>
      </c>
      <c r="B1073" s="9">
        <v>0</v>
      </c>
      <c r="C1073" s="9">
        <v>0</v>
      </c>
      <c r="D1073" s="9">
        <v>0</v>
      </c>
      <c r="E1073" s="9">
        <v>0</v>
      </c>
      <c r="F1073" s="9">
        <v>0</v>
      </c>
      <c r="G1073" s="9">
        <v>0</v>
      </c>
      <c r="H1073" s="9">
        <v>0</v>
      </c>
      <c r="I1073" s="9">
        <v>0</v>
      </c>
      <c r="J1073" s="9">
        <v>0</v>
      </c>
      <c r="K1073" s="9">
        <v>0</v>
      </c>
      <c r="L1073" s="9">
        <v>0</v>
      </c>
      <c r="M1073" s="9">
        <v>0</v>
      </c>
      <c r="N1073" s="9">
        <v>0</v>
      </c>
      <c r="O1073" s="9">
        <v>0</v>
      </c>
      <c r="P1073" s="9">
        <v>0</v>
      </c>
      <c r="Q1073" s="9">
        <f>MAX(-20,MIN(10,$A1073-VLOOKUP(YEAR($A1073),'Festive dates'!$A$2:$J$5,8,FALSE)))</f>
        <v>-20</v>
      </c>
      <c r="R1073" s="9">
        <f>IF(AND($A1073&gt;VLOOKUP(YEAR($A1073),'Festive dates'!$A$2:$J$5,2,FALSE),$A1073&lt;VLOOKUP(YEAR($A1073),'Festive dates'!$A$2:$J$5,3,FALSE)),1,0)</f>
        <v>0</v>
      </c>
      <c r="S1073" s="9">
        <f>IF($A1073=VLOOKUP(YEAR($A1073),'Festive dates'!$A$2:$J$5,2,FALSE),1,0)</f>
        <v>0</v>
      </c>
      <c r="T1073" s="9">
        <f>IF($A1073=VLOOKUP(YEAR($A1073),'Festive dates'!$A$2:$J$5,3,FALSE),1,0)</f>
        <v>0</v>
      </c>
      <c r="U1073" s="9">
        <f>IF($A1073=VLOOKUP(YEAR($A1073),'Festive dates'!$A$2:$J$5,4,FALSE),1,0)</f>
        <v>0</v>
      </c>
      <c r="V1073" s="9">
        <f>IF(AND($A1073&gt;=VLOOKUP(YEAR($A1073),'Festive dates'!$A$2:$J$5,9,FALSE),$A1073&lt;=VLOOKUP(YEAR($A1073),'Festive dates'!$A$2:$J$5,10,FALSE)),1,0)</f>
        <v>0</v>
      </c>
      <c r="W1073" s="9">
        <f>IF($A1073=VLOOKUP(YEAR($A1073),'Festive dates'!$A$2:$J$5,7,FALSE),1,0)</f>
        <v>0</v>
      </c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</row>
    <row r="1074" spans="1:51">
      <c r="A1074" s="8">
        <v>46089</v>
      </c>
      <c r="B1074" s="9">
        <v>0</v>
      </c>
      <c r="C1074" s="9">
        <v>0</v>
      </c>
      <c r="D1074" s="9">
        <v>0</v>
      </c>
      <c r="E1074" s="9">
        <v>0</v>
      </c>
      <c r="F1074" s="9">
        <v>0</v>
      </c>
      <c r="G1074" s="9">
        <v>0</v>
      </c>
      <c r="H1074" s="9">
        <v>0</v>
      </c>
      <c r="I1074" s="9">
        <v>0</v>
      </c>
      <c r="J1074" s="9">
        <v>0</v>
      </c>
      <c r="K1074" s="9">
        <v>0</v>
      </c>
      <c r="L1074" s="9">
        <v>0</v>
      </c>
      <c r="M1074" s="9">
        <v>0</v>
      </c>
      <c r="N1074" s="9">
        <v>0</v>
      </c>
      <c r="O1074" s="9">
        <v>0</v>
      </c>
      <c r="P1074" s="9">
        <v>0</v>
      </c>
      <c r="Q1074" s="9">
        <f>MAX(-20,MIN(10,$A1074-VLOOKUP(YEAR($A1074),'Festive dates'!$A$2:$J$5,8,FALSE)))</f>
        <v>-20</v>
      </c>
      <c r="R1074" s="9">
        <f>IF(AND($A1074&gt;VLOOKUP(YEAR($A1074),'Festive dates'!$A$2:$J$5,2,FALSE),$A1074&lt;VLOOKUP(YEAR($A1074),'Festive dates'!$A$2:$J$5,3,FALSE)),1,0)</f>
        <v>0</v>
      </c>
      <c r="S1074" s="9">
        <f>IF($A1074=VLOOKUP(YEAR($A1074),'Festive dates'!$A$2:$J$5,2,FALSE),1,0)</f>
        <v>0</v>
      </c>
      <c r="T1074" s="9">
        <f>IF($A1074=VLOOKUP(YEAR($A1074),'Festive dates'!$A$2:$J$5,3,FALSE),1,0)</f>
        <v>0</v>
      </c>
      <c r="U1074" s="9">
        <f>IF($A1074=VLOOKUP(YEAR($A1074),'Festive dates'!$A$2:$J$5,4,FALSE),1,0)</f>
        <v>0</v>
      </c>
      <c r="V1074" s="9">
        <f>IF(AND($A1074&gt;=VLOOKUP(YEAR($A1074),'Festive dates'!$A$2:$J$5,9,FALSE),$A1074&lt;=VLOOKUP(YEAR($A1074),'Festive dates'!$A$2:$J$5,10,FALSE)),1,0)</f>
        <v>0</v>
      </c>
      <c r="W1074" s="9">
        <f>IF($A1074=VLOOKUP(YEAR($A1074),'Festive dates'!$A$2:$J$5,7,FALSE),1,0)</f>
        <v>0</v>
      </c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</row>
    <row r="1075" spans="1:51">
      <c r="A1075" s="8">
        <v>46090</v>
      </c>
      <c r="B1075" s="9">
        <v>0</v>
      </c>
      <c r="C1075" s="9">
        <v>0</v>
      </c>
      <c r="D1075" s="9">
        <v>0</v>
      </c>
      <c r="E1075" s="9">
        <v>0</v>
      </c>
      <c r="F1075" s="9">
        <v>0</v>
      </c>
      <c r="G1075" s="9">
        <v>0</v>
      </c>
      <c r="H1075" s="9">
        <v>0</v>
      </c>
      <c r="I1075" s="9">
        <v>0</v>
      </c>
      <c r="J1075" s="9">
        <v>0</v>
      </c>
      <c r="K1075" s="9">
        <v>0</v>
      </c>
      <c r="L1075" s="9">
        <v>0</v>
      </c>
      <c r="M1075" s="9">
        <v>0</v>
      </c>
      <c r="N1075" s="9">
        <v>0</v>
      </c>
      <c r="O1075" s="9">
        <v>0</v>
      </c>
      <c r="P1075" s="9">
        <v>0</v>
      </c>
      <c r="Q1075" s="9">
        <f>MAX(-20,MIN(10,$A1075-VLOOKUP(YEAR($A1075),'Festive dates'!$A$2:$J$5,8,FALSE)))</f>
        <v>-20</v>
      </c>
      <c r="R1075" s="9">
        <f>IF(AND($A1075&gt;VLOOKUP(YEAR($A1075),'Festive dates'!$A$2:$J$5,2,FALSE),$A1075&lt;VLOOKUP(YEAR($A1075),'Festive dates'!$A$2:$J$5,3,FALSE)),1,0)</f>
        <v>0</v>
      </c>
      <c r="S1075" s="9">
        <f>IF($A1075=VLOOKUP(YEAR($A1075),'Festive dates'!$A$2:$J$5,2,FALSE),1,0)</f>
        <v>0</v>
      </c>
      <c r="T1075" s="9">
        <f>IF($A1075=VLOOKUP(YEAR($A1075),'Festive dates'!$A$2:$J$5,3,FALSE),1,0)</f>
        <v>0</v>
      </c>
      <c r="U1075" s="9">
        <f>IF($A1075=VLOOKUP(YEAR($A1075),'Festive dates'!$A$2:$J$5,4,FALSE),1,0)</f>
        <v>0</v>
      </c>
      <c r="V1075" s="9">
        <f>IF(AND($A1075&gt;=VLOOKUP(YEAR($A1075),'Festive dates'!$A$2:$J$5,9,FALSE),$A1075&lt;=VLOOKUP(YEAR($A1075),'Festive dates'!$A$2:$J$5,10,FALSE)),1,0)</f>
        <v>0</v>
      </c>
      <c r="W1075" s="9">
        <f>IF($A1075=VLOOKUP(YEAR($A1075),'Festive dates'!$A$2:$J$5,7,FALSE),1,0)</f>
        <v>0</v>
      </c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</row>
    <row r="1076" spans="1:51">
      <c r="A1076" s="8">
        <v>46091</v>
      </c>
      <c r="B1076" s="9">
        <v>0</v>
      </c>
      <c r="C1076" s="9">
        <v>0</v>
      </c>
      <c r="D1076" s="9">
        <v>0</v>
      </c>
      <c r="E1076" s="9">
        <v>0</v>
      </c>
      <c r="F1076" s="9">
        <v>0</v>
      </c>
      <c r="G1076" s="9">
        <v>0</v>
      </c>
      <c r="H1076" s="9">
        <v>0</v>
      </c>
      <c r="I1076" s="9">
        <v>0</v>
      </c>
      <c r="J1076" s="9">
        <v>0</v>
      </c>
      <c r="K1076" s="9">
        <v>0</v>
      </c>
      <c r="L1076" s="9">
        <v>0</v>
      </c>
      <c r="M1076" s="9">
        <v>0</v>
      </c>
      <c r="N1076" s="9">
        <v>0</v>
      </c>
      <c r="O1076" s="9">
        <v>0</v>
      </c>
      <c r="P1076" s="9">
        <v>0</v>
      </c>
      <c r="Q1076" s="9">
        <f>MAX(-20,MIN(10,$A1076-VLOOKUP(YEAR($A1076),'Festive dates'!$A$2:$J$5,8,FALSE)))</f>
        <v>-20</v>
      </c>
      <c r="R1076" s="9">
        <f>IF(AND($A1076&gt;VLOOKUP(YEAR($A1076),'Festive dates'!$A$2:$J$5,2,FALSE),$A1076&lt;VLOOKUP(YEAR($A1076),'Festive dates'!$A$2:$J$5,3,FALSE)),1,0)</f>
        <v>0</v>
      </c>
      <c r="S1076" s="9">
        <f>IF($A1076=VLOOKUP(YEAR($A1076),'Festive dates'!$A$2:$J$5,2,FALSE),1,0)</f>
        <v>0</v>
      </c>
      <c r="T1076" s="9">
        <f>IF($A1076=VLOOKUP(YEAR($A1076),'Festive dates'!$A$2:$J$5,3,FALSE),1,0)</f>
        <v>0</v>
      </c>
      <c r="U1076" s="9">
        <f>IF($A1076=VLOOKUP(YEAR($A1076),'Festive dates'!$A$2:$J$5,4,FALSE),1,0)</f>
        <v>0</v>
      </c>
      <c r="V1076" s="9">
        <f>IF(AND($A1076&gt;=VLOOKUP(YEAR($A1076),'Festive dates'!$A$2:$J$5,9,FALSE),$A1076&lt;=VLOOKUP(YEAR($A1076),'Festive dates'!$A$2:$J$5,10,FALSE)),1,0)</f>
        <v>0</v>
      </c>
      <c r="W1076" s="9">
        <f>IF($A1076=VLOOKUP(YEAR($A1076),'Festive dates'!$A$2:$J$5,7,FALSE),1,0)</f>
        <v>0</v>
      </c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</row>
    <row r="1077" spans="1:51">
      <c r="A1077" s="8">
        <v>46092</v>
      </c>
      <c r="B1077" s="9">
        <v>0</v>
      </c>
      <c r="C1077" s="9">
        <v>0</v>
      </c>
      <c r="D1077" s="9">
        <v>0</v>
      </c>
      <c r="E1077" s="9">
        <v>0</v>
      </c>
      <c r="F1077" s="9">
        <v>0</v>
      </c>
      <c r="G1077" s="9">
        <v>0</v>
      </c>
      <c r="H1077" s="9">
        <v>0</v>
      </c>
      <c r="I1077" s="9">
        <v>0</v>
      </c>
      <c r="J1077" s="9">
        <v>0</v>
      </c>
      <c r="K1077" s="9">
        <v>0</v>
      </c>
      <c r="L1077" s="9">
        <v>0</v>
      </c>
      <c r="M1077" s="9">
        <v>0</v>
      </c>
      <c r="N1077" s="9">
        <v>0</v>
      </c>
      <c r="O1077" s="9">
        <v>0</v>
      </c>
      <c r="P1077" s="9">
        <v>0</v>
      </c>
      <c r="Q1077" s="9">
        <f>MAX(-20,MIN(10,$A1077-VLOOKUP(YEAR($A1077),'Festive dates'!$A$2:$J$5,8,FALSE)))</f>
        <v>-20</v>
      </c>
      <c r="R1077" s="9">
        <f>IF(AND($A1077&gt;VLOOKUP(YEAR($A1077),'Festive dates'!$A$2:$J$5,2,FALSE),$A1077&lt;VLOOKUP(YEAR($A1077),'Festive dates'!$A$2:$J$5,3,FALSE)),1,0)</f>
        <v>0</v>
      </c>
      <c r="S1077" s="9">
        <f>IF($A1077=VLOOKUP(YEAR($A1077),'Festive dates'!$A$2:$J$5,2,FALSE),1,0)</f>
        <v>0</v>
      </c>
      <c r="T1077" s="9">
        <f>IF($A1077=VLOOKUP(YEAR($A1077),'Festive dates'!$A$2:$J$5,3,FALSE),1,0)</f>
        <v>0</v>
      </c>
      <c r="U1077" s="9">
        <f>IF($A1077=VLOOKUP(YEAR($A1077),'Festive dates'!$A$2:$J$5,4,FALSE),1,0)</f>
        <v>0</v>
      </c>
      <c r="V1077" s="9">
        <f>IF(AND($A1077&gt;=VLOOKUP(YEAR($A1077),'Festive dates'!$A$2:$J$5,9,FALSE),$A1077&lt;=VLOOKUP(YEAR($A1077),'Festive dates'!$A$2:$J$5,10,FALSE)),1,0)</f>
        <v>0</v>
      </c>
      <c r="W1077" s="9">
        <f>IF($A1077=VLOOKUP(YEAR($A1077),'Festive dates'!$A$2:$J$5,7,FALSE),1,0)</f>
        <v>0</v>
      </c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</row>
    <row r="1078" spans="1:51">
      <c r="A1078" s="8">
        <v>46093</v>
      </c>
      <c r="B1078" s="9">
        <v>0</v>
      </c>
      <c r="C1078" s="9">
        <v>0</v>
      </c>
      <c r="D1078" s="9">
        <v>0</v>
      </c>
      <c r="E1078" s="9">
        <v>0</v>
      </c>
      <c r="F1078" s="9">
        <v>0</v>
      </c>
      <c r="G1078" s="9">
        <v>0</v>
      </c>
      <c r="H1078" s="9">
        <v>0</v>
      </c>
      <c r="I1078" s="9">
        <v>0</v>
      </c>
      <c r="J1078" s="9">
        <v>0</v>
      </c>
      <c r="K1078" s="9">
        <v>0</v>
      </c>
      <c r="L1078" s="9">
        <v>0</v>
      </c>
      <c r="M1078" s="9">
        <v>0</v>
      </c>
      <c r="N1078" s="9">
        <v>0</v>
      </c>
      <c r="O1078" s="9">
        <v>0</v>
      </c>
      <c r="P1078" s="9">
        <v>0</v>
      </c>
      <c r="Q1078" s="9">
        <f>MAX(-20,MIN(10,$A1078-VLOOKUP(YEAR($A1078),'Festive dates'!$A$2:$J$5,8,FALSE)))</f>
        <v>-20</v>
      </c>
      <c r="R1078" s="9">
        <f>IF(AND($A1078&gt;VLOOKUP(YEAR($A1078),'Festive dates'!$A$2:$J$5,2,FALSE),$A1078&lt;VLOOKUP(YEAR($A1078),'Festive dates'!$A$2:$J$5,3,FALSE)),1,0)</f>
        <v>0</v>
      </c>
      <c r="S1078" s="9">
        <f>IF($A1078=VLOOKUP(YEAR($A1078),'Festive dates'!$A$2:$J$5,2,FALSE),1,0)</f>
        <v>0</v>
      </c>
      <c r="T1078" s="9">
        <f>IF($A1078=VLOOKUP(YEAR($A1078),'Festive dates'!$A$2:$J$5,3,FALSE),1,0)</f>
        <v>0</v>
      </c>
      <c r="U1078" s="9">
        <f>IF($A1078=VLOOKUP(YEAR($A1078),'Festive dates'!$A$2:$J$5,4,FALSE),1,0)</f>
        <v>0</v>
      </c>
      <c r="V1078" s="9">
        <f>IF(AND($A1078&gt;=VLOOKUP(YEAR($A1078),'Festive dates'!$A$2:$J$5,9,FALSE),$A1078&lt;=VLOOKUP(YEAR($A1078),'Festive dates'!$A$2:$J$5,10,FALSE)),1,0)</f>
        <v>0</v>
      </c>
      <c r="W1078" s="9">
        <f>IF($A1078=VLOOKUP(YEAR($A1078),'Festive dates'!$A$2:$J$5,7,FALSE),1,0)</f>
        <v>0</v>
      </c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</row>
    <row r="1079" spans="1:51">
      <c r="A1079" s="8">
        <v>46094</v>
      </c>
      <c r="B1079" s="9">
        <v>0</v>
      </c>
      <c r="C1079" s="9">
        <v>0</v>
      </c>
      <c r="D1079" s="9">
        <v>0</v>
      </c>
      <c r="E1079" s="9">
        <v>0</v>
      </c>
      <c r="F1079" s="9">
        <v>0</v>
      </c>
      <c r="G1079" s="9">
        <v>0</v>
      </c>
      <c r="H1079" s="9">
        <v>0</v>
      </c>
      <c r="I1079" s="9">
        <v>0</v>
      </c>
      <c r="J1079" s="9">
        <v>0</v>
      </c>
      <c r="K1079" s="9">
        <v>0</v>
      </c>
      <c r="L1079" s="9">
        <v>0</v>
      </c>
      <c r="M1079" s="9">
        <v>0</v>
      </c>
      <c r="N1079" s="9">
        <v>0</v>
      </c>
      <c r="O1079" s="9">
        <v>0</v>
      </c>
      <c r="P1079" s="9">
        <v>0</v>
      </c>
      <c r="Q1079" s="9">
        <f>MAX(-20,MIN(10,$A1079-VLOOKUP(YEAR($A1079),'Festive dates'!$A$2:$J$5,8,FALSE)))</f>
        <v>-20</v>
      </c>
      <c r="R1079" s="9">
        <f>IF(AND($A1079&gt;VLOOKUP(YEAR($A1079),'Festive dates'!$A$2:$J$5,2,FALSE),$A1079&lt;VLOOKUP(YEAR($A1079),'Festive dates'!$A$2:$J$5,3,FALSE)),1,0)</f>
        <v>0</v>
      </c>
      <c r="S1079" s="9">
        <f>IF($A1079=VLOOKUP(YEAR($A1079),'Festive dates'!$A$2:$J$5,2,FALSE),1,0)</f>
        <v>0</v>
      </c>
      <c r="T1079" s="9">
        <f>IF($A1079=VLOOKUP(YEAR($A1079),'Festive dates'!$A$2:$J$5,3,FALSE),1,0)</f>
        <v>0</v>
      </c>
      <c r="U1079" s="9">
        <f>IF($A1079=VLOOKUP(YEAR($A1079),'Festive dates'!$A$2:$J$5,4,FALSE),1,0)</f>
        <v>0</v>
      </c>
      <c r="V1079" s="9">
        <f>IF(AND($A1079&gt;=VLOOKUP(YEAR($A1079),'Festive dates'!$A$2:$J$5,9,FALSE),$A1079&lt;=VLOOKUP(YEAR($A1079),'Festive dates'!$A$2:$J$5,10,FALSE)),1,0)</f>
        <v>0</v>
      </c>
      <c r="W1079" s="9">
        <f>IF($A1079=VLOOKUP(YEAR($A1079),'Festive dates'!$A$2:$J$5,7,FALSE),1,0)</f>
        <v>0</v>
      </c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</row>
    <row r="1080" spans="1:51">
      <c r="A1080" s="8">
        <v>46095</v>
      </c>
      <c r="B1080" s="9">
        <v>0</v>
      </c>
      <c r="C1080" s="9">
        <v>0</v>
      </c>
      <c r="D1080" s="9">
        <v>0</v>
      </c>
      <c r="E1080" s="9">
        <v>0</v>
      </c>
      <c r="F1080" s="9">
        <v>0</v>
      </c>
      <c r="G1080" s="9">
        <v>0</v>
      </c>
      <c r="H1080" s="9">
        <v>0</v>
      </c>
      <c r="I1080" s="9">
        <v>0</v>
      </c>
      <c r="J1080" s="9">
        <v>0</v>
      </c>
      <c r="K1080" s="9">
        <v>0</v>
      </c>
      <c r="L1080" s="9">
        <v>0</v>
      </c>
      <c r="M1080" s="9">
        <v>0</v>
      </c>
      <c r="N1080" s="9">
        <v>0</v>
      </c>
      <c r="O1080" s="9">
        <v>0</v>
      </c>
      <c r="P1080" s="9">
        <v>0</v>
      </c>
      <c r="Q1080" s="9">
        <f>MAX(-20,MIN(10,$A1080-VLOOKUP(YEAR($A1080),'Festive dates'!$A$2:$J$5,8,FALSE)))</f>
        <v>-20</v>
      </c>
      <c r="R1080" s="9">
        <f>IF(AND($A1080&gt;VLOOKUP(YEAR($A1080),'Festive dates'!$A$2:$J$5,2,FALSE),$A1080&lt;VLOOKUP(YEAR($A1080),'Festive dates'!$A$2:$J$5,3,FALSE)),1,0)</f>
        <v>0</v>
      </c>
      <c r="S1080" s="9">
        <f>IF($A1080=VLOOKUP(YEAR($A1080),'Festive dates'!$A$2:$J$5,2,FALSE),1,0)</f>
        <v>0</v>
      </c>
      <c r="T1080" s="9">
        <f>IF($A1080=VLOOKUP(YEAR($A1080),'Festive dates'!$A$2:$J$5,3,FALSE),1,0)</f>
        <v>0</v>
      </c>
      <c r="U1080" s="9">
        <f>IF($A1080=VLOOKUP(YEAR($A1080),'Festive dates'!$A$2:$J$5,4,FALSE),1,0)</f>
        <v>0</v>
      </c>
      <c r="V1080" s="9">
        <f>IF(AND($A1080&gt;=VLOOKUP(YEAR($A1080),'Festive dates'!$A$2:$J$5,9,FALSE),$A1080&lt;=VLOOKUP(YEAR($A1080),'Festive dates'!$A$2:$J$5,10,FALSE)),1,0)</f>
        <v>0</v>
      </c>
      <c r="W1080" s="9">
        <f>IF($A1080=VLOOKUP(YEAR($A1080),'Festive dates'!$A$2:$J$5,7,FALSE),1,0)</f>
        <v>0</v>
      </c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</row>
    <row r="1081" spans="1:51">
      <c r="A1081" s="8">
        <v>46096</v>
      </c>
      <c r="B1081" s="9">
        <v>0</v>
      </c>
      <c r="C1081" s="9">
        <v>0</v>
      </c>
      <c r="D1081" s="9">
        <v>0</v>
      </c>
      <c r="E1081" s="9">
        <v>0</v>
      </c>
      <c r="F1081" s="9">
        <v>0</v>
      </c>
      <c r="G1081" s="9">
        <v>0</v>
      </c>
      <c r="H1081" s="9">
        <v>0</v>
      </c>
      <c r="I1081" s="9">
        <v>0</v>
      </c>
      <c r="J1081" s="9">
        <v>0</v>
      </c>
      <c r="K1081" s="9">
        <v>0</v>
      </c>
      <c r="L1081" s="9">
        <v>0</v>
      </c>
      <c r="M1081" s="9">
        <v>0</v>
      </c>
      <c r="N1081" s="9">
        <v>0</v>
      </c>
      <c r="O1081" s="9">
        <v>0</v>
      </c>
      <c r="P1081" s="9">
        <v>0</v>
      </c>
      <c r="Q1081" s="9">
        <f>MAX(-20,MIN(10,$A1081-VLOOKUP(YEAR($A1081),'Festive dates'!$A$2:$J$5,8,FALSE)))</f>
        <v>-20</v>
      </c>
      <c r="R1081" s="9">
        <f>IF(AND($A1081&gt;VLOOKUP(YEAR($A1081),'Festive dates'!$A$2:$J$5,2,FALSE),$A1081&lt;VLOOKUP(YEAR($A1081),'Festive dates'!$A$2:$J$5,3,FALSE)),1,0)</f>
        <v>0</v>
      </c>
      <c r="S1081" s="9">
        <f>IF($A1081=VLOOKUP(YEAR($A1081),'Festive dates'!$A$2:$J$5,2,FALSE),1,0)</f>
        <v>0</v>
      </c>
      <c r="T1081" s="9">
        <f>IF($A1081=VLOOKUP(YEAR($A1081),'Festive dates'!$A$2:$J$5,3,FALSE),1,0)</f>
        <v>0</v>
      </c>
      <c r="U1081" s="9">
        <f>IF($A1081=VLOOKUP(YEAR($A1081),'Festive dates'!$A$2:$J$5,4,FALSE),1,0)</f>
        <v>0</v>
      </c>
      <c r="V1081" s="9">
        <f>IF(AND($A1081&gt;=VLOOKUP(YEAR($A1081),'Festive dates'!$A$2:$J$5,9,FALSE),$A1081&lt;=VLOOKUP(YEAR($A1081),'Festive dates'!$A$2:$J$5,10,FALSE)),1,0)</f>
        <v>0</v>
      </c>
      <c r="W1081" s="9">
        <f>IF($A1081=VLOOKUP(YEAR($A1081),'Festive dates'!$A$2:$J$5,7,FALSE),1,0)</f>
        <v>0</v>
      </c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</row>
    <row r="1082" spans="1:51">
      <c r="A1082" s="8">
        <v>46097</v>
      </c>
      <c r="B1082" s="9">
        <v>0</v>
      </c>
      <c r="C1082" s="9">
        <v>0</v>
      </c>
      <c r="D1082" s="9">
        <v>0</v>
      </c>
      <c r="E1082" s="9">
        <v>0</v>
      </c>
      <c r="F1082" s="9">
        <v>0</v>
      </c>
      <c r="G1082" s="9">
        <v>0</v>
      </c>
      <c r="H1082" s="9">
        <v>0</v>
      </c>
      <c r="I1082" s="9">
        <v>0</v>
      </c>
      <c r="J1082" s="9">
        <v>0</v>
      </c>
      <c r="K1082" s="9">
        <v>0</v>
      </c>
      <c r="L1082" s="9">
        <v>0</v>
      </c>
      <c r="M1082" s="9">
        <v>0</v>
      </c>
      <c r="N1082" s="9">
        <v>0</v>
      </c>
      <c r="O1082" s="9">
        <v>0</v>
      </c>
      <c r="P1082" s="9">
        <v>0</v>
      </c>
      <c r="Q1082" s="9">
        <f>MAX(-20,MIN(10,$A1082-VLOOKUP(YEAR($A1082),'Festive dates'!$A$2:$J$5,8,FALSE)))</f>
        <v>-20</v>
      </c>
      <c r="R1082" s="9">
        <f>IF(AND($A1082&gt;VLOOKUP(YEAR($A1082),'Festive dates'!$A$2:$J$5,2,FALSE),$A1082&lt;VLOOKUP(YEAR($A1082),'Festive dates'!$A$2:$J$5,3,FALSE)),1,0)</f>
        <v>0</v>
      </c>
      <c r="S1082" s="9">
        <f>IF($A1082=VLOOKUP(YEAR($A1082),'Festive dates'!$A$2:$J$5,2,FALSE),1,0)</f>
        <v>0</v>
      </c>
      <c r="T1082" s="9">
        <f>IF($A1082=VLOOKUP(YEAR($A1082),'Festive dates'!$A$2:$J$5,3,FALSE),1,0)</f>
        <v>0</v>
      </c>
      <c r="U1082" s="9">
        <f>IF($A1082=VLOOKUP(YEAR($A1082),'Festive dates'!$A$2:$J$5,4,FALSE),1,0)</f>
        <v>0</v>
      </c>
      <c r="V1082" s="9">
        <f>IF(AND($A1082&gt;=VLOOKUP(YEAR($A1082),'Festive dates'!$A$2:$J$5,9,FALSE),$A1082&lt;=VLOOKUP(YEAR($A1082),'Festive dates'!$A$2:$J$5,10,FALSE)),1,0)</f>
        <v>0</v>
      </c>
      <c r="W1082" s="9">
        <f>IF($A1082=VLOOKUP(YEAR($A1082),'Festive dates'!$A$2:$J$5,7,FALSE),1,0)</f>
        <v>0</v>
      </c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</row>
    <row r="1083" spans="1:51">
      <c r="A1083" s="8">
        <v>46098</v>
      </c>
      <c r="B1083" s="9">
        <v>0</v>
      </c>
      <c r="C1083" s="9">
        <v>0</v>
      </c>
      <c r="D1083" s="9">
        <v>0</v>
      </c>
      <c r="E1083" s="9">
        <v>0</v>
      </c>
      <c r="F1083" s="9">
        <v>0</v>
      </c>
      <c r="G1083" s="9">
        <v>0</v>
      </c>
      <c r="H1083" s="9">
        <v>0</v>
      </c>
      <c r="I1083" s="9">
        <v>0</v>
      </c>
      <c r="J1083" s="9">
        <v>0</v>
      </c>
      <c r="K1083" s="9">
        <v>0</v>
      </c>
      <c r="L1083" s="9">
        <v>0</v>
      </c>
      <c r="M1083" s="9">
        <v>0</v>
      </c>
      <c r="N1083" s="9">
        <v>0</v>
      </c>
      <c r="O1083" s="9">
        <v>0</v>
      </c>
      <c r="P1083" s="9">
        <v>0</v>
      </c>
      <c r="Q1083" s="9">
        <f>MAX(-20,MIN(10,$A1083-VLOOKUP(YEAR($A1083),'Festive dates'!$A$2:$J$5,8,FALSE)))</f>
        <v>-20</v>
      </c>
      <c r="R1083" s="9">
        <f>IF(AND($A1083&gt;VLOOKUP(YEAR($A1083),'Festive dates'!$A$2:$J$5,2,FALSE),$A1083&lt;VLOOKUP(YEAR($A1083),'Festive dates'!$A$2:$J$5,3,FALSE)),1,0)</f>
        <v>0</v>
      </c>
      <c r="S1083" s="9">
        <f>IF($A1083=VLOOKUP(YEAR($A1083),'Festive dates'!$A$2:$J$5,2,FALSE),1,0)</f>
        <v>0</v>
      </c>
      <c r="T1083" s="9">
        <f>IF($A1083=VLOOKUP(YEAR($A1083),'Festive dates'!$A$2:$J$5,3,FALSE),1,0)</f>
        <v>0</v>
      </c>
      <c r="U1083" s="9">
        <f>IF($A1083=VLOOKUP(YEAR($A1083),'Festive dates'!$A$2:$J$5,4,FALSE),1,0)</f>
        <v>0</v>
      </c>
      <c r="V1083" s="9">
        <f>IF(AND($A1083&gt;=VLOOKUP(YEAR($A1083),'Festive dates'!$A$2:$J$5,9,FALSE),$A1083&lt;=VLOOKUP(YEAR($A1083),'Festive dates'!$A$2:$J$5,10,FALSE)),1,0)</f>
        <v>0</v>
      </c>
      <c r="W1083" s="9">
        <f>IF($A1083=VLOOKUP(YEAR($A1083),'Festive dates'!$A$2:$J$5,7,FALSE),1,0)</f>
        <v>0</v>
      </c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</row>
    <row r="1084" spans="1:51">
      <c r="A1084" s="8">
        <v>46099</v>
      </c>
      <c r="B1084" s="9">
        <v>0</v>
      </c>
      <c r="C1084" s="9">
        <v>0</v>
      </c>
      <c r="D1084" s="9">
        <v>0</v>
      </c>
      <c r="E1084" s="9">
        <v>0</v>
      </c>
      <c r="F1084" s="9">
        <v>0</v>
      </c>
      <c r="G1084" s="9">
        <v>0</v>
      </c>
      <c r="H1084" s="9">
        <v>0</v>
      </c>
      <c r="I1084" s="9">
        <v>0</v>
      </c>
      <c r="J1084" s="9">
        <v>0</v>
      </c>
      <c r="K1084" s="9">
        <v>0</v>
      </c>
      <c r="L1084" s="9">
        <v>0</v>
      </c>
      <c r="M1084" s="9">
        <v>0</v>
      </c>
      <c r="N1084" s="9">
        <v>0</v>
      </c>
      <c r="O1084" s="9">
        <v>0</v>
      </c>
      <c r="P1084" s="9">
        <v>0</v>
      </c>
      <c r="Q1084" s="9">
        <f>MAX(-20,MIN(10,$A1084-VLOOKUP(YEAR($A1084),'Festive dates'!$A$2:$J$5,8,FALSE)))</f>
        <v>-20</v>
      </c>
      <c r="R1084" s="9">
        <f>IF(AND($A1084&gt;VLOOKUP(YEAR($A1084),'Festive dates'!$A$2:$J$5,2,FALSE),$A1084&lt;VLOOKUP(YEAR($A1084),'Festive dates'!$A$2:$J$5,3,FALSE)),1,0)</f>
        <v>0</v>
      </c>
      <c r="S1084" s="9">
        <f>IF($A1084=VLOOKUP(YEAR($A1084),'Festive dates'!$A$2:$J$5,2,FALSE),1,0)</f>
        <v>0</v>
      </c>
      <c r="T1084" s="9">
        <f>IF($A1084=VLOOKUP(YEAR($A1084),'Festive dates'!$A$2:$J$5,3,FALSE),1,0)</f>
        <v>0</v>
      </c>
      <c r="U1084" s="9">
        <f>IF($A1084=VLOOKUP(YEAR($A1084),'Festive dates'!$A$2:$J$5,4,FALSE),1,0)</f>
        <v>0</v>
      </c>
      <c r="V1084" s="9">
        <f>IF(AND($A1084&gt;=VLOOKUP(YEAR($A1084),'Festive dates'!$A$2:$J$5,9,FALSE),$A1084&lt;=VLOOKUP(YEAR($A1084),'Festive dates'!$A$2:$J$5,10,FALSE)),1,0)</f>
        <v>0</v>
      </c>
      <c r="W1084" s="9">
        <f>IF($A1084=VLOOKUP(YEAR($A1084),'Festive dates'!$A$2:$J$5,7,FALSE),1,0)</f>
        <v>0</v>
      </c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</row>
    <row r="1085" spans="1:51">
      <c r="A1085" s="8">
        <v>46100</v>
      </c>
      <c r="B1085" s="9">
        <v>0</v>
      </c>
      <c r="C1085" s="9">
        <v>0</v>
      </c>
      <c r="D1085" s="9">
        <v>0</v>
      </c>
      <c r="E1085" s="9">
        <v>0</v>
      </c>
      <c r="F1085" s="9">
        <v>0</v>
      </c>
      <c r="G1085" s="9">
        <v>0</v>
      </c>
      <c r="H1085" s="9">
        <v>0</v>
      </c>
      <c r="I1085" s="9">
        <v>0</v>
      </c>
      <c r="J1085" s="9">
        <v>0</v>
      </c>
      <c r="K1085" s="9">
        <v>0</v>
      </c>
      <c r="L1085" s="9">
        <v>0</v>
      </c>
      <c r="M1085" s="9">
        <v>0</v>
      </c>
      <c r="N1085" s="9">
        <v>0</v>
      </c>
      <c r="O1085" s="9">
        <v>0</v>
      </c>
      <c r="P1085" s="9">
        <v>0</v>
      </c>
      <c r="Q1085" s="9">
        <f>MAX(-20,MIN(10,$A1085-VLOOKUP(YEAR($A1085),'Festive dates'!$A$2:$J$5,8,FALSE)))</f>
        <v>-20</v>
      </c>
      <c r="R1085" s="9">
        <f>IF(AND($A1085&gt;VLOOKUP(YEAR($A1085),'Festive dates'!$A$2:$J$5,2,FALSE),$A1085&lt;VLOOKUP(YEAR($A1085),'Festive dates'!$A$2:$J$5,3,FALSE)),1,0)</f>
        <v>0</v>
      </c>
      <c r="S1085" s="9">
        <f>IF($A1085=VLOOKUP(YEAR($A1085),'Festive dates'!$A$2:$J$5,2,FALSE),1,0)</f>
        <v>0</v>
      </c>
      <c r="T1085" s="9">
        <f>IF($A1085=VLOOKUP(YEAR($A1085),'Festive dates'!$A$2:$J$5,3,FALSE),1,0)</f>
        <v>0</v>
      </c>
      <c r="U1085" s="9">
        <f>IF($A1085=VLOOKUP(YEAR($A1085),'Festive dates'!$A$2:$J$5,4,FALSE),1,0)</f>
        <v>0</v>
      </c>
      <c r="V1085" s="9">
        <f>IF(AND($A1085&gt;=VLOOKUP(YEAR($A1085),'Festive dates'!$A$2:$J$5,9,FALSE),$A1085&lt;=VLOOKUP(YEAR($A1085),'Festive dates'!$A$2:$J$5,10,FALSE)),1,0)</f>
        <v>0</v>
      </c>
      <c r="W1085" s="9">
        <f>IF($A1085=VLOOKUP(YEAR($A1085),'Festive dates'!$A$2:$J$5,7,FALSE),1,0)</f>
        <v>0</v>
      </c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</row>
    <row r="1086" spans="1:51">
      <c r="A1086" s="8">
        <v>46101</v>
      </c>
      <c r="B1086" s="9">
        <v>0</v>
      </c>
      <c r="C1086" s="9">
        <v>0</v>
      </c>
      <c r="D1086" s="9">
        <v>0</v>
      </c>
      <c r="E1086" s="9">
        <v>0</v>
      </c>
      <c r="F1086" s="9">
        <v>0</v>
      </c>
      <c r="G1086" s="9">
        <v>0</v>
      </c>
      <c r="H1086" s="9">
        <v>0</v>
      </c>
      <c r="I1086" s="9">
        <v>0</v>
      </c>
      <c r="J1086" s="9">
        <v>0</v>
      </c>
      <c r="K1086" s="9">
        <v>0</v>
      </c>
      <c r="L1086" s="9">
        <v>0</v>
      </c>
      <c r="M1086" s="9">
        <v>0</v>
      </c>
      <c r="N1086" s="9">
        <v>0</v>
      </c>
      <c r="O1086" s="9">
        <v>0</v>
      </c>
      <c r="P1086" s="9">
        <v>0</v>
      </c>
      <c r="Q1086" s="9">
        <f>MAX(-20,MIN(10,$A1086-VLOOKUP(YEAR($A1086),'Festive dates'!$A$2:$J$5,8,FALSE)))</f>
        <v>-20</v>
      </c>
      <c r="R1086" s="9">
        <f>IF(AND($A1086&gt;VLOOKUP(YEAR($A1086),'Festive dates'!$A$2:$J$5,2,FALSE),$A1086&lt;VLOOKUP(YEAR($A1086),'Festive dates'!$A$2:$J$5,3,FALSE)),1,0)</f>
        <v>0</v>
      </c>
      <c r="S1086" s="9">
        <f>IF($A1086=VLOOKUP(YEAR($A1086),'Festive dates'!$A$2:$J$5,2,FALSE),1,0)</f>
        <v>0</v>
      </c>
      <c r="T1086" s="9">
        <f>IF($A1086=VLOOKUP(YEAR($A1086),'Festive dates'!$A$2:$J$5,3,FALSE),1,0)</f>
        <v>0</v>
      </c>
      <c r="U1086" s="9">
        <f>IF($A1086=VLOOKUP(YEAR($A1086),'Festive dates'!$A$2:$J$5,4,FALSE),1,0)</f>
        <v>0</v>
      </c>
      <c r="V1086" s="9">
        <f>IF(AND($A1086&gt;=VLOOKUP(YEAR($A1086),'Festive dates'!$A$2:$J$5,9,FALSE),$A1086&lt;=VLOOKUP(YEAR($A1086),'Festive dates'!$A$2:$J$5,10,FALSE)),1,0)</f>
        <v>0</v>
      </c>
      <c r="W1086" s="9">
        <f>IF($A1086=VLOOKUP(YEAR($A1086),'Festive dates'!$A$2:$J$5,7,FALSE),1,0)</f>
        <v>0</v>
      </c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</row>
    <row r="1087" spans="1:51">
      <c r="A1087" s="8">
        <v>46102</v>
      </c>
      <c r="B1087" s="9">
        <v>0</v>
      </c>
      <c r="C1087" s="9">
        <v>0</v>
      </c>
      <c r="D1087" s="9">
        <v>0</v>
      </c>
      <c r="E1087" s="9">
        <v>0</v>
      </c>
      <c r="F1087" s="9">
        <v>0</v>
      </c>
      <c r="G1087" s="9">
        <v>0</v>
      </c>
      <c r="H1087" s="9">
        <v>0</v>
      </c>
      <c r="I1087" s="9">
        <v>0</v>
      </c>
      <c r="J1087" s="9">
        <v>0</v>
      </c>
      <c r="K1087" s="9">
        <v>0</v>
      </c>
      <c r="L1087" s="9">
        <v>0</v>
      </c>
      <c r="M1087" s="9">
        <v>0</v>
      </c>
      <c r="N1087" s="9">
        <v>0</v>
      </c>
      <c r="O1087" s="9">
        <v>0</v>
      </c>
      <c r="P1087" s="9">
        <v>0</v>
      </c>
      <c r="Q1087" s="9">
        <f>MAX(-20,MIN(10,$A1087-VLOOKUP(YEAR($A1087),'Festive dates'!$A$2:$J$5,8,FALSE)))</f>
        <v>-20</v>
      </c>
      <c r="R1087" s="9">
        <f>IF(AND($A1087&gt;VLOOKUP(YEAR($A1087),'Festive dates'!$A$2:$J$5,2,FALSE),$A1087&lt;VLOOKUP(YEAR($A1087),'Festive dates'!$A$2:$J$5,3,FALSE)),1,0)</f>
        <v>0</v>
      </c>
      <c r="S1087" s="9">
        <f>IF($A1087=VLOOKUP(YEAR($A1087),'Festive dates'!$A$2:$J$5,2,FALSE),1,0)</f>
        <v>0</v>
      </c>
      <c r="T1087" s="9">
        <f>IF($A1087=VLOOKUP(YEAR($A1087),'Festive dates'!$A$2:$J$5,3,FALSE),1,0)</f>
        <v>0</v>
      </c>
      <c r="U1087" s="9">
        <f>IF($A1087=VLOOKUP(YEAR($A1087),'Festive dates'!$A$2:$J$5,4,FALSE),1,0)</f>
        <v>0</v>
      </c>
      <c r="V1087" s="9">
        <f>IF(AND($A1087&gt;=VLOOKUP(YEAR($A1087),'Festive dates'!$A$2:$J$5,9,FALSE),$A1087&lt;=VLOOKUP(YEAR($A1087),'Festive dates'!$A$2:$J$5,10,FALSE)),1,0)</f>
        <v>0</v>
      </c>
      <c r="W1087" s="9">
        <f>IF($A1087=VLOOKUP(YEAR($A1087),'Festive dates'!$A$2:$J$5,7,FALSE),1,0)</f>
        <v>0</v>
      </c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</row>
    <row r="1088" spans="1:51">
      <c r="A1088" s="8">
        <v>46103</v>
      </c>
      <c r="B1088" s="9">
        <v>0</v>
      </c>
      <c r="C1088" s="9">
        <v>0</v>
      </c>
      <c r="D1088" s="9">
        <v>0</v>
      </c>
      <c r="E1088" s="9">
        <v>0</v>
      </c>
      <c r="F1088" s="9">
        <v>0</v>
      </c>
      <c r="G1088" s="9">
        <v>0</v>
      </c>
      <c r="H1088" s="9">
        <v>0</v>
      </c>
      <c r="I1088" s="9">
        <v>0</v>
      </c>
      <c r="J1088" s="9">
        <v>0</v>
      </c>
      <c r="K1088" s="9">
        <v>0</v>
      </c>
      <c r="L1088" s="9">
        <v>0</v>
      </c>
      <c r="M1088" s="9">
        <v>0</v>
      </c>
      <c r="N1088" s="9">
        <v>0</v>
      </c>
      <c r="O1088" s="9">
        <v>0</v>
      </c>
      <c r="P1088" s="9">
        <v>0</v>
      </c>
      <c r="Q1088" s="9">
        <f>MAX(-20,MIN(10,$A1088-VLOOKUP(YEAR($A1088),'Festive dates'!$A$2:$J$5,8,FALSE)))</f>
        <v>-20</v>
      </c>
      <c r="R1088" s="9">
        <f>IF(AND($A1088&gt;VLOOKUP(YEAR($A1088),'Festive dates'!$A$2:$J$5,2,FALSE),$A1088&lt;VLOOKUP(YEAR($A1088),'Festive dates'!$A$2:$J$5,3,FALSE)),1,0)</f>
        <v>0</v>
      </c>
      <c r="S1088" s="9">
        <f>IF($A1088=VLOOKUP(YEAR($A1088),'Festive dates'!$A$2:$J$5,2,FALSE),1,0)</f>
        <v>0</v>
      </c>
      <c r="T1088" s="9">
        <f>IF($A1088=VLOOKUP(YEAR($A1088),'Festive dates'!$A$2:$J$5,3,FALSE),1,0)</f>
        <v>0</v>
      </c>
      <c r="U1088" s="9">
        <f>IF($A1088=VLOOKUP(YEAR($A1088),'Festive dates'!$A$2:$J$5,4,FALSE),1,0)</f>
        <v>0</v>
      </c>
      <c r="V1088" s="9">
        <f>IF(AND($A1088&gt;=VLOOKUP(YEAR($A1088),'Festive dates'!$A$2:$J$5,9,FALSE),$A1088&lt;=VLOOKUP(YEAR($A1088),'Festive dates'!$A$2:$J$5,10,FALSE)),1,0)</f>
        <v>0</v>
      </c>
      <c r="W1088" s="9">
        <f>IF($A1088=VLOOKUP(YEAR($A1088),'Festive dates'!$A$2:$J$5,7,FALSE),1,0)</f>
        <v>0</v>
      </c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</row>
    <row r="1089" spans="1:51">
      <c r="A1089" s="8">
        <v>46104</v>
      </c>
      <c r="B1089" s="9">
        <v>0</v>
      </c>
      <c r="C1089" s="9">
        <v>0</v>
      </c>
      <c r="D1089" s="9">
        <v>0</v>
      </c>
      <c r="E1089" s="9">
        <v>0</v>
      </c>
      <c r="F1089" s="9">
        <v>0</v>
      </c>
      <c r="G1089" s="9">
        <v>0</v>
      </c>
      <c r="H1089" s="9">
        <v>0</v>
      </c>
      <c r="I1089" s="9">
        <v>0</v>
      </c>
      <c r="J1089" s="9">
        <v>0</v>
      </c>
      <c r="K1089" s="9">
        <v>0</v>
      </c>
      <c r="L1089" s="9">
        <v>0</v>
      </c>
      <c r="M1089" s="9">
        <v>0</v>
      </c>
      <c r="N1089" s="9">
        <v>0</v>
      </c>
      <c r="O1089" s="9">
        <v>0</v>
      </c>
      <c r="P1089" s="9">
        <v>0</v>
      </c>
      <c r="Q1089" s="9">
        <f>MAX(-20,MIN(10,$A1089-VLOOKUP(YEAR($A1089),'Festive dates'!$A$2:$J$5,8,FALSE)))</f>
        <v>-20</v>
      </c>
      <c r="R1089" s="9">
        <f>IF(AND($A1089&gt;VLOOKUP(YEAR($A1089),'Festive dates'!$A$2:$J$5,2,FALSE),$A1089&lt;VLOOKUP(YEAR($A1089),'Festive dates'!$A$2:$J$5,3,FALSE)),1,0)</f>
        <v>0</v>
      </c>
      <c r="S1089" s="9">
        <f>IF($A1089=VLOOKUP(YEAR($A1089),'Festive dates'!$A$2:$J$5,2,FALSE),1,0)</f>
        <v>0</v>
      </c>
      <c r="T1089" s="9">
        <f>IF($A1089=VLOOKUP(YEAR($A1089),'Festive dates'!$A$2:$J$5,3,FALSE),1,0)</f>
        <v>0</v>
      </c>
      <c r="U1089" s="9">
        <f>IF($A1089=VLOOKUP(YEAR($A1089),'Festive dates'!$A$2:$J$5,4,FALSE),1,0)</f>
        <v>0</v>
      </c>
      <c r="V1089" s="9">
        <f>IF(AND($A1089&gt;=VLOOKUP(YEAR($A1089),'Festive dates'!$A$2:$J$5,9,FALSE),$A1089&lt;=VLOOKUP(YEAR($A1089),'Festive dates'!$A$2:$J$5,10,FALSE)),1,0)</f>
        <v>0</v>
      </c>
      <c r="W1089" s="9">
        <f>IF($A1089=VLOOKUP(YEAR($A1089),'Festive dates'!$A$2:$J$5,7,FALSE),1,0)</f>
        <v>0</v>
      </c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</row>
    <row r="1090" spans="1:51">
      <c r="A1090" s="8">
        <v>46105</v>
      </c>
      <c r="B1090" s="9">
        <v>0</v>
      </c>
      <c r="C1090" s="9">
        <v>0</v>
      </c>
      <c r="D1090" s="9">
        <v>0</v>
      </c>
      <c r="E1090" s="9">
        <v>0</v>
      </c>
      <c r="F1090" s="9">
        <v>0</v>
      </c>
      <c r="G1090" s="9">
        <v>0</v>
      </c>
      <c r="H1090" s="9">
        <v>0</v>
      </c>
      <c r="I1090" s="9">
        <v>0</v>
      </c>
      <c r="J1090" s="9">
        <v>0</v>
      </c>
      <c r="K1090" s="9">
        <v>0</v>
      </c>
      <c r="L1090" s="9">
        <v>0</v>
      </c>
      <c r="M1090" s="9">
        <v>0</v>
      </c>
      <c r="N1090" s="9">
        <v>0</v>
      </c>
      <c r="O1090" s="9">
        <v>0</v>
      </c>
      <c r="P1090" s="9">
        <v>0</v>
      </c>
      <c r="Q1090" s="9">
        <f>MAX(-20,MIN(10,$A1090-VLOOKUP(YEAR($A1090),'Festive dates'!$A$2:$J$5,8,FALSE)))</f>
        <v>-20</v>
      </c>
      <c r="R1090" s="9">
        <f>IF(AND($A1090&gt;VLOOKUP(YEAR($A1090),'Festive dates'!$A$2:$J$5,2,FALSE),$A1090&lt;VLOOKUP(YEAR($A1090),'Festive dates'!$A$2:$J$5,3,FALSE)),1,0)</f>
        <v>0</v>
      </c>
      <c r="S1090" s="9">
        <f>IF($A1090=VLOOKUP(YEAR($A1090),'Festive dates'!$A$2:$J$5,2,FALSE),1,0)</f>
        <v>0</v>
      </c>
      <c r="T1090" s="9">
        <f>IF($A1090=VLOOKUP(YEAR($A1090),'Festive dates'!$A$2:$J$5,3,FALSE),1,0)</f>
        <v>0</v>
      </c>
      <c r="U1090" s="9">
        <f>IF($A1090=VLOOKUP(YEAR($A1090),'Festive dates'!$A$2:$J$5,4,FALSE),1,0)</f>
        <v>0</v>
      </c>
      <c r="V1090" s="9">
        <f>IF(AND($A1090&gt;=VLOOKUP(YEAR($A1090),'Festive dates'!$A$2:$J$5,9,FALSE),$A1090&lt;=VLOOKUP(YEAR($A1090),'Festive dates'!$A$2:$J$5,10,FALSE)),1,0)</f>
        <v>0</v>
      </c>
      <c r="W1090" s="9">
        <f>IF($A1090=VLOOKUP(YEAR($A1090),'Festive dates'!$A$2:$J$5,7,FALSE),1,0)</f>
        <v>0</v>
      </c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</row>
    <row r="1091" spans="1:51">
      <c r="A1091" s="8">
        <v>46106</v>
      </c>
      <c r="B1091" s="9">
        <v>0</v>
      </c>
      <c r="C1091" s="9">
        <v>0</v>
      </c>
      <c r="D1091" s="9">
        <v>0</v>
      </c>
      <c r="E1091" s="9">
        <v>0</v>
      </c>
      <c r="F1091" s="9">
        <v>0</v>
      </c>
      <c r="G1091" s="9">
        <v>0</v>
      </c>
      <c r="H1091" s="9">
        <v>0</v>
      </c>
      <c r="I1091" s="9">
        <v>0</v>
      </c>
      <c r="J1091" s="9">
        <v>0</v>
      </c>
      <c r="K1091" s="9">
        <v>0</v>
      </c>
      <c r="L1091" s="9">
        <v>0</v>
      </c>
      <c r="M1091" s="9">
        <v>0</v>
      </c>
      <c r="N1091" s="9">
        <v>0</v>
      </c>
      <c r="O1091" s="9">
        <v>0</v>
      </c>
      <c r="P1091" s="9">
        <v>0</v>
      </c>
      <c r="Q1091" s="9">
        <f>MAX(-20,MIN(10,$A1091-VLOOKUP(YEAR($A1091),'Festive dates'!$A$2:$J$5,8,FALSE)))</f>
        <v>-20</v>
      </c>
      <c r="R1091" s="9">
        <f>IF(AND($A1091&gt;VLOOKUP(YEAR($A1091),'Festive dates'!$A$2:$J$5,2,FALSE),$A1091&lt;VLOOKUP(YEAR($A1091),'Festive dates'!$A$2:$J$5,3,FALSE)),1,0)</f>
        <v>0</v>
      </c>
      <c r="S1091" s="9">
        <f>IF($A1091=VLOOKUP(YEAR($A1091),'Festive dates'!$A$2:$J$5,2,FALSE),1,0)</f>
        <v>0</v>
      </c>
      <c r="T1091" s="9">
        <f>IF($A1091=VLOOKUP(YEAR($A1091),'Festive dates'!$A$2:$J$5,3,FALSE),1,0)</f>
        <v>0</v>
      </c>
      <c r="U1091" s="9">
        <f>IF($A1091=VLOOKUP(YEAR($A1091),'Festive dates'!$A$2:$J$5,4,FALSE),1,0)</f>
        <v>0</v>
      </c>
      <c r="V1091" s="9">
        <f>IF(AND($A1091&gt;=VLOOKUP(YEAR($A1091),'Festive dates'!$A$2:$J$5,9,FALSE),$A1091&lt;=VLOOKUP(YEAR($A1091),'Festive dates'!$A$2:$J$5,10,FALSE)),1,0)</f>
        <v>0</v>
      </c>
      <c r="W1091" s="9">
        <f>IF($A1091=VLOOKUP(YEAR($A1091),'Festive dates'!$A$2:$J$5,7,FALSE),1,0)</f>
        <v>0</v>
      </c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</row>
    <row r="1092" spans="1:51">
      <c r="A1092" s="8">
        <v>46107</v>
      </c>
      <c r="B1092" s="9">
        <v>0</v>
      </c>
      <c r="C1092" s="9">
        <v>0</v>
      </c>
      <c r="D1092" s="9">
        <v>0</v>
      </c>
      <c r="E1092" s="9">
        <v>0</v>
      </c>
      <c r="F1092" s="9">
        <v>0</v>
      </c>
      <c r="G1092" s="9">
        <v>0</v>
      </c>
      <c r="H1092" s="9">
        <v>0</v>
      </c>
      <c r="I1092" s="9">
        <v>0</v>
      </c>
      <c r="J1092" s="9">
        <v>0</v>
      </c>
      <c r="K1092" s="9">
        <v>0</v>
      </c>
      <c r="L1092" s="9">
        <v>0</v>
      </c>
      <c r="M1092" s="9">
        <v>0</v>
      </c>
      <c r="N1092" s="9">
        <v>0</v>
      </c>
      <c r="O1092" s="9">
        <v>0</v>
      </c>
      <c r="P1092" s="9">
        <v>0</v>
      </c>
      <c r="Q1092" s="9">
        <f>MAX(-20,MIN(10,$A1092-VLOOKUP(YEAR($A1092),'Festive dates'!$A$2:$J$5,8,FALSE)))</f>
        <v>-20</v>
      </c>
      <c r="R1092" s="9">
        <f>IF(AND($A1092&gt;VLOOKUP(YEAR($A1092),'Festive dates'!$A$2:$J$5,2,FALSE),$A1092&lt;VLOOKUP(YEAR($A1092),'Festive dates'!$A$2:$J$5,3,FALSE)),1,0)</f>
        <v>0</v>
      </c>
      <c r="S1092" s="9">
        <f>IF($A1092=VLOOKUP(YEAR($A1092),'Festive dates'!$A$2:$J$5,2,FALSE),1,0)</f>
        <v>0</v>
      </c>
      <c r="T1092" s="9">
        <f>IF($A1092=VLOOKUP(YEAR($A1092),'Festive dates'!$A$2:$J$5,3,FALSE),1,0)</f>
        <v>0</v>
      </c>
      <c r="U1092" s="9">
        <f>IF($A1092=VLOOKUP(YEAR($A1092),'Festive dates'!$A$2:$J$5,4,FALSE),1,0)</f>
        <v>0</v>
      </c>
      <c r="V1092" s="9">
        <f>IF(AND($A1092&gt;=VLOOKUP(YEAR($A1092),'Festive dates'!$A$2:$J$5,9,FALSE),$A1092&lt;=VLOOKUP(YEAR($A1092),'Festive dates'!$A$2:$J$5,10,FALSE)),1,0)</f>
        <v>0</v>
      </c>
      <c r="W1092" s="9">
        <f>IF($A1092=VLOOKUP(YEAR($A1092),'Festive dates'!$A$2:$J$5,7,FALSE),1,0)</f>
        <v>0</v>
      </c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</row>
    <row r="1093" spans="1:51">
      <c r="A1093" s="8">
        <v>46108</v>
      </c>
      <c r="B1093" s="9">
        <v>0</v>
      </c>
      <c r="C1093" s="9">
        <v>0</v>
      </c>
      <c r="D1093" s="9">
        <v>0</v>
      </c>
      <c r="E1093" s="9">
        <v>0</v>
      </c>
      <c r="F1093" s="9">
        <v>0</v>
      </c>
      <c r="G1093" s="9">
        <v>0</v>
      </c>
      <c r="H1093" s="9">
        <v>0</v>
      </c>
      <c r="I1093" s="9">
        <v>0</v>
      </c>
      <c r="J1093" s="9">
        <v>0</v>
      </c>
      <c r="K1093" s="9">
        <v>0</v>
      </c>
      <c r="L1093" s="9">
        <v>0</v>
      </c>
      <c r="M1093" s="9">
        <v>0</v>
      </c>
      <c r="N1093" s="9">
        <v>0</v>
      </c>
      <c r="O1093" s="9">
        <v>0</v>
      </c>
      <c r="P1093" s="9">
        <v>0</v>
      </c>
      <c r="Q1093" s="9">
        <f>MAX(-20,MIN(10,$A1093-VLOOKUP(YEAR($A1093),'Festive dates'!$A$2:$J$5,8,FALSE)))</f>
        <v>-20</v>
      </c>
      <c r="R1093" s="9">
        <f>IF(AND($A1093&gt;VLOOKUP(YEAR($A1093),'Festive dates'!$A$2:$J$5,2,FALSE),$A1093&lt;VLOOKUP(YEAR($A1093),'Festive dates'!$A$2:$J$5,3,FALSE)),1,0)</f>
        <v>0</v>
      </c>
      <c r="S1093" s="9">
        <f>IF($A1093=VLOOKUP(YEAR($A1093),'Festive dates'!$A$2:$J$5,2,FALSE),1,0)</f>
        <v>0</v>
      </c>
      <c r="T1093" s="9">
        <f>IF($A1093=VLOOKUP(YEAR($A1093),'Festive dates'!$A$2:$J$5,3,FALSE),1,0)</f>
        <v>0</v>
      </c>
      <c r="U1093" s="9">
        <f>IF($A1093=VLOOKUP(YEAR($A1093),'Festive dates'!$A$2:$J$5,4,FALSE),1,0)</f>
        <v>0</v>
      </c>
      <c r="V1093" s="9">
        <f>IF(AND($A1093&gt;=VLOOKUP(YEAR($A1093),'Festive dates'!$A$2:$J$5,9,FALSE),$A1093&lt;=VLOOKUP(YEAR($A1093),'Festive dates'!$A$2:$J$5,10,FALSE)),1,0)</f>
        <v>0</v>
      </c>
      <c r="W1093" s="9">
        <f>IF($A1093=VLOOKUP(YEAR($A1093),'Festive dates'!$A$2:$J$5,7,FALSE),1,0)</f>
        <v>0</v>
      </c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</row>
    <row r="1094" spans="1:51">
      <c r="A1094" s="8">
        <v>46109</v>
      </c>
      <c r="B1094" s="9">
        <v>0</v>
      </c>
      <c r="C1094" s="9">
        <v>0</v>
      </c>
      <c r="D1094" s="9">
        <v>0</v>
      </c>
      <c r="E1094" s="9">
        <v>0</v>
      </c>
      <c r="F1094" s="9">
        <v>0</v>
      </c>
      <c r="G1094" s="9">
        <v>0</v>
      </c>
      <c r="H1094" s="9">
        <v>0</v>
      </c>
      <c r="I1094" s="9">
        <v>0</v>
      </c>
      <c r="J1094" s="9">
        <v>0</v>
      </c>
      <c r="K1094" s="9">
        <v>0</v>
      </c>
      <c r="L1094" s="9">
        <v>0</v>
      </c>
      <c r="M1094" s="9">
        <v>0</v>
      </c>
      <c r="N1094" s="9">
        <v>0</v>
      </c>
      <c r="O1094" s="9">
        <v>0</v>
      </c>
      <c r="P1094" s="9">
        <v>0</v>
      </c>
      <c r="Q1094" s="9">
        <f>MAX(-20,MIN(10,$A1094-VLOOKUP(YEAR($A1094),'Festive dates'!$A$2:$J$5,8,FALSE)))</f>
        <v>-20</v>
      </c>
      <c r="R1094" s="9">
        <f>IF(AND($A1094&gt;VLOOKUP(YEAR($A1094),'Festive dates'!$A$2:$J$5,2,FALSE),$A1094&lt;VLOOKUP(YEAR($A1094),'Festive dates'!$A$2:$J$5,3,FALSE)),1,0)</f>
        <v>0</v>
      </c>
      <c r="S1094" s="9">
        <f>IF($A1094=VLOOKUP(YEAR($A1094),'Festive dates'!$A$2:$J$5,2,FALSE),1,0)</f>
        <v>0</v>
      </c>
      <c r="T1094" s="9">
        <f>IF($A1094=VLOOKUP(YEAR($A1094),'Festive dates'!$A$2:$J$5,3,FALSE),1,0)</f>
        <v>0</v>
      </c>
      <c r="U1094" s="9">
        <f>IF($A1094=VLOOKUP(YEAR($A1094),'Festive dates'!$A$2:$J$5,4,FALSE),1,0)</f>
        <v>0</v>
      </c>
      <c r="V1094" s="9">
        <f>IF(AND($A1094&gt;=VLOOKUP(YEAR($A1094),'Festive dates'!$A$2:$J$5,9,FALSE),$A1094&lt;=VLOOKUP(YEAR($A1094),'Festive dates'!$A$2:$J$5,10,FALSE)),1,0)</f>
        <v>0</v>
      </c>
      <c r="W1094" s="9">
        <f>IF($A1094=VLOOKUP(YEAR($A1094),'Festive dates'!$A$2:$J$5,7,FALSE),1,0)</f>
        <v>0</v>
      </c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</row>
    <row r="1095" spans="1:51">
      <c r="A1095" s="8">
        <v>46110</v>
      </c>
      <c r="B1095" s="9">
        <v>0</v>
      </c>
      <c r="C1095" s="9">
        <v>0</v>
      </c>
      <c r="D1095" s="9">
        <v>0</v>
      </c>
      <c r="E1095" s="9">
        <v>0</v>
      </c>
      <c r="F1095" s="9">
        <v>0</v>
      </c>
      <c r="G1095" s="9">
        <v>0</v>
      </c>
      <c r="H1095" s="9">
        <v>0</v>
      </c>
      <c r="I1095" s="9">
        <v>0</v>
      </c>
      <c r="J1095" s="9">
        <v>0</v>
      </c>
      <c r="K1095" s="9">
        <v>0</v>
      </c>
      <c r="L1095" s="9">
        <v>0</v>
      </c>
      <c r="M1095" s="9">
        <v>0</v>
      </c>
      <c r="N1095" s="9">
        <v>0</v>
      </c>
      <c r="O1095" s="9">
        <v>0</v>
      </c>
      <c r="P1095" s="9">
        <v>0</v>
      </c>
      <c r="Q1095" s="9">
        <f>MAX(-20,MIN(10,$A1095-VLOOKUP(YEAR($A1095),'Festive dates'!$A$2:$J$5,8,FALSE)))</f>
        <v>-20</v>
      </c>
      <c r="R1095" s="9">
        <f>IF(AND($A1095&gt;VLOOKUP(YEAR($A1095),'Festive dates'!$A$2:$J$5,2,FALSE),$A1095&lt;VLOOKUP(YEAR($A1095),'Festive dates'!$A$2:$J$5,3,FALSE)),1,0)</f>
        <v>0</v>
      </c>
      <c r="S1095" s="9">
        <f>IF($A1095=VLOOKUP(YEAR($A1095),'Festive dates'!$A$2:$J$5,2,FALSE),1,0)</f>
        <v>0</v>
      </c>
      <c r="T1095" s="9">
        <f>IF($A1095=VLOOKUP(YEAR($A1095),'Festive dates'!$A$2:$J$5,3,FALSE),1,0)</f>
        <v>0</v>
      </c>
      <c r="U1095" s="9">
        <f>IF($A1095=VLOOKUP(YEAR($A1095),'Festive dates'!$A$2:$J$5,4,FALSE),1,0)</f>
        <v>0</v>
      </c>
      <c r="V1095" s="9">
        <f>IF(AND($A1095&gt;=VLOOKUP(YEAR($A1095),'Festive dates'!$A$2:$J$5,9,FALSE),$A1095&lt;=VLOOKUP(YEAR($A1095),'Festive dates'!$A$2:$J$5,10,FALSE)),1,0)</f>
        <v>0</v>
      </c>
      <c r="W1095" s="9">
        <f>IF($A1095=VLOOKUP(YEAR($A1095),'Festive dates'!$A$2:$J$5,7,FALSE),1,0)</f>
        <v>0</v>
      </c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</row>
    <row r="1096" spans="1:51">
      <c r="A1096" s="8">
        <v>46111</v>
      </c>
      <c r="B1096" s="9">
        <v>0</v>
      </c>
      <c r="C1096" s="9">
        <v>0</v>
      </c>
      <c r="D1096" s="9">
        <v>0</v>
      </c>
      <c r="E1096" s="9">
        <v>0</v>
      </c>
      <c r="F1096" s="9">
        <v>0</v>
      </c>
      <c r="G1096" s="9">
        <v>0</v>
      </c>
      <c r="H1096" s="9">
        <v>0</v>
      </c>
      <c r="I1096" s="9">
        <v>0</v>
      </c>
      <c r="J1096" s="9">
        <v>0</v>
      </c>
      <c r="K1096" s="9">
        <v>0</v>
      </c>
      <c r="L1096" s="9">
        <v>0</v>
      </c>
      <c r="M1096" s="9">
        <v>0</v>
      </c>
      <c r="N1096" s="9">
        <v>0</v>
      </c>
      <c r="O1096" s="9">
        <v>0</v>
      </c>
      <c r="P1096" s="9">
        <v>0</v>
      </c>
      <c r="Q1096" s="9">
        <f>MAX(-20,MIN(10,$A1096-VLOOKUP(YEAR($A1096),'Festive dates'!$A$2:$J$5,8,FALSE)))</f>
        <v>-20</v>
      </c>
      <c r="R1096" s="9">
        <f>IF(AND($A1096&gt;VLOOKUP(YEAR($A1096),'Festive dates'!$A$2:$J$5,2,FALSE),$A1096&lt;VLOOKUP(YEAR($A1096),'Festive dates'!$A$2:$J$5,3,FALSE)),1,0)</f>
        <v>0</v>
      </c>
      <c r="S1096" s="9">
        <f>IF($A1096=VLOOKUP(YEAR($A1096),'Festive dates'!$A$2:$J$5,2,FALSE),1,0)</f>
        <v>0</v>
      </c>
      <c r="T1096" s="9">
        <f>IF($A1096=VLOOKUP(YEAR($A1096),'Festive dates'!$A$2:$J$5,3,FALSE),1,0)</f>
        <v>0</v>
      </c>
      <c r="U1096" s="9">
        <f>IF($A1096=VLOOKUP(YEAR($A1096),'Festive dates'!$A$2:$J$5,4,FALSE),1,0)</f>
        <v>0</v>
      </c>
      <c r="V1096" s="9">
        <f>IF(AND($A1096&gt;=VLOOKUP(YEAR($A1096),'Festive dates'!$A$2:$J$5,9,FALSE),$A1096&lt;=VLOOKUP(YEAR($A1096),'Festive dates'!$A$2:$J$5,10,FALSE)),1,0)</f>
        <v>0</v>
      </c>
      <c r="W1096" s="9">
        <f>IF($A1096=VLOOKUP(YEAR($A1096),'Festive dates'!$A$2:$J$5,7,FALSE),1,0)</f>
        <v>0</v>
      </c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</row>
    <row r="1097" spans="1:51">
      <c r="A1097" s="8">
        <v>46112</v>
      </c>
      <c r="B1097" s="9">
        <v>0</v>
      </c>
      <c r="C1097" s="9">
        <v>0</v>
      </c>
      <c r="D1097" s="9">
        <v>0</v>
      </c>
      <c r="E1097" s="9">
        <v>0</v>
      </c>
      <c r="F1097" s="9">
        <v>0</v>
      </c>
      <c r="G1097" s="9">
        <v>0</v>
      </c>
      <c r="H1097" s="9">
        <v>0</v>
      </c>
      <c r="I1097" s="9">
        <v>0</v>
      </c>
      <c r="J1097" s="9">
        <v>0</v>
      </c>
      <c r="K1097" s="9">
        <v>0</v>
      </c>
      <c r="L1097" s="9">
        <v>0</v>
      </c>
      <c r="M1097" s="9">
        <v>0</v>
      </c>
      <c r="N1097" s="9">
        <v>0</v>
      </c>
      <c r="O1097" s="9">
        <v>0</v>
      </c>
      <c r="P1097" s="9">
        <v>0</v>
      </c>
      <c r="Q1097" s="9">
        <f>MAX(-20,MIN(10,$A1097-VLOOKUP(YEAR($A1097),'Festive dates'!$A$2:$J$5,8,FALSE)))</f>
        <v>-20</v>
      </c>
      <c r="R1097" s="9">
        <f>IF(AND($A1097&gt;VLOOKUP(YEAR($A1097),'Festive dates'!$A$2:$J$5,2,FALSE),$A1097&lt;VLOOKUP(YEAR($A1097),'Festive dates'!$A$2:$J$5,3,FALSE)),1,0)</f>
        <v>0</v>
      </c>
      <c r="S1097" s="9">
        <f>IF($A1097=VLOOKUP(YEAR($A1097),'Festive dates'!$A$2:$J$5,2,FALSE),1,0)</f>
        <v>0</v>
      </c>
      <c r="T1097" s="9">
        <f>IF($A1097=VLOOKUP(YEAR($A1097),'Festive dates'!$A$2:$J$5,3,FALSE),1,0)</f>
        <v>0</v>
      </c>
      <c r="U1097" s="9">
        <f>IF($A1097=VLOOKUP(YEAR($A1097),'Festive dates'!$A$2:$J$5,4,FALSE),1,0)</f>
        <v>0</v>
      </c>
      <c r="V1097" s="9">
        <f>IF(AND($A1097&gt;=VLOOKUP(YEAR($A1097),'Festive dates'!$A$2:$J$5,9,FALSE),$A1097&lt;=VLOOKUP(YEAR($A1097),'Festive dates'!$A$2:$J$5,10,FALSE)),1,0)</f>
        <v>0</v>
      </c>
      <c r="W1097" s="9">
        <f>IF($A1097=VLOOKUP(YEAR($A1097),'Festive dates'!$A$2:$J$5,7,FALSE),1,0)</f>
        <v>0</v>
      </c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</row>
    <row r="1098" spans="1:51">
      <c r="A1098" s="8">
        <v>46113</v>
      </c>
      <c r="B1098" s="9">
        <v>0</v>
      </c>
      <c r="C1098" s="9">
        <v>0</v>
      </c>
      <c r="D1098" s="9">
        <v>0</v>
      </c>
      <c r="E1098" s="9">
        <v>0</v>
      </c>
      <c r="F1098" s="9">
        <v>0</v>
      </c>
      <c r="G1098" s="9">
        <v>0</v>
      </c>
      <c r="H1098" s="9">
        <v>0</v>
      </c>
      <c r="I1098" s="9">
        <v>0</v>
      </c>
      <c r="J1098" s="9">
        <v>0</v>
      </c>
      <c r="K1098" s="9">
        <v>0</v>
      </c>
      <c r="L1098" s="9">
        <v>0</v>
      </c>
      <c r="M1098" s="9">
        <v>0</v>
      </c>
      <c r="N1098" s="9">
        <v>0</v>
      </c>
      <c r="O1098" s="9">
        <v>0</v>
      </c>
      <c r="P1098" s="9">
        <v>0</v>
      </c>
      <c r="Q1098" s="9">
        <f>MAX(-20,MIN(10,$A1098-VLOOKUP(YEAR($A1098),'Festive dates'!$A$2:$J$5,8,FALSE)))</f>
        <v>-20</v>
      </c>
      <c r="R1098" s="9">
        <f>IF(AND($A1098&gt;VLOOKUP(YEAR($A1098),'Festive dates'!$A$2:$J$5,2,FALSE),$A1098&lt;VLOOKUP(YEAR($A1098),'Festive dates'!$A$2:$J$5,3,FALSE)),1,0)</f>
        <v>0</v>
      </c>
      <c r="S1098" s="9">
        <f>IF($A1098=VLOOKUP(YEAR($A1098),'Festive dates'!$A$2:$J$5,2,FALSE),1,0)</f>
        <v>0</v>
      </c>
      <c r="T1098" s="9">
        <f>IF($A1098=VLOOKUP(YEAR($A1098),'Festive dates'!$A$2:$J$5,3,FALSE),1,0)</f>
        <v>0</v>
      </c>
      <c r="U1098" s="9">
        <f>IF($A1098=VLOOKUP(YEAR($A1098),'Festive dates'!$A$2:$J$5,4,FALSE),1,0)</f>
        <v>0</v>
      </c>
      <c r="V1098" s="9">
        <f>IF(AND($A1098&gt;=VLOOKUP(YEAR($A1098),'Festive dates'!$A$2:$J$5,9,FALSE),$A1098&lt;=VLOOKUP(YEAR($A1098),'Festive dates'!$A$2:$J$5,10,FALSE)),1,0)</f>
        <v>0</v>
      </c>
      <c r="W1098" s="9">
        <f>IF($A1098=VLOOKUP(YEAR($A1098),'Festive dates'!$A$2:$J$5,7,FALSE),1,0)</f>
        <v>0</v>
      </c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</row>
    <row r="1099" spans="1:51">
      <c r="A1099" s="8">
        <v>46114</v>
      </c>
      <c r="B1099" s="9">
        <v>0</v>
      </c>
      <c r="C1099" s="9">
        <v>0</v>
      </c>
      <c r="D1099" s="9">
        <v>0</v>
      </c>
      <c r="E1099" s="9">
        <v>0</v>
      </c>
      <c r="F1099" s="9">
        <v>0</v>
      </c>
      <c r="G1099" s="9">
        <v>0</v>
      </c>
      <c r="H1099" s="9">
        <v>1</v>
      </c>
      <c r="I1099" s="9">
        <v>0</v>
      </c>
      <c r="J1099" s="9">
        <v>0</v>
      </c>
      <c r="K1099" s="9">
        <v>0</v>
      </c>
      <c r="L1099" s="9">
        <v>0</v>
      </c>
      <c r="M1099" s="9">
        <v>0</v>
      </c>
      <c r="N1099" s="9">
        <v>0</v>
      </c>
      <c r="O1099" s="9">
        <v>0</v>
      </c>
      <c r="P1099" s="9">
        <v>0</v>
      </c>
      <c r="Q1099" s="9">
        <f>MAX(-20,MIN(10,$A1099-VLOOKUP(YEAR($A1099),'Festive dates'!$A$2:$J$5,8,FALSE)))</f>
        <v>-20</v>
      </c>
      <c r="R1099" s="9">
        <f>IF(AND($A1099&gt;VLOOKUP(YEAR($A1099),'Festive dates'!$A$2:$J$5,2,FALSE),$A1099&lt;VLOOKUP(YEAR($A1099),'Festive dates'!$A$2:$J$5,3,FALSE)),1,0)</f>
        <v>0</v>
      </c>
      <c r="S1099" s="9">
        <f>IF($A1099=VLOOKUP(YEAR($A1099),'Festive dates'!$A$2:$J$5,2,FALSE),1,0)</f>
        <v>0</v>
      </c>
      <c r="T1099" s="9">
        <f>IF($A1099=VLOOKUP(YEAR($A1099),'Festive dates'!$A$2:$J$5,3,FALSE),1,0)</f>
        <v>0</v>
      </c>
      <c r="U1099" s="9">
        <f>IF($A1099=VLOOKUP(YEAR($A1099),'Festive dates'!$A$2:$J$5,4,FALSE),1,0)</f>
        <v>0</v>
      </c>
      <c r="V1099" s="9">
        <f>IF(AND($A1099&gt;=VLOOKUP(YEAR($A1099),'Festive dates'!$A$2:$J$5,9,FALSE),$A1099&lt;=VLOOKUP(YEAR($A1099),'Festive dates'!$A$2:$J$5,10,FALSE)),1,0)</f>
        <v>0</v>
      </c>
      <c r="W1099" s="9">
        <f>IF($A1099=VLOOKUP(YEAR($A1099),'Festive dates'!$A$2:$J$5,7,FALSE),1,0)</f>
        <v>0</v>
      </c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</row>
    <row r="1100" spans="1:51">
      <c r="A1100" s="8">
        <v>46115</v>
      </c>
      <c r="B1100" s="9">
        <v>0</v>
      </c>
      <c r="C1100" s="9">
        <v>0</v>
      </c>
      <c r="D1100" s="9">
        <v>0</v>
      </c>
      <c r="E1100" s="9">
        <v>0</v>
      </c>
      <c r="F1100" s="9">
        <v>0</v>
      </c>
      <c r="G1100" s="9">
        <v>0</v>
      </c>
      <c r="H1100" s="9">
        <v>0</v>
      </c>
      <c r="I1100" s="9">
        <v>0</v>
      </c>
      <c r="J1100" s="9">
        <v>0</v>
      </c>
      <c r="K1100" s="9">
        <v>0</v>
      </c>
      <c r="L1100" s="9">
        <v>0</v>
      </c>
      <c r="M1100" s="9">
        <v>0</v>
      </c>
      <c r="N1100" s="9">
        <v>0</v>
      </c>
      <c r="O1100" s="9">
        <v>0</v>
      </c>
      <c r="P1100" s="9">
        <v>0</v>
      </c>
      <c r="Q1100" s="9">
        <f>MAX(-20,MIN(10,$A1100-VLOOKUP(YEAR($A1100),'Festive dates'!$A$2:$J$5,8,FALSE)))</f>
        <v>-20</v>
      </c>
      <c r="R1100" s="9">
        <f>IF(AND($A1100&gt;VLOOKUP(YEAR($A1100),'Festive dates'!$A$2:$J$5,2,FALSE),$A1100&lt;VLOOKUP(YEAR($A1100),'Festive dates'!$A$2:$J$5,3,FALSE)),1,0)</f>
        <v>0</v>
      </c>
      <c r="S1100" s="9">
        <f>IF($A1100=VLOOKUP(YEAR($A1100),'Festive dates'!$A$2:$J$5,2,FALSE),1,0)</f>
        <v>0</v>
      </c>
      <c r="T1100" s="9">
        <f>IF($A1100=VLOOKUP(YEAR($A1100),'Festive dates'!$A$2:$J$5,3,FALSE),1,0)</f>
        <v>0</v>
      </c>
      <c r="U1100" s="9">
        <f>IF($A1100=VLOOKUP(YEAR($A1100),'Festive dates'!$A$2:$J$5,4,FALSE),1,0)</f>
        <v>0</v>
      </c>
      <c r="V1100" s="9">
        <f>IF(AND($A1100&gt;=VLOOKUP(YEAR($A1100),'Festive dates'!$A$2:$J$5,9,FALSE),$A1100&lt;=VLOOKUP(YEAR($A1100),'Festive dates'!$A$2:$J$5,10,FALSE)),1,0)</f>
        <v>0</v>
      </c>
      <c r="W1100" s="9">
        <f>IF($A1100=VLOOKUP(YEAR($A1100),'Festive dates'!$A$2:$J$5,7,FALSE),1,0)</f>
        <v>0</v>
      </c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</row>
    <row r="1101" spans="1:51">
      <c r="A1101" s="8">
        <v>46116</v>
      </c>
      <c r="B1101" s="9">
        <v>0</v>
      </c>
      <c r="C1101" s="9">
        <v>0</v>
      </c>
      <c r="D1101" s="9">
        <v>0</v>
      </c>
      <c r="E1101" s="9">
        <v>0</v>
      </c>
      <c r="F1101" s="9">
        <v>0</v>
      </c>
      <c r="G1101" s="9">
        <v>0</v>
      </c>
      <c r="H1101" s="9">
        <v>0</v>
      </c>
      <c r="I1101" s="9">
        <v>0</v>
      </c>
      <c r="J1101" s="9">
        <v>0</v>
      </c>
      <c r="K1101" s="9">
        <v>0</v>
      </c>
      <c r="L1101" s="9">
        <v>0</v>
      </c>
      <c r="M1101" s="9">
        <v>0</v>
      </c>
      <c r="N1101" s="9">
        <v>0</v>
      </c>
      <c r="O1101" s="9">
        <v>0</v>
      </c>
      <c r="P1101" s="9">
        <v>0</v>
      </c>
      <c r="Q1101" s="9">
        <f>MAX(-20,MIN(10,$A1101-VLOOKUP(YEAR($A1101),'Festive dates'!$A$2:$J$5,8,FALSE)))</f>
        <v>-20</v>
      </c>
      <c r="R1101" s="9">
        <f>IF(AND($A1101&gt;VLOOKUP(YEAR($A1101),'Festive dates'!$A$2:$J$5,2,FALSE),$A1101&lt;VLOOKUP(YEAR($A1101),'Festive dates'!$A$2:$J$5,3,FALSE)),1,0)</f>
        <v>0</v>
      </c>
      <c r="S1101" s="9">
        <f>IF($A1101=VLOOKUP(YEAR($A1101),'Festive dates'!$A$2:$J$5,2,FALSE),1,0)</f>
        <v>0</v>
      </c>
      <c r="T1101" s="9">
        <f>IF($A1101=VLOOKUP(YEAR($A1101),'Festive dates'!$A$2:$J$5,3,FALSE),1,0)</f>
        <v>0</v>
      </c>
      <c r="U1101" s="9">
        <f>IF($A1101=VLOOKUP(YEAR($A1101),'Festive dates'!$A$2:$J$5,4,FALSE),1,0)</f>
        <v>0</v>
      </c>
      <c r="V1101" s="9">
        <f>IF(AND($A1101&gt;=VLOOKUP(YEAR($A1101),'Festive dates'!$A$2:$J$5,9,FALSE),$A1101&lt;=VLOOKUP(YEAR($A1101),'Festive dates'!$A$2:$J$5,10,FALSE)),1,0)</f>
        <v>0</v>
      </c>
      <c r="W1101" s="9">
        <f>IF($A1101=VLOOKUP(YEAR($A1101),'Festive dates'!$A$2:$J$5,7,FALSE),1,0)</f>
        <v>0</v>
      </c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</row>
    <row r="1102" spans="1:51">
      <c r="A1102" s="8">
        <v>46117</v>
      </c>
      <c r="B1102" s="9">
        <v>0</v>
      </c>
      <c r="C1102" s="9">
        <v>0</v>
      </c>
      <c r="D1102" s="9">
        <v>0</v>
      </c>
      <c r="E1102" s="9">
        <v>0</v>
      </c>
      <c r="F1102" s="9">
        <v>0</v>
      </c>
      <c r="G1102" s="9">
        <v>0</v>
      </c>
      <c r="H1102" s="9">
        <v>0</v>
      </c>
      <c r="I1102" s="9">
        <v>0</v>
      </c>
      <c r="J1102" s="9">
        <v>0</v>
      </c>
      <c r="K1102" s="9">
        <v>0</v>
      </c>
      <c r="L1102" s="9">
        <v>0</v>
      </c>
      <c r="M1102" s="9">
        <v>0</v>
      </c>
      <c r="N1102" s="9">
        <v>0</v>
      </c>
      <c r="O1102" s="9">
        <v>0</v>
      </c>
      <c r="P1102" s="9">
        <v>0</v>
      </c>
      <c r="Q1102" s="9">
        <f>MAX(-20,MIN(10,$A1102-VLOOKUP(YEAR($A1102),'Festive dates'!$A$2:$J$5,8,FALSE)))</f>
        <v>-20</v>
      </c>
      <c r="R1102" s="9">
        <f>IF(AND($A1102&gt;VLOOKUP(YEAR($A1102),'Festive dates'!$A$2:$J$5,2,FALSE),$A1102&lt;VLOOKUP(YEAR($A1102),'Festive dates'!$A$2:$J$5,3,FALSE)),1,0)</f>
        <v>0</v>
      </c>
      <c r="S1102" s="9">
        <f>IF($A1102=VLOOKUP(YEAR($A1102),'Festive dates'!$A$2:$J$5,2,FALSE),1,0)</f>
        <v>0</v>
      </c>
      <c r="T1102" s="9">
        <f>IF($A1102=VLOOKUP(YEAR($A1102),'Festive dates'!$A$2:$J$5,3,FALSE),1,0)</f>
        <v>0</v>
      </c>
      <c r="U1102" s="9">
        <f>IF($A1102=VLOOKUP(YEAR($A1102),'Festive dates'!$A$2:$J$5,4,FALSE),1,0)</f>
        <v>0</v>
      </c>
      <c r="V1102" s="9">
        <f>IF(AND($A1102&gt;=VLOOKUP(YEAR($A1102),'Festive dates'!$A$2:$J$5,9,FALSE),$A1102&lt;=VLOOKUP(YEAR($A1102),'Festive dates'!$A$2:$J$5,10,FALSE)),1,0)</f>
        <v>0</v>
      </c>
      <c r="W1102" s="9">
        <f>IF($A1102=VLOOKUP(YEAR($A1102),'Festive dates'!$A$2:$J$5,7,FALSE),1,0)</f>
        <v>0</v>
      </c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</row>
    <row r="1103" spans="1:51">
      <c r="A1103" s="8">
        <v>46118</v>
      </c>
      <c r="B1103" s="9">
        <v>0</v>
      </c>
      <c r="C1103" s="9">
        <v>0</v>
      </c>
      <c r="D1103" s="9">
        <v>0</v>
      </c>
      <c r="E1103" s="9">
        <v>0</v>
      </c>
      <c r="F1103" s="9">
        <v>0</v>
      </c>
      <c r="G1103" s="9">
        <v>0</v>
      </c>
      <c r="H1103" s="9">
        <v>0</v>
      </c>
      <c r="I1103" s="9">
        <v>0</v>
      </c>
      <c r="J1103" s="9">
        <v>0</v>
      </c>
      <c r="K1103" s="9">
        <v>0</v>
      </c>
      <c r="L1103" s="9">
        <v>0</v>
      </c>
      <c r="M1103" s="9">
        <v>0</v>
      </c>
      <c r="N1103" s="9">
        <v>0</v>
      </c>
      <c r="O1103" s="9">
        <v>0</v>
      </c>
      <c r="P1103" s="9">
        <v>0</v>
      </c>
      <c r="Q1103" s="9">
        <f>MAX(-20,MIN(10,$A1103-VLOOKUP(YEAR($A1103),'Festive dates'!$A$2:$J$5,8,FALSE)))</f>
        <v>-20</v>
      </c>
      <c r="R1103" s="9">
        <f>IF(AND($A1103&gt;VLOOKUP(YEAR($A1103),'Festive dates'!$A$2:$J$5,2,FALSE),$A1103&lt;VLOOKUP(YEAR($A1103),'Festive dates'!$A$2:$J$5,3,FALSE)),1,0)</f>
        <v>0</v>
      </c>
      <c r="S1103" s="9">
        <f>IF($A1103=VLOOKUP(YEAR($A1103),'Festive dates'!$A$2:$J$5,2,FALSE),1,0)</f>
        <v>0</v>
      </c>
      <c r="T1103" s="9">
        <f>IF($A1103=VLOOKUP(YEAR($A1103),'Festive dates'!$A$2:$J$5,3,FALSE),1,0)</f>
        <v>0</v>
      </c>
      <c r="U1103" s="9">
        <f>IF($A1103=VLOOKUP(YEAR($A1103),'Festive dates'!$A$2:$J$5,4,FALSE),1,0)</f>
        <v>0</v>
      </c>
      <c r="V1103" s="9">
        <f>IF(AND($A1103&gt;=VLOOKUP(YEAR($A1103),'Festive dates'!$A$2:$J$5,9,FALSE),$A1103&lt;=VLOOKUP(YEAR($A1103),'Festive dates'!$A$2:$J$5,10,FALSE)),1,0)</f>
        <v>0</v>
      </c>
      <c r="W1103" s="9">
        <f>IF($A1103=VLOOKUP(YEAR($A1103),'Festive dates'!$A$2:$J$5,7,FALSE),1,0)</f>
        <v>0</v>
      </c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</row>
    <row r="1104" spans="1:51">
      <c r="A1104" s="8">
        <v>46119</v>
      </c>
      <c r="B1104" s="9">
        <v>0</v>
      </c>
      <c r="C1104" s="9">
        <v>0</v>
      </c>
      <c r="D1104" s="9">
        <v>0</v>
      </c>
      <c r="E1104" s="9">
        <v>0</v>
      </c>
      <c r="F1104" s="9">
        <v>0</v>
      </c>
      <c r="G1104" s="9">
        <v>0</v>
      </c>
      <c r="H1104" s="9">
        <v>0</v>
      </c>
      <c r="I1104" s="9">
        <v>0</v>
      </c>
      <c r="J1104" s="9">
        <v>0</v>
      </c>
      <c r="K1104" s="9">
        <v>0</v>
      </c>
      <c r="L1104" s="9">
        <v>0</v>
      </c>
      <c r="M1104" s="9">
        <v>0</v>
      </c>
      <c r="N1104" s="9">
        <v>0</v>
      </c>
      <c r="O1104" s="9">
        <v>0</v>
      </c>
      <c r="P1104" s="9">
        <v>0</v>
      </c>
      <c r="Q1104" s="9">
        <f>MAX(-20,MIN(10,$A1104-VLOOKUP(YEAR($A1104),'Festive dates'!$A$2:$J$5,8,FALSE)))</f>
        <v>-20</v>
      </c>
      <c r="R1104" s="9">
        <f>IF(AND($A1104&gt;VLOOKUP(YEAR($A1104),'Festive dates'!$A$2:$J$5,2,FALSE),$A1104&lt;VLOOKUP(YEAR($A1104),'Festive dates'!$A$2:$J$5,3,FALSE)),1,0)</f>
        <v>0</v>
      </c>
      <c r="S1104" s="9">
        <f>IF($A1104=VLOOKUP(YEAR($A1104),'Festive dates'!$A$2:$J$5,2,FALSE),1,0)</f>
        <v>0</v>
      </c>
      <c r="T1104" s="9">
        <f>IF($A1104=VLOOKUP(YEAR($A1104),'Festive dates'!$A$2:$J$5,3,FALSE),1,0)</f>
        <v>0</v>
      </c>
      <c r="U1104" s="9">
        <f>IF($A1104=VLOOKUP(YEAR($A1104),'Festive dates'!$A$2:$J$5,4,FALSE),1,0)</f>
        <v>0</v>
      </c>
      <c r="V1104" s="9">
        <f>IF(AND($A1104&gt;=VLOOKUP(YEAR($A1104),'Festive dates'!$A$2:$J$5,9,FALSE),$A1104&lt;=VLOOKUP(YEAR($A1104),'Festive dates'!$A$2:$J$5,10,FALSE)),1,0)</f>
        <v>0</v>
      </c>
      <c r="W1104" s="9">
        <f>IF($A1104=VLOOKUP(YEAR($A1104),'Festive dates'!$A$2:$J$5,7,FALSE),1,0)</f>
        <v>0</v>
      </c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</row>
    <row r="1105" spans="1:51">
      <c r="A1105" s="8">
        <v>46120</v>
      </c>
      <c r="B1105" s="9">
        <v>0</v>
      </c>
      <c r="C1105" s="9">
        <v>0</v>
      </c>
      <c r="D1105" s="9">
        <v>0</v>
      </c>
      <c r="E1105" s="9">
        <v>0</v>
      </c>
      <c r="F1105" s="9">
        <v>0</v>
      </c>
      <c r="G1105" s="9">
        <v>0</v>
      </c>
      <c r="H1105" s="9">
        <v>0</v>
      </c>
      <c r="I1105" s="9">
        <v>0</v>
      </c>
      <c r="J1105" s="9">
        <v>0</v>
      </c>
      <c r="K1105" s="9">
        <v>0</v>
      </c>
      <c r="L1105" s="9">
        <v>0</v>
      </c>
      <c r="M1105" s="9">
        <v>0</v>
      </c>
      <c r="N1105" s="9">
        <v>0</v>
      </c>
      <c r="O1105" s="9">
        <v>0</v>
      </c>
      <c r="P1105" s="9">
        <v>1</v>
      </c>
      <c r="Q1105" s="9">
        <f>MAX(-20,MIN(10,$A1105-VLOOKUP(YEAR($A1105),'Festive dates'!$A$2:$J$5,8,FALSE)))</f>
        <v>-20</v>
      </c>
      <c r="R1105" s="9">
        <f>IF(AND($A1105&gt;VLOOKUP(YEAR($A1105),'Festive dates'!$A$2:$J$5,2,FALSE),$A1105&lt;VLOOKUP(YEAR($A1105),'Festive dates'!$A$2:$J$5,3,FALSE)),1,0)</f>
        <v>0</v>
      </c>
      <c r="S1105" s="9">
        <f>IF($A1105=VLOOKUP(YEAR($A1105),'Festive dates'!$A$2:$J$5,2,FALSE),1,0)</f>
        <v>0</v>
      </c>
      <c r="T1105" s="9">
        <f>IF($A1105=VLOOKUP(YEAR($A1105),'Festive dates'!$A$2:$J$5,3,FALSE),1,0)</f>
        <v>0</v>
      </c>
      <c r="U1105" s="9">
        <f>IF($A1105=VLOOKUP(YEAR($A1105),'Festive dates'!$A$2:$J$5,4,FALSE),1,0)</f>
        <v>0</v>
      </c>
      <c r="V1105" s="9">
        <f>IF(AND($A1105&gt;=VLOOKUP(YEAR($A1105),'Festive dates'!$A$2:$J$5,9,FALSE),$A1105&lt;=VLOOKUP(YEAR($A1105),'Festive dates'!$A$2:$J$5,10,FALSE)),1,0)</f>
        <v>0</v>
      </c>
      <c r="W1105" s="9">
        <f>IF($A1105=VLOOKUP(YEAR($A1105),'Festive dates'!$A$2:$J$5,7,FALSE),1,0)</f>
        <v>0</v>
      </c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</row>
    <row r="1106" spans="1:51">
      <c r="A1106" s="8">
        <v>46121</v>
      </c>
      <c r="B1106" s="9">
        <v>0</v>
      </c>
      <c r="C1106" s="9">
        <v>0</v>
      </c>
      <c r="D1106" s="9">
        <v>0</v>
      </c>
      <c r="E1106" s="9">
        <v>0</v>
      </c>
      <c r="F1106" s="9">
        <v>0</v>
      </c>
      <c r="G1106" s="9">
        <v>0</v>
      </c>
      <c r="H1106" s="9">
        <v>0</v>
      </c>
      <c r="I1106" s="9">
        <v>0</v>
      </c>
      <c r="J1106" s="9">
        <v>0</v>
      </c>
      <c r="K1106" s="9">
        <v>0</v>
      </c>
      <c r="L1106" s="9">
        <v>0</v>
      </c>
      <c r="M1106" s="9">
        <v>0</v>
      </c>
      <c r="N1106" s="9">
        <v>0</v>
      </c>
      <c r="O1106" s="9">
        <v>0</v>
      </c>
      <c r="P1106" s="9">
        <v>0</v>
      </c>
      <c r="Q1106" s="9">
        <f>MAX(-20,MIN(10,$A1106-VLOOKUP(YEAR($A1106),'Festive dates'!$A$2:$J$5,8,FALSE)))</f>
        <v>-20</v>
      </c>
      <c r="R1106" s="9">
        <f>IF(AND($A1106&gt;VLOOKUP(YEAR($A1106),'Festive dates'!$A$2:$J$5,2,FALSE),$A1106&lt;VLOOKUP(YEAR($A1106),'Festive dates'!$A$2:$J$5,3,FALSE)),1,0)</f>
        <v>0</v>
      </c>
      <c r="S1106" s="9">
        <f>IF($A1106=VLOOKUP(YEAR($A1106),'Festive dates'!$A$2:$J$5,2,FALSE),1,0)</f>
        <v>0</v>
      </c>
      <c r="T1106" s="9">
        <f>IF($A1106=VLOOKUP(YEAR($A1106),'Festive dates'!$A$2:$J$5,3,FALSE),1,0)</f>
        <v>0</v>
      </c>
      <c r="U1106" s="9">
        <f>IF($A1106=VLOOKUP(YEAR($A1106),'Festive dates'!$A$2:$J$5,4,FALSE),1,0)</f>
        <v>0</v>
      </c>
      <c r="V1106" s="9">
        <f>IF(AND($A1106&gt;=VLOOKUP(YEAR($A1106),'Festive dates'!$A$2:$J$5,9,FALSE),$A1106&lt;=VLOOKUP(YEAR($A1106),'Festive dates'!$A$2:$J$5,10,FALSE)),1,0)</f>
        <v>0</v>
      </c>
      <c r="W1106" s="9">
        <f>IF($A1106=VLOOKUP(YEAR($A1106),'Festive dates'!$A$2:$J$5,7,FALSE),1,0)</f>
        <v>0</v>
      </c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</row>
    <row r="1107" spans="1:51">
      <c r="A1107" s="8">
        <v>46122</v>
      </c>
      <c r="B1107" s="9">
        <v>0</v>
      </c>
      <c r="C1107" s="9">
        <v>0</v>
      </c>
      <c r="D1107" s="9">
        <v>0</v>
      </c>
      <c r="E1107" s="9">
        <v>0</v>
      </c>
      <c r="F1107" s="9">
        <v>0</v>
      </c>
      <c r="G1107" s="9">
        <v>0</v>
      </c>
      <c r="H1107" s="9">
        <v>0</v>
      </c>
      <c r="I1107" s="9">
        <v>0</v>
      </c>
      <c r="J1107" s="9">
        <v>0</v>
      </c>
      <c r="K1107" s="9">
        <v>0</v>
      </c>
      <c r="L1107" s="9">
        <v>0</v>
      </c>
      <c r="M1107" s="9">
        <v>0</v>
      </c>
      <c r="N1107" s="9">
        <v>0</v>
      </c>
      <c r="O1107" s="9">
        <v>0</v>
      </c>
      <c r="P1107" s="9">
        <v>0</v>
      </c>
      <c r="Q1107" s="9">
        <f>MAX(-20,MIN(10,$A1107-VLOOKUP(YEAR($A1107),'Festive dates'!$A$2:$J$5,8,FALSE)))</f>
        <v>-20</v>
      </c>
      <c r="R1107" s="9">
        <f>IF(AND($A1107&gt;VLOOKUP(YEAR($A1107),'Festive dates'!$A$2:$J$5,2,FALSE),$A1107&lt;VLOOKUP(YEAR($A1107),'Festive dates'!$A$2:$J$5,3,FALSE)),1,0)</f>
        <v>0</v>
      </c>
      <c r="S1107" s="9">
        <f>IF($A1107=VLOOKUP(YEAR($A1107),'Festive dates'!$A$2:$J$5,2,FALSE),1,0)</f>
        <v>0</v>
      </c>
      <c r="T1107" s="9">
        <f>IF($A1107=VLOOKUP(YEAR($A1107),'Festive dates'!$A$2:$J$5,3,FALSE),1,0)</f>
        <v>0</v>
      </c>
      <c r="U1107" s="9">
        <f>IF($A1107=VLOOKUP(YEAR($A1107),'Festive dates'!$A$2:$J$5,4,FALSE),1,0)</f>
        <v>0</v>
      </c>
      <c r="V1107" s="9">
        <f>IF(AND($A1107&gt;=VLOOKUP(YEAR($A1107),'Festive dates'!$A$2:$J$5,9,FALSE),$A1107&lt;=VLOOKUP(YEAR($A1107),'Festive dates'!$A$2:$J$5,10,FALSE)),1,0)</f>
        <v>0</v>
      </c>
      <c r="W1107" s="9">
        <f>IF($A1107=VLOOKUP(YEAR($A1107),'Festive dates'!$A$2:$J$5,7,FALSE),1,0)</f>
        <v>0</v>
      </c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</row>
    <row r="1108" spans="1:51">
      <c r="A1108" s="8">
        <v>46123</v>
      </c>
      <c r="B1108" s="9">
        <v>0</v>
      </c>
      <c r="C1108" s="9">
        <v>0</v>
      </c>
      <c r="D1108" s="9">
        <v>0</v>
      </c>
      <c r="E1108" s="9">
        <v>0</v>
      </c>
      <c r="F1108" s="9">
        <v>0</v>
      </c>
      <c r="G1108" s="9">
        <v>0</v>
      </c>
      <c r="H1108" s="9">
        <v>0</v>
      </c>
      <c r="I1108" s="9">
        <v>0</v>
      </c>
      <c r="J1108" s="9">
        <v>0</v>
      </c>
      <c r="K1108" s="9">
        <v>0</v>
      </c>
      <c r="L1108" s="9">
        <v>0</v>
      </c>
      <c r="M1108" s="9">
        <v>0</v>
      </c>
      <c r="N1108" s="9">
        <v>0</v>
      </c>
      <c r="O1108" s="9">
        <v>0</v>
      </c>
      <c r="P1108" s="9">
        <v>0</v>
      </c>
      <c r="Q1108" s="9">
        <f>MAX(-20,MIN(10,$A1108-VLOOKUP(YEAR($A1108),'Festive dates'!$A$2:$J$5,8,FALSE)))</f>
        <v>-20</v>
      </c>
      <c r="R1108" s="9">
        <f>IF(AND($A1108&gt;VLOOKUP(YEAR($A1108),'Festive dates'!$A$2:$J$5,2,FALSE),$A1108&lt;VLOOKUP(YEAR($A1108),'Festive dates'!$A$2:$J$5,3,FALSE)),1,0)</f>
        <v>0</v>
      </c>
      <c r="S1108" s="9">
        <f>IF($A1108=VLOOKUP(YEAR($A1108),'Festive dates'!$A$2:$J$5,2,FALSE),1,0)</f>
        <v>0</v>
      </c>
      <c r="T1108" s="9">
        <f>IF($A1108=VLOOKUP(YEAR($A1108),'Festive dates'!$A$2:$J$5,3,FALSE),1,0)</f>
        <v>0</v>
      </c>
      <c r="U1108" s="9">
        <f>IF($A1108=VLOOKUP(YEAR($A1108),'Festive dates'!$A$2:$J$5,4,FALSE),1,0)</f>
        <v>0</v>
      </c>
      <c r="V1108" s="9">
        <f>IF(AND($A1108&gt;=VLOOKUP(YEAR($A1108),'Festive dates'!$A$2:$J$5,9,FALSE),$A1108&lt;=VLOOKUP(YEAR($A1108),'Festive dates'!$A$2:$J$5,10,FALSE)),1,0)</f>
        <v>0</v>
      </c>
      <c r="W1108" s="9">
        <f>IF($A1108=VLOOKUP(YEAR($A1108),'Festive dates'!$A$2:$J$5,7,FALSE),1,0)</f>
        <v>0</v>
      </c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</row>
    <row r="1109" spans="1:51">
      <c r="A1109" s="8">
        <v>46124</v>
      </c>
      <c r="B1109" s="9">
        <v>0</v>
      </c>
      <c r="C1109" s="9">
        <v>0</v>
      </c>
      <c r="D1109" s="9">
        <v>0</v>
      </c>
      <c r="E1109" s="9">
        <v>0</v>
      </c>
      <c r="F1109" s="9">
        <v>0</v>
      </c>
      <c r="G1109" s="9">
        <v>0</v>
      </c>
      <c r="H1109" s="9">
        <v>0</v>
      </c>
      <c r="I1109" s="9">
        <v>0</v>
      </c>
      <c r="J1109" s="9">
        <v>0</v>
      </c>
      <c r="K1109" s="9">
        <v>0</v>
      </c>
      <c r="L1109" s="9">
        <v>0</v>
      </c>
      <c r="M1109" s="9">
        <v>0</v>
      </c>
      <c r="N1109" s="9">
        <v>0</v>
      </c>
      <c r="O1109" s="9">
        <v>0</v>
      </c>
      <c r="P1109" s="9">
        <v>0</v>
      </c>
      <c r="Q1109" s="9">
        <f>MAX(-20,MIN(10,$A1109-VLOOKUP(YEAR($A1109),'Festive dates'!$A$2:$J$5,8,FALSE)))</f>
        <v>-20</v>
      </c>
      <c r="R1109" s="9">
        <f>IF(AND($A1109&gt;VLOOKUP(YEAR($A1109),'Festive dates'!$A$2:$J$5,2,FALSE),$A1109&lt;VLOOKUP(YEAR($A1109),'Festive dates'!$A$2:$J$5,3,FALSE)),1,0)</f>
        <v>0</v>
      </c>
      <c r="S1109" s="9">
        <f>IF($A1109=VLOOKUP(YEAR($A1109),'Festive dates'!$A$2:$J$5,2,FALSE),1,0)</f>
        <v>0</v>
      </c>
      <c r="T1109" s="9">
        <f>IF($A1109=VLOOKUP(YEAR($A1109),'Festive dates'!$A$2:$J$5,3,FALSE),1,0)</f>
        <v>0</v>
      </c>
      <c r="U1109" s="9">
        <f>IF($A1109=VLOOKUP(YEAR($A1109),'Festive dates'!$A$2:$J$5,4,FALSE),1,0)</f>
        <v>0</v>
      </c>
      <c r="V1109" s="9">
        <f>IF(AND($A1109&gt;=VLOOKUP(YEAR($A1109),'Festive dates'!$A$2:$J$5,9,FALSE),$A1109&lt;=VLOOKUP(YEAR($A1109),'Festive dates'!$A$2:$J$5,10,FALSE)),1,0)</f>
        <v>0</v>
      </c>
      <c r="W1109" s="9">
        <f>IF($A1109=VLOOKUP(YEAR($A1109),'Festive dates'!$A$2:$J$5,7,FALSE),1,0)</f>
        <v>0</v>
      </c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</row>
    <row r="1110" spans="1:51">
      <c r="A1110" s="8">
        <v>46125</v>
      </c>
      <c r="B1110" s="9">
        <v>0</v>
      </c>
      <c r="C1110" s="9">
        <v>0</v>
      </c>
      <c r="D1110" s="9">
        <v>0</v>
      </c>
      <c r="E1110" s="9">
        <v>0</v>
      </c>
      <c r="F1110" s="9">
        <v>0</v>
      </c>
      <c r="G1110" s="9">
        <v>0</v>
      </c>
      <c r="H1110" s="9">
        <v>0</v>
      </c>
      <c r="I1110" s="9">
        <v>0</v>
      </c>
      <c r="J1110" s="9">
        <v>0</v>
      </c>
      <c r="K1110" s="9">
        <v>0</v>
      </c>
      <c r="L1110" s="9">
        <v>0</v>
      </c>
      <c r="M1110" s="9">
        <v>0</v>
      </c>
      <c r="N1110" s="9">
        <v>0</v>
      </c>
      <c r="O1110" s="9">
        <v>0</v>
      </c>
      <c r="P1110" s="9">
        <v>1</v>
      </c>
      <c r="Q1110" s="9">
        <f>MAX(-20,MIN(10,$A1110-VLOOKUP(YEAR($A1110),'Festive dates'!$A$2:$J$5,8,FALSE)))</f>
        <v>-20</v>
      </c>
      <c r="R1110" s="9">
        <f>IF(AND($A1110&gt;VLOOKUP(YEAR($A1110),'Festive dates'!$A$2:$J$5,2,FALSE),$A1110&lt;VLOOKUP(YEAR($A1110),'Festive dates'!$A$2:$J$5,3,FALSE)),1,0)</f>
        <v>0</v>
      </c>
      <c r="S1110" s="9">
        <f>IF($A1110=VLOOKUP(YEAR($A1110),'Festive dates'!$A$2:$J$5,2,FALSE),1,0)</f>
        <v>0</v>
      </c>
      <c r="T1110" s="9">
        <f>IF($A1110=VLOOKUP(YEAR($A1110),'Festive dates'!$A$2:$J$5,3,FALSE),1,0)</f>
        <v>0</v>
      </c>
      <c r="U1110" s="9">
        <f>IF($A1110=VLOOKUP(YEAR($A1110),'Festive dates'!$A$2:$J$5,4,FALSE),1,0)</f>
        <v>0</v>
      </c>
      <c r="V1110" s="9">
        <f>IF(AND($A1110&gt;=VLOOKUP(YEAR($A1110),'Festive dates'!$A$2:$J$5,9,FALSE),$A1110&lt;=VLOOKUP(YEAR($A1110),'Festive dates'!$A$2:$J$5,10,FALSE)),1,0)</f>
        <v>0</v>
      </c>
      <c r="W1110" s="9">
        <f>IF($A1110=VLOOKUP(YEAR($A1110),'Festive dates'!$A$2:$J$5,7,FALSE),1,0)</f>
        <v>0</v>
      </c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</row>
    <row r="1111" spans="1:51">
      <c r="A1111" s="8">
        <v>46126</v>
      </c>
      <c r="B1111" s="9">
        <v>0</v>
      </c>
      <c r="C1111" s="9">
        <v>0</v>
      </c>
      <c r="D1111" s="9">
        <v>0</v>
      </c>
      <c r="E1111" s="9">
        <v>0</v>
      </c>
      <c r="F1111" s="9">
        <v>0</v>
      </c>
      <c r="G1111" s="9">
        <v>0</v>
      </c>
      <c r="H1111" s="9">
        <v>0</v>
      </c>
      <c r="I1111" s="9">
        <v>0</v>
      </c>
      <c r="J1111" s="9">
        <v>0</v>
      </c>
      <c r="K1111" s="9">
        <v>0</v>
      </c>
      <c r="L1111" s="9">
        <v>0</v>
      </c>
      <c r="M1111" s="9">
        <v>0</v>
      </c>
      <c r="N1111" s="9">
        <v>0</v>
      </c>
      <c r="O1111" s="9">
        <v>0</v>
      </c>
      <c r="P1111" s="9">
        <v>1</v>
      </c>
      <c r="Q1111" s="9">
        <f>MAX(-20,MIN(10,$A1111-VLOOKUP(YEAR($A1111),'Festive dates'!$A$2:$J$5,8,FALSE)))</f>
        <v>-20</v>
      </c>
      <c r="R1111" s="9">
        <f>IF(AND($A1111&gt;VLOOKUP(YEAR($A1111),'Festive dates'!$A$2:$J$5,2,FALSE),$A1111&lt;VLOOKUP(YEAR($A1111),'Festive dates'!$A$2:$J$5,3,FALSE)),1,0)</f>
        <v>0</v>
      </c>
      <c r="S1111" s="9">
        <f>IF($A1111=VLOOKUP(YEAR($A1111),'Festive dates'!$A$2:$J$5,2,FALSE),1,0)</f>
        <v>0</v>
      </c>
      <c r="T1111" s="9">
        <f>IF($A1111=VLOOKUP(YEAR($A1111),'Festive dates'!$A$2:$J$5,3,FALSE),1,0)</f>
        <v>0</v>
      </c>
      <c r="U1111" s="9">
        <f>IF($A1111=VLOOKUP(YEAR($A1111),'Festive dates'!$A$2:$J$5,4,FALSE),1,0)</f>
        <v>0</v>
      </c>
      <c r="V1111" s="9">
        <f>IF(AND($A1111&gt;=VLOOKUP(YEAR($A1111),'Festive dates'!$A$2:$J$5,9,FALSE),$A1111&lt;=VLOOKUP(YEAR($A1111),'Festive dates'!$A$2:$J$5,10,FALSE)),1,0)</f>
        <v>0</v>
      </c>
      <c r="W1111" s="9">
        <f>IF($A1111=VLOOKUP(YEAR($A1111),'Festive dates'!$A$2:$J$5,7,FALSE),1,0)</f>
        <v>0</v>
      </c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</row>
    <row r="1112" spans="1:51">
      <c r="A1112" s="8">
        <v>46127</v>
      </c>
      <c r="B1112" s="9">
        <v>0</v>
      </c>
      <c r="C1112" s="9">
        <v>0</v>
      </c>
      <c r="D1112" s="9">
        <v>0</v>
      </c>
      <c r="E1112" s="9">
        <v>0</v>
      </c>
      <c r="F1112" s="9">
        <v>0</v>
      </c>
      <c r="G1112" s="9">
        <v>0</v>
      </c>
      <c r="H1112" s="9">
        <v>0</v>
      </c>
      <c r="I1112" s="9">
        <v>0</v>
      </c>
      <c r="J1112" s="9">
        <v>0</v>
      </c>
      <c r="K1112" s="9">
        <v>0</v>
      </c>
      <c r="L1112" s="9">
        <v>0</v>
      </c>
      <c r="M1112" s="9">
        <v>0</v>
      </c>
      <c r="N1112" s="9">
        <v>0</v>
      </c>
      <c r="O1112" s="9">
        <v>0</v>
      </c>
      <c r="P1112" s="9">
        <v>0</v>
      </c>
      <c r="Q1112" s="9">
        <f>MAX(-20,MIN(10,$A1112-VLOOKUP(YEAR($A1112),'Festive dates'!$A$2:$J$5,8,FALSE)))</f>
        <v>-20</v>
      </c>
      <c r="R1112" s="9">
        <f>IF(AND($A1112&gt;VLOOKUP(YEAR($A1112),'Festive dates'!$A$2:$J$5,2,FALSE),$A1112&lt;VLOOKUP(YEAR($A1112),'Festive dates'!$A$2:$J$5,3,FALSE)),1,0)</f>
        <v>0</v>
      </c>
      <c r="S1112" s="9">
        <f>IF($A1112=VLOOKUP(YEAR($A1112),'Festive dates'!$A$2:$J$5,2,FALSE),1,0)</f>
        <v>0</v>
      </c>
      <c r="T1112" s="9">
        <f>IF($A1112=VLOOKUP(YEAR($A1112),'Festive dates'!$A$2:$J$5,3,FALSE),1,0)</f>
        <v>0</v>
      </c>
      <c r="U1112" s="9">
        <f>IF($A1112=VLOOKUP(YEAR($A1112),'Festive dates'!$A$2:$J$5,4,FALSE),1,0)</f>
        <v>0</v>
      </c>
      <c r="V1112" s="9">
        <f>IF(AND($A1112&gt;=VLOOKUP(YEAR($A1112),'Festive dates'!$A$2:$J$5,9,FALSE),$A1112&lt;=VLOOKUP(YEAR($A1112),'Festive dates'!$A$2:$J$5,10,FALSE)),1,0)</f>
        <v>0</v>
      </c>
      <c r="W1112" s="9">
        <f>IF($A1112=VLOOKUP(YEAR($A1112),'Festive dates'!$A$2:$J$5,7,FALSE),1,0)</f>
        <v>0</v>
      </c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</row>
    <row r="1113" spans="1:51">
      <c r="A1113" s="8">
        <v>46128</v>
      </c>
      <c r="B1113" s="9">
        <v>0</v>
      </c>
      <c r="C1113" s="9">
        <v>0</v>
      </c>
      <c r="D1113" s="9">
        <v>0</v>
      </c>
      <c r="E1113" s="9">
        <v>0</v>
      </c>
      <c r="F1113" s="9">
        <v>0</v>
      </c>
      <c r="G1113" s="9">
        <v>0</v>
      </c>
      <c r="H1113" s="9">
        <v>0</v>
      </c>
      <c r="I1113" s="9">
        <v>0</v>
      </c>
      <c r="J1113" s="9">
        <v>0</v>
      </c>
      <c r="K1113" s="9">
        <v>0</v>
      </c>
      <c r="L1113" s="9">
        <v>0</v>
      </c>
      <c r="M1113" s="9">
        <v>0</v>
      </c>
      <c r="N1113" s="9">
        <v>0</v>
      </c>
      <c r="O1113" s="9">
        <v>0</v>
      </c>
      <c r="P1113" s="9">
        <v>0</v>
      </c>
      <c r="Q1113" s="9">
        <f>MAX(-20,MIN(10,$A1113-VLOOKUP(YEAR($A1113),'Festive dates'!$A$2:$J$5,8,FALSE)))</f>
        <v>-20</v>
      </c>
      <c r="R1113" s="9">
        <f>IF(AND($A1113&gt;VLOOKUP(YEAR($A1113),'Festive dates'!$A$2:$J$5,2,FALSE),$A1113&lt;VLOOKUP(YEAR($A1113),'Festive dates'!$A$2:$J$5,3,FALSE)),1,0)</f>
        <v>0</v>
      </c>
      <c r="S1113" s="9">
        <f>IF($A1113=VLOOKUP(YEAR($A1113),'Festive dates'!$A$2:$J$5,2,FALSE),1,0)</f>
        <v>0</v>
      </c>
      <c r="T1113" s="9">
        <f>IF($A1113=VLOOKUP(YEAR($A1113),'Festive dates'!$A$2:$J$5,3,FALSE),1,0)</f>
        <v>0</v>
      </c>
      <c r="U1113" s="9">
        <f>IF($A1113=VLOOKUP(YEAR($A1113),'Festive dates'!$A$2:$J$5,4,FALSE),1,0)</f>
        <v>0</v>
      </c>
      <c r="V1113" s="9">
        <f>IF(AND($A1113&gt;=VLOOKUP(YEAR($A1113),'Festive dates'!$A$2:$J$5,9,FALSE),$A1113&lt;=VLOOKUP(YEAR($A1113),'Festive dates'!$A$2:$J$5,10,FALSE)),1,0)</f>
        <v>0</v>
      </c>
      <c r="W1113" s="9">
        <f>IF($A1113=VLOOKUP(YEAR($A1113),'Festive dates'!$A$2:$J$5,7,FALSE),1,0)</f>
        <v>0</v>
      </c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</row>
    <row r="1114" spans="1:51">
      <c r="A1114" s="8">
        <v>46129</v>
      </c>
      <c r="B1114" s="9">
        <v>0</v>
      </c>
      <c r="C1114" s="9">
        <v>0</v>
      </c>
      <c r="D1114" s="9">
        <v>0</v>
      </c>
      <c r="E1114" s="9">
        <v>0</v>
      </c>
      <c r="F1114" s="9">
        <v>0</v>
      </c>
      <c r="G1114" s="9">
        <v>0</v>
      </c>
      <c r="H1114" s="9">
        <v>0</v>
      </c>
      <c r="I1114" s="9">
        <v>0</v>
      </c>
      <c r="J1114" s="9">
        <v>0</v>
      </c>
      <c r="K1114" s="9">
        <v>0</v>
      </c>
      <c r="L1114" s="9">
        <v>0</v>
      </c>
      <c r="M1114" s="9">
        <v>0</v>
      </c>
      <c r="N1114" s="9">
        <v>0</v>
      </c>
      <c r="O1114" s="9">
        <v>0</v>
      </c>
      <c r="P1114" s="9">
        <v>0</v>
      </c>
      <c r="Q1114" s="9">
        <f>MAX(-20,MIN(10,$A1114-VLOOKUP(YEAR($A1114),'Festive dates'!$A$2:$J$5,8,FALSE)))</f>
        <v>-20</v>
      </c>
      <c r="R1114" s="9">
        <f>IF(AND($A1114&gt;VLOOKUP(YEAR($A1114),'Festive dates'!$A$2:$J$5,2,FALSE),$A1114&lt;VLOOKUP(YEAR($A1114),'Festive dates'!$A$2:$J$5,3,FALSE)),1,0)</f>
        <v>0</v>
      </c>
      <c r="S1114" s="9">
        <f>IF($A1114=VLOOKUP(YEAR($A1114),'Festive dates'!$A$2:$J$5,2,FALSE),1,0)</f>
        <v>0</v>
      </c>
      <c r="T1114" s="9">
        <f>IF($A1114=VLOOKUP(YEAR($A1114),'Festive dates'!$A$2:$J$5,3,FALSE),1,0)</f>
        <v>0</v>
      </c>
      <c r="U1114" s="9">
        <f>IF($A1114=VLOOKUP(YEAR($A1114),'Festive dates'!$A$2:$J$5,4,FALSE),1,0)</f>
        <v>0</v>
      </c>
      <c r="V1114" s="9">
        <f>IF(AND($A1114&gt;=VLOOKUP(YEAR($A1114),'Festive dates'!$A$2:$J$5,9,FALSE),$A1114&lt;=VLOOKUP(YEAR($A1114),'Festive dates'!$A$2:$J$5,10,FALSE)),1,0)</f>
        <v>0</v>
      </c>
      <c r="W1114" s="9">
        <f>IF($A1114=VLOOKUP(YEAR($A1114),'Festive dates'!$A$2:$J$5,7,FALSE),1,0)</f>
        <v>0</v>
      </c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</row>
    <row r="1115" spans="1:51">
      <c r="A1115" s="8">
        <v>46130</v>
      </c>
      <c r="B1115" s="9">
        <v>0</v>
      </c>
      <c r="C1115" s="9">
        <v>0</v>
      </c>
      <c r="D1115" s="9">
        <v>0</v>
      </c>
      <c r="E1115" s="9">
        <v>0</v>
      </c>
      <c r="F1115" s="9">
        <v>0</v>
      </c>
      <c r="G1115" s="9">
        <v>0</v>
      </c>
      <c r="H1115" s="9">
        <v>0</v>
      </c>
      <c r="I1115" s="9">
        <v>0</v>
      </c>
      <c r="J1115" s="9">
        <v>0</v>
      </c>
      <c r="K1115" s="9">
        <v>0</v>
      </c>
      <c r="L1115" s="9">
        <v>0</v>
      </c>
      <c r="M1115" s="9">
        <v>0</v>
      </c>
      <c r="N1115" s="9">
        <v>0</v>
      </c>
      <c r="O1115" s="9">
        <v>0</v>
      </c>
      <c r="P1115" s="9">
        <v>1</v>
      </c>
      <c r="Q1115" s="9">
        <f>MAX(-20,MIN(10,$A1115-VLOOKUP(YEAR($A1115),'Festive dates'!$A$2:$J$5,8,FALSE)))</f>
        <v>-20</v>
      </c>
      <c r="R1115" s="9">
        <f>IF(AND($A1115&gt;VLOOKUP(YEAR($A1115),'Festive dates'!$A$2:$J$5,2,FALSE),$A1115&lt;VLOOKUP(YEAR($A1115),'Festive dates'!$A$2:$J$5,3,FALSE)),1,0)</f>
        <v>0</v>
      </c>
      <c r="S1115" s="9">
        <f>IF($A1115=VLOOKUP(YEAR($A1115),'Festive dates'!$A$2:$J$5,2,FALSE),1,0)</f>
        <v>0</v>
      </c>
      <c r="T1115" s="9">
        <f>IF($A1115=VLOOKUP(YEAR($A1115),'Festive dates'!$A$2:$J$5,3,FALSE),1,0)</f>
        <v>0</v>
      </c>
      <c r="U1115" s="9">
        <f>IF($A1115=VLOOKUP(YEAR($A1115),'Festive dates'!$A$2:$J$5,4,FALSE),1,0)</f>
        <v>0</v>
      </c>
      <c r="V1115" s="9">
        <f>IF(AND($A1115&gt;=VLOOKUP(YEAR($A1115),'Festive dates'!$A$2:$J$5,9,FALSE),$A1115&lt;=VLOOKUP(YEAR($A1115),'Festive dates'!$A$2:$J$5,10,FALSE)),1,0)</f>
        <v>0</v>
      </c>
      <c r="W1115" s="9">
        <f>IF($A1115=VLOOKUP(YEAR($A1115),'Festive dates'!$A$2:$J$5,7,FALSE),1,0)</f>
        <v>0</v>
      </c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</row>
    <row r="1116" spans="1:51">
      <c r="A1116" s="8">
        <v>46131</v>
      </c>
      <c r="B1116" s="9">
        <v>0</v>
      </c>
      <c r="C1116" s="9">
        <v>0</v>
      </c>
      <c r="D1116" s="9">
        <v>0</v>
      </c>
      <c r="E1116" s="9">
        <v>0</v>
      </c>
      <c r="F1116" s="9">
        <v>0</v>
      </c>
      <c r="G1116" s="9">
        <v>0</v>
      </c>
      <c r="H1116" s="9">
        <v>0</v>
      </c>
      <c r="I1116" s="9">
        <v>1</v>
      </c>
      <c r="J1116" s="9">
        <v>0</v>
      </c>
      <c r="K1116" s="9">
        <v>0</v>
      </c>
      <c r="L1116" s="9">
        <v>0</v>
      </c>
      <c r="M1116" s="9">
        <v>0</v>
      </c>
      <c r="N1116" s="9">
        <v>0</v>
      </c>
      <c r="O1116" s="9">
        <v>0</v>
      </c>
      <c r="P1116" s="9">
        <v>1</v>
      </c>
      <c r="Q1116" s="9">
        <f>MAX(-20,MIN(10,$A1116-VLOOKUP(YEAR($A1116),'Festive dates'!$A$2:$J$5,8,FALSE)))</f>
        <v>-20</v>
      </c>
      <c r="R1116" s="9">
        <f>IF(AND($A1116&gt;VLOOKUP(YEAR($A1116),'Festive dates'!$A$2:$J$5,2,FALSE),$A1116&lt;VLOOKUP(YEAR($A1116),'Festive dates'!$A$2:$J$5,3,FALSE)),1,0)</f>
        <v>0</v>
      </c>
      <c r="S1116" s="9">
        <f>IF($A1116=VLOOKUP(YEAR($A1116),'Festive dates'!$A$2:$J$5,2,FALSE),1,0)</f>
        <v>0</v>
      </c>
      <c r="T1116" s="9">
        <f>IF($A1116=VLOOKUP(YEAR($A1116),'Festive dates'!$A$2:$J$5,3,FALSE),1,0)</f>
        <v>0</v>
      </c>
      <c r="U1116" s="9">
        <f>IF($A1116=VLOOKUP(YEAR($A1116),'Festive dates'!$A$2:$J$5,4,FALSE),1,0)</f>
        <v>0</v>
      </c>
      <c r="V1116" s="9">
        <f>IF(AND($A1116&gt;=VLOOKUP(YEAR($A1116),'Festive dates'!$A$2:$J$5,9,FALSE),$A1116&lt;=VLOOKUP(YEAR($A1116),'Festive dates'!$A$2:$J$5,10,FALSE)),1,0)</f>
        <v>0</v>
      </c>
      <c r="W1116" s="9">
        <f>IF($A1116=VLOOKUP(YEAR($A1116),'Festive dates'!$A$2:$J$5,7,FALSE),1,0)</f>
        <v>0</v>
      </c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</row>
    <row r="1117" spans="1:51">
      <c r="A1117" s="8">
        <v>46132</v>
      </c>
      <c r="B1117" s="9">
        <v>0</v>
      </c>
      <c r="C1117" s="9">
        <v>0</v>
      </c>
      <c r="D1117" s="9">
        <v>0</v>
      </c>
      <c r="E1117" s="9">
        <v>0</v>
      </c>
      <c r="F1117" s="9">
        <v>0</v>
      </c>
      <c r="G1117" s="9">
        <v>0</v>
      </c>
      <c r="H1117" s="9">
        <v>0</v>
      </c>
      <c r="I1117" s="9">
        <v>0</v>
      </c>
      <c r="J1117" s="9">
        <v>0</v>
      </c>
      <c r="K1117" s="9">
        <v>0</v>
      </c>
      <c r="L1117" s="9">
        <v>0</v>
      </c>
      <c r="M1117" s="9">
        <v>0</v>
      </c>
      <c r="N1117" s="9">
        <v>0</v>
      </c>
      <c r="O1117" s="9">
        <v>0</v>
      </c>
      <c r="P1117" s="9">
        <v>1</v>
      </c>
      <c r="Q1117" s="9">
        <f>MAX(-20,MIN(10,$A1117-VLOOKUP(YEAR($A1117),'Festive dates'!$A$2:$J$5,8,FALSE)))</f>
        <v>-20</v>
      </c>
      <c r="R1117" s="9">
        <f>IF(AND($A1117&gt;VLOOKUP(YEAR($A1117),'Festive dates'!$A$2:$J$5,2,FALSE),$A1117&lt;VLOOKUP(YEAR($A1117),'Festive dates'!$A$2:$J$5,3,FALSE)),1,0)</f>
        <v>0</v>
      </c>
      <c r="S1117" s="9">
        <f>IF($A1117=VLOOKUP(YEAR($A1117),'Festive dates'!$A$2:$J$5,2,FALSE),1,0)</f>
        <v>0</v>
      </c>
      <c r="T1117" s="9">
        <f>IF($A1117=VLOOKUP(YEAR($A1117),'Festive dates'!$A$2:$J$5,3,FALSE),1,0)</f>
        <v>0</v>
      </c>
      <c r="U1117" s="9">
        <f>IF($A1117=VLOOKUP(YEAR($A1117),'Festive dates'!$A$2:$J$5,4,FALSE),1,0)</f>
        <v>0</v>
      </c>
      <c r="V1117" s="9">
        <f>IF(AND($A1117&gt;=VLOOKUP(YEAR($A1117),'Festive dates'!$A$2:$J$5,9,FALSE),$A1117&lt;=VLOOKUP(YEAR($A1117),'Festive dates'!$A$2:$J$5,10,FALSE)),1,0)</f>
        <v>0</v>
      </c>
      <c r="W1117" s="9">
        <f>IF($A1117=VLOOKUP(YEAR($A1117),'Festive dates'!$A$2:$J$5,7,FALSE),1,0)</f>
        <v>0</v>
      </c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</row>
    <row r="1118" spans="1:51">
      <c r="A1118" s="8">
        <v>46133</v>
      </c>
      <c r="B1118" s="9">
        <v>0</v>
      </c>
      <c r="C1118" s="9">
        <v>0</v>
      </c>
      <c r="D1118" s="9">
        <v>0</v>
      </c>
      <c r="E1118" s="9">
        <v>0</v>
      </c>
      <c r="F1118" s="9">
        <v>0</v>
      </c>
      <c r="G1118" s="9">
        <v>0</v>
      </c>
      <c r="H1118" s="9">
        <v>0</v>
      </c>
      <c r="I1118" s="9">
        <v>0</v>
      </c>
      <c r="J1118" s="9">
        <v>0</v>
      </c>
      <c r="K1118" s="9">
        <v>0</v>
      </c>
      <c r="L1118" s="9">
        <v>0</v>
      </c>
      <c r="M1118" s="9">
        <v>0</v>
      </c>
      <c r="N1118" s="9">
        <v>0</v>
      </c>
      <c r="O1118" s="9">
        <v>0</v>
      </c>
      <c r="P1118" s="9">
        <v>1</v>
      </c>
      <c r="Q1118" s="9">
        <f>MAX(-20,MIN(10,$A1118-VLOOKUP(YEAR($A1118),'Festive dates'!$A$2:$J$5,8,FALSE)))</f>
        <v>-20</v>
      </c>
      <c r="R1118" s="9">
        <f>IF(AND($A1118&gt;VLOOKUP(YEAR($A1118),'Festive dates'!$A$2:$J$5,2,FALSE),$A1118&lt;VLOOKUP(YEAR($A1118),'Festive dates'!$A$2:$J$5,3,FALSE)),1,0)</f>
        <v>0</v>
      </c>
      <c r="S1118" s="9">
        <f>IF($A1118=VLOOKUP(YEAR($A1118),'Festive dates'!$A$2:$J$5,2,FALSE),1,0)</f>
        <v>0</v>
      </c>
      <c r="T1118" s="9">
        <f>IF($A1118=VLOOKUP(YEAR($A1118),'Festive dates'!$A$2:$J$5,3,FALSE),1,0)</f>
        <v>0</v>
      </c>
      <c r="U1118" s="9">
        <f>IF($A1118=VLOOKUP(YEAR($A1118),'Festive dates'!$A$2:$J$5,4,FALSE),1,0)</f>
        <v>0</v>
      </c>
      <c r="V1118" s="9">
        <f>IF(AND($A1118&gt;=VLOOKUP(YEAR($A1118),'Festive dates'!$A$2:$J$5,9,FALSE),$A1118&lt;=VLOOKUP(YEAR($A1118),'Festive dates'!$A$2:$J$5,10,FALSE)),1,0)</f>
        <v>0</v>
      </c>
      <c r="W1118" s="9">
        <f>IF($A1118=VLOOKUP(YEAR($A1118),'Festive dates'!$A$2:$J$5,7,FALSE),1,0)</f>
        <v>0</v>
      </c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</row>
    <row r="1119" spans="1:51">
      <c r="A1119" s="8">
        <v>46134</v>
      </c>
      <c r="B1119" s="9">
        <v>0</v>
      </c>
      <c r="C1119" s="9">
        <v>0</v>
      </c>
      <c r="D1119" s="9">
        <v>0</v>
      </c>
      <c r="E1119" s="9">
        <v>0</v>
      </c>
      <c r="F1119" s="9">
        <v>0</v>
      </c>
      <c r="G1119" s="9">
        <v>0</v>
      </c>
      <c r="H1119" s="9">
        <v>0</v>
      </c>
      <c r="I1119" s="9">
        <v>0</v>
      </c>
      <c r="J1119" s="9">
        <v>0</v>
      </c>
      <c r="K1119" s="9">
        <v>0</v>
      </c>
      <c r="L1119" s="9">
        <v>0</v>
      </c>
      <c r="M1119" s="9">
        <v>0</v>
      </c>
      <c r="N1119" s="9">
        <v>0</v>
      </c>
      <c r="O1119" s="9">
        <v>0</v>
      </c>
      <c r="P1119" s="9">
        <v>1</v>
      </c>
      <c r="Q1119" s="9">
        <f>MAX(-20,MIN(10,$A1119-VLOOKUP(YEAR($A1119),'Festive dates'!$A$2:$J$5,8,FALSE)))</f>
        <v>-20</v>
      </c>
      <c r="R1119" s="9">
        <f>IF(AND($A1119&gt;VLOOKUP(YEAR($A1119),'Festive dates'!$A$2:$J$5,2,FALSE),$A1119&lt;VLOOKUP(YEAR($A1119),'Festive dates'!$A$2:$J$5,3,FALSE)),1,0)</f>
        <v>0</v>
      </c>
      <c r="S1119" s="9">
        <f>IF($A1119=VLOOKUP(YEAR($A1119),'Festive dates'!$A$2:$J$5,2,FALSE),1,0)</f>
        <v>0</v>
      </c>
      <c r="T1119" s="9">
        <f>IF($A1119=VLOOKUP(YEAR($A1119),'Festive dates'!$A$2:$J$5,3,FALSE),1,0)</f>
        <v>0</v>
      </c>
      <c r="U1119" s="9">
        <f>IF($A1119=VLOOKUP(YEAR($A1119),'Festive dates'!$A$2:$J$5,4,FALSE),1,0)</f>
        <v>0</v>
      </c>
      <c r="V1119" s="9">
        <f>IF(AND($A1119&gt;=VLOOKUP(YEAR($A1119),'Festive dates'!$A$2:$J$5,9,FALSE),$A1119&lt;=VLOOKUP(YEAR($A1119),'Festive dates'!$A$2:$J$5,10,FALSE)),1,0)</f>
        <v>0</v>
      </c>
      <c r="W1119" s="9">
        <f>IF($A1119=VLOOKUP(YEAR($A1119),'Festive dates'!$A$2:$J$5,7,FALSE),1,0)</f>
        <v>0</v>
      </c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</row>
    <row r="1120" spans="1:51">
      <c r="A1120" s="8">
        <v>46135</v>
      </c>
      <c r="B1120" s="9">
        <v>0</v>
      </c>
      <c r="C1120" s="9">
        <v>0</v>
      </c>
      <c r="D1120" s="9">
        <v>0</v>
      </c>
      <c r="E1120" s="9">
        <v>0</v>
      </c>
      <c r="F1120" s="9">
        <v>0</v>
      </c>
      <c r="G1120" s="9">
        <v>0</v>
      </c>
      <c r="H1120" s="9">
        <v>0</v>
      </c>
      <c r="I1120" s="9">
        <v>0</v>
      </c>
      <c r="J1120" s="9">
        <v>0</v>
      </c>
      <c r="K1120" s="9">
        <v>0</v>
      </c>
      <c r="L1120" s="9">
        <v>0</v>
      </c>
      <c r="M1120" s="9">
        <v>0</v>
      </c>
      <c r="N1120" s="9">
        <v>0</v>
      </c>
      <c r="O1120" s="9">
        <v>0</v>
      </c>
      <c r="P1120" s="9">
        <v>0</v>
      </c>
      <c r="Q1120" s="9">
        <f>MAX(-20,MIN(10,$A1120-VLOOKUP(YEAR($A1120),'Festive dates'!$A$2:$J$5,8,FALSE)))</f>
        <v>-20</v>
      </c>
      <c r="R1120" s="9">
        <f>IF(AND($A1120&gt;VLOOKUP(YEAR($A1120),'Festive dates'!$A$2:$J$5,2,FALSE),$A1120&lt;VLOOKUP(YEAR($A1120),'Festive dates'!$A$2:$J$5,3,FALSE)),1,0)</f>
        <v>0</v>
      </c>
      <c r="S1120" s="9">
        <f>IF($A1120=VLOOKUP(YEAR($A1120),'Festive dates'!$A$2:$J$5,2,FALSE),1,0)</f>
        <v>0</v>
      </c>
      <c r="T1120" s="9">
        <f>IF($A1120=VLOOKUP(YEAR($A1120),'Festive dates'!$A$2:$J$5,3,FALSE),1,0)</f>
        <v>0</v>
      </c>
      <c r="U1120" s="9">
        <f>IF($A1120=VLOOKUP(YEAR($A1120),'Festive dates'!$A$2:$J$5,4,FALSE),1,0)</f>
        <v>0</v>
      </c>
      <c r="V1120" s="9">
        <f>IF(AND($A1120&gt;=VLOOKUP(YEAR($A1120),'Festive dates'!$A$2:$J$5,9,FALSE),$A1120&lt;=VLOOKUP(YEAR($A1120),'Festive dates'!$A$2:$J$5,10,FALSE)),1,0)</f>
        <v>0</v>
      </c>
      <c r="W1120" s="9">
        <f>IF($A1120=VLOOKUP(YEAR($A1120),'Festive dates'!$A$2:$J$5,7,FALSE),1,0)</f>
        <v>0</v>
      </c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</row>
    <row r="1121" spans="1:51">
      <c r="A1121" s="8">
        <v>46136</v>
      </c>
      <c r="B1121" s="9">
        <v>0</v>
      </c>
      <c r="C1121" s="9">
        <v>0</v>
      </c>
      <c r="D1121" s="9">
        <v>0</v>
      </c>
      <c r="E1121" s="9">
        <v>0</v>
      </c>
      <c r="F1121" s="9">
        <v>0</v>
      </c>
      <c r="G1121" s="9">
        <v>0</v>
      </c>
      <c r="H1121" s="9">
        <v>0</v>
      </c>
      <c r="I1121" s="9">
        <v>0</v>
      </c>
      <c r="J1121" s="9">
        <v>0</v>
      </c>
      <c r="K1121" s="9">
        <v>0</v>
      </c>
      <c r="L1121" s="9">
        <v>0</v>
      </c>
      <c r="M1121" s="9">
        <v>0</v>
      </c>
      <c r="N1121" s="9">
        <v>0</v>
      </c>
      <c r="O1121" s="9">
        <v>0</v>
      </c>
      <c r="P1121" s="9">
        <v>1</v>
      </c>
      <c r="Q1121" s="9">
        <f>MAX(-20,MIN(10,$A1121-VLOOKUP(YEAR($A1121),'Festive dates'!$A$2:$J$5,8,FALSE)))</f>
        <v>-20</v>
      </c>
      <c r="R1121" s="9">
        <f>IF(AND($A1121&gt;VLOOKUP(YEAR($A1121),'Festive dates'!$A$2:$J$5,2,FALSE),$A1121&lt;VLOOKUP(YEAR($A1121),'Festive dates'!$A$2:$J$5,3,FALSE)),1,0)</f>
        <v>0</v>
      </c>
      <c r="S1121" s="9">
        <f>IF($A1121=VLOOKUP(YEAR($A1121),'Festive dates'!$A$2:$J$5,2,FALSE),1,0)</f>
        <v>0</v>
      </c>
      <c r="T1121" s="9">
        <f>IF($A1121=VLOOKUP(YEAR($A1121),'Festive dates'!$A$2:$J$5,3,FALSE),1,0)</f>
        <v>0</v>
      </c>
      <c r="U1121" s="9">
        <f>IF($A1121=VLOOKUP(YEAR($A1121),'Festive dates'!$A$2:$J$5,4,FALSE),1,0)</f>
        <v>0</v>
      </c>
      <c r="V1121" s="9">
        <f>IF(AND($A1121&gt;=VLOOKUP(YEAR($A1121),'Festive dates'!$A$2:$J$5,9,FALSE),$A1121&lt;=VLOOKUP(YEAR($A1121),'Festive dates'!$A$2:$J$5,10,FALSE)),1,0)</f>
        <v>0</v>
      </c>
      <c r="W1121" s="9">
        <f>IF($A1121=VLOOKUP(YEAR($A1121),'Festive dates'!$A$2:$J$5,7,FALSE),1,0)</f>
        <v>0</v>
      </c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</row>
    <row r="1122" spans="1:51">
      <c r="A1122" s="8">
        <v>46137</v>
      </c>
      <c r="B1122" s="9">
        <v>0</v>
      </c>
      <c r="C1122" s="9">
        <v>0</v>
      </c>
      <c r="D1122" s="9">
        <v>0</v>
      </c>
      <c r="E1122" s="9">
        <v>0</v>
      </c>
      <c r="F1122" s="9">
        <v>0</v>
      </c>
      <c r="G1122" s="9">
        <v>0</v>
      </c>
      <c r="H1122" s="9">
        <v>0</v>
      </c>
      <c r="I1122" s="9">
        <v>0</v>
      </c>
      <c r="J1122" s="9">
        <v>0</v>
      </c>
      <c r="K1122" s="9">
        <v>0</v>
      </c>
      <c r="L1122" s="9">
        <v>0</v>
      </c>
      <c r="M1122" s="9">
        <v>0</v>
      </c>
      <c r="N1122" s="9">
        <v>0</v>
      </c>
      <c r="O1122" s="9">
        <v>0</v>
      </c>
      <c r="P1122" s="9">
        <v>0</v>
      </c>
      <c r="Q1122" s="9">
        <f>MAX(-20,MIN(10,$A1122-VLOOKUP(YEAR($A1122),'Festive dates'!$A$2:$J$5,8,FALSE)))</f>
        <v>-20</v>
      </c>
      <c r="R1122" s="9">
        <f>IF(AND($A1122&gt;VLOOKUP(YEAR($A1122),'Festive dates'!$A$2:$J$5,2,FALSE),$A1122&lt;VLOOKUP(YEAR($A1122),'Festive dates'!$A$2:$J$5,3,FALSE)),1,0)</f>
        <v>0</v>
      </c>
      <c r="S1122" s="9">
        <f>IF($A1122=VLOOKUP(YEAR($A1122),'Festive dates'!$A$2:$J$5,2,FALSE),1,0)</f>
        <v>0</v>
      </c>
      <c r="T1122" s="9">
        <f>IF($A1122=VLOOKUP(YEAR($A1122),'Festive dates'!$A$2:$J$5,3,FALSE),1,0)</f>
        <v>0</v>
      </c>
      <c r="U1122" s="9">
        <f>IF($A1122=VLOOKUP(YEAR($A1122),'Festive dates'!$A$2:$J$5,4,FALSE),1,0)</f>
        <v>0</v>
      </c>
      <c r="V1122" s="9">
        <f>IF(AND($A1122&gt;=VLOOKUP(YEAR($A1122),'Festive dates'!$A$2:$J$5,9,FALSE),$A1122&lt;=VLOOKUP(YEAR($A1122),'Festive dates'!$A$2:$J$5,10,FALSE)),1,0)</f>
        <v>0</v>
      </c>
      <c r="W1122" s="9">
        <f>IF($A1122=VLOOKUP(YEAR($A1122),'Festive dates'!$A$2:$J$5,7,FALSE),1,0)</f>
        <v>0</v>
      </c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</row>
    <row r="1123" spans="1:51">
      <c r="A1123" s="8">
        <v>46138</v>
      </c>
      <c r="B1123" s="9">
        <v>0</v>
      </c>
      <c r="C1123" s="9">
        <v>0</v>
      </c>
      <c r="D1123" s="9">
        <v>0</v>
      </c>
      <c r="E1123" s="9">
        <v>0</v>
      </c>
      <c r="F1123" s="9">
        <v>0</v>
      </c>
      <c r="G1123" s="9">
        <v>0</v>
      </c>
      <c r="H1123" s="9">
        <v>0</v>
      </c>
      <c r="I1123" s="9">
        <v>0</v>
      </c>
      <c r="J1123" s="9">
        <v>0</v>
      </c>
      <c r="K1123" s="9">
        <v>0</v>
      </c>
      <c r="L1123" s="9">
        <v>0</v>
      </c>
      <c r="M1123" s="9">
        <v>0</v>
      </c>
      <c r="N1123" s="9">
        <v>0</v>
      </c>
      <c r="O1123" s="9">
        <v>0</v>
      </c>
      <c r="P1123" s="9">
        <v>1</v>
      </c>
      <c r="Q1123" s="9">
        <f>MAX(-20,MIN(10,$A1123-VLOOKUP(YEAR($A1123),'Festive dates'!$A$2:$J$5,8,FALSE)))</f>
        <v>-20</v>
      </c>
      <c r="R1123" s="9">
        <f>IF(AND($A1123&gt;VLOOKUP(YEAR($A1123),'Festive dates'!$A$2:$J$5,2,FALSE),$A1123&lt;VLOOKUP(YEAR($A1123),'Festive dates'!$A$2:$J$5,3,FALSE)),1,0)</f>
        <v>0</v>
      </c>
      <c r="S1123" s="9">
        <f>IF($A1123=VLOOKUP(YEAR($A1123),'Festive dates'!$A$2:$J$5,2,FALSE),1,0)</f>
        <v>0</v>
      </c>
      <c r="T1123" s="9">
        <f>IF($A1123=VLOOKUP(YEAR($A1123),'Festive dates'!$A$2:$J$5,3,FALSE),1,0)</f>
        <v>0</v>
      </c>
      <c r="U1123" s="9">
        <f>IF($A1123=VLOOKUP(YEAR($A1123),'Festive dates'!$A$2:$J$5,4,FALSE),1,0)</f>
        <v>0</v>
      </c>
      <c r="V1123" s="9">
        <f>IF(AND($A1123&gt;=VLOOKUP(YEAR($A1123),'Festive dates'!$A$2:$J$5,9,FALSE),$A1123&lt;=VLOOKUP(YEAR($A1123),'Festive dates'!$A$2:$J$5,10,FALSE)),1,0)</f>
        <v>0</v>
      </c>
      <c r="W1123" s="9">
        <f>IF($A1123=VLOOKUP(YEAR($A1123),'Festive dates'!$A$2:$J$5,7,FALSE),1,0)</f>
        <v>0</v>
      </c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</row>
    <row r="1124" spans="1:51">
      <c r="A1124" s="8">
        <v>46139</v>
      </c>
      <c r="B1124" s="9">
        <v>0</v>
      </c>
      <c r="C1124" s="9">
        <v>0</v>
      </c>
      <c r="D1124" s="9">
        <v>0</v>
      </c>
      <c r="E1124" s="9">
        <v>0</v>
      </c>
      <c r="F1124" s="9">
        <v>0</v>
      </c>
      <c r="G1124" s="9">
        <v>0</v>
      </c>
      <c r="H1124" s="9">
        <v>0</v>
      </c>
      <c r="I1124" s="9">
        <v>0</v>
      </c>
      <c r="J1124" s="9">
        <v>0</v>
      </c>
      <c r="K1124" s="9">
        <v>0</v>
      </c>
      <c r="L1124" s="9">
        <v>0</v>
      </c>
      <c r="M1124" s="9">
        <v>0</v>
      </c>
      <c r="N1124" s="9">
        <v>0</v>
      </c>
      <c r="O1124" s="9">
        <v>0</v>
      </c>
      <c r="P1124" s="9">
        <v>0</v>
      </c>
      <c r="Q1124" s="9">
        <f>MAX(-20,MIN(10,$A1124-VLOOKUP(YEAR($A1124),'Festive dates'!$A$2:$J$5,8,FALSE)))</f>
        <v>-20</v>
      </c>
      <c r="R1124" s="9">
        <f>IF(AND($A1124&gt;VLOOKUP(YEAR($A1124),'Festive dates'!$A$2:$J$5,2,FALSE),$A1124&lt;VLOOKUP(YEAR($A1124),'Festive dates'!$A$2:$J$5,3,FALSE)),1,0)</f>
        <v>0</v>
      </c>
      <c r="S1124" s="9">
        <f>IF($A1124=VLOOKUP(YEAR($A1124),'Festive dates'!$A$2:$J$5,2,FALSE),1,0)</f>
        <v>0</v>
      </c>
      <c r="T1124" s="9">
        <f>IF($A1124=VLOOKUP(YEAR($A1124),'Festive dates'!$A$2:$J$5,3,FALSE),1,0)</f>
        <v>0</v>
      </c>
      <c r="U1124" s="9">
        <f>IF($A1124=VLOOKUP(YEAR($A1124),'Festive dates'!$A$2:$J$5,4,FALSE),1,0)</f>
        <v>0</v>
      </c>
      <c r="V1124" s="9">
        <f>IF(AND($A1124&gt;=VLOOKUP(YEAR($A1124),'Festive dates'!$A$2:$J$5,9,FALSE),$A1124&lt;=VLOOKUP(YEAR($A1124),'Festive dates'!$A$2:$J$5,10,FALSE)),1,0)</f>
        <v>0</v>
      </c>
      <c r="W1124" s="9">
        <f>IF($A1124=VLOOKUP(YEAR($A1124),'Festive dates'!$A$2:$J$5,7,FALSE),1,0)</f>
        <v>0</v>
      </c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</row>
    <row r="1125" spans="1:51">
      <c r="A1125" s="8">
        <v>46140</v>
      </c>
      <c r="B1125" s="9">
        <v>0</v>
      </c>
      <c r="C1125" s="9">
        <v>0</v>
      </c>
      <c r="D1125" s="9">
        <v>0</v>
      </c>
      <c r="E1125" s="9">
        <v>0</v>
      </c>
      <c r="F1125" s="9">
        <v>0</v>
      </c>
      <c r="G1125" s="9">
        <v>0</v>
      </c>
      <c r="H1125" s="9">
        <v>0</v>
      </c>
      <c r="I1125" s="9">
        <v>0</v>
      </c>
      <c r="J1125" s="9">
        <v>0</v>
      </c>
      <c r="K1125" s="9">
        <v>0</v>
      </c>
      <c r="L1125" s="9">
        <v>0</v>
      </c>
      <c r="M1125" s="9">
        <v>0</v>
      </c>
      <c r="N1125" s="9">
        <v>0</v>
      </c>
      <c r="O1125" s="9">
        <v>0</v>
      </c>
      <c r="P1125" s="9">
        <v>1</v>
      </c>
      <c r="Q1125" s="9">
        <f>MAX(-20,MIN(10,$A1125-VLOOKUP(YEAR($A1125),'Festive dates'!$A$2:$J$5,8,FALSE)))</f>
        <v>-20</v>
      </c>
      <c r="R1125" s="9">
        <f>IF(AND($A1125&gt;VLOOKUP(YEAR($A1125),'Festive dates'!$A$2:$J$5,2,FALSE),$A1125&lt;VLOOKUP(YEAR($A1125),'Festive dates'!$A$2:$J$5,3,FALSE)),1,0)</f>
        <v>0</v>
      </c>
      <c r="S1125" s="9">
        <f>IF($A1125=VLOOKUP(YEAR($A1125),'Festive dates'!$A$2:$J$5,2,FALSE),1,0)</f>
        <v>0</v>
      </c>
      <c r="T1125" s="9">
        <f>IF($A1125=VLOOKUP(YEAR($A1125),'Festive dates'!$A$2:$J$5,3,FALSE),1,0)</f>
        <v>0</v>
      </c>
      <c r="U1125" s="9">
        <f>IF($A1125=VLOOKUP(YEAR($A1125),'Festive dates'!$A$2:$J$5,4,FALSE),1,0)</f>
        <v>0</v>
      </c>
      <c r="V1125" s="9">
        <f>IF(AND($A1125&gt;=VLOOKUP(YEAR($A1125),'Festive dates'!$A$2:$J$5,9,FALSE),$A1125&lt;=VLOOKUP(YEAR($A1125),'Festive dates'!$A$2:$J$5,10,FALSE)),1,0)</f>
        <v>0</v>
      </c>
      <c r="W1125" s="9">
        <f>IF($A1125=VLOOKUP(YEAR($A1125),'Festive dates'!$A$2:$J$5,7,FALSE),1,0)</f>
        <v>0</v>
      </c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</row>
    <row r="1126" spans="1:51">
      <c r="A1126" s="8">
        <v>46141</v>
      </c>
      <c r="B1126" s="9">
        <v>0</v>
      </c>
      <c r="C1126" s="9">
        <v>0</v>
      </c>
      <c r="D1126" s="9">
        <v>0</v>
      </c>
      <c r="E1126" s="9">
        <v>0</v>
      </c>
      <c r="F1126" s="9">
        <v>0</v>
      </c>
      <c r="G1126" s="9">
        <v>0</v>
      </c>
      <c r="H1126" s="9">
        <v>0</v>
      </c>
      <c r="I1126" s="9">
        <v>0</v>
      </c>
      <c r="J1126" s="9">
        <v>0</v>
      </c>
      <c r="K1126" s="9">
        <v>0</v>
      </c>
      <c r="L1126" s="9">
        <v>0</v>
      </c>
      <c r="M1126" s="9">
        <v>0</v>
      </c>
      <c r="N1126" s="9">
        <v>0</v>
      </c>
      <c r="O1126" s="9">
        <v>0</v>
      </c>
      <c r="P1126" s="9">
        <v>1</v>
      </c>
      <c r="Q1126" s="9">
        <f>MAX(-20,MIN(10,$A1126-VLOOKUP(YEAR($A1126),'Festive dates'!$A$2:$J$5,8,FALSE)))</f>
        <v>-20</v>
      </c>
      <c r="R1126" s="9">
        <f>IF(AND($A1126&gt;VLOOKUP(YEAR($A1126),'Festive dates'!$A$2:$J$5,2,FALSE),$A1126&lt;VLOOKUP(YEAR($A1126),'Festive dates'!$A$2:$J$5,3,FALSE)),1,0)</f>
        <v>0</v>
      </c>
      <c r="S1126" s="9">
        <f>IF($A1126=VLOOKUP(YEAR($A1126),'Festive dates'!$A$2:$J$5,2,FALSE),1,0)</f>
        <v>0</v>
      </c>
      <c r="T1126" s="9">
        <f>IF($A1126=VLOOKUP(YEAR($A1126),'Festive dates'!$A$2:$J$5,3,FALSE),1,0)</f>
        <v>0</v>
      </c>
      <c r="U1126" s="9">
        <f>IF($A1126=VLOOKUP(YEAR($A1126),'Festive dates'!$A$2:$J$5,4,FALSE),1,0)</f>
        <v>0</v>
      </c>
      <c r="V1126" s="9">
        <f>IF(AND($A1126&gt;=VLOOKUP(YEAR($A1126),'Festive dates'!$A$2:$J$5,9,FALSE),$A1126&lt;=VLOOKUP(YEAR($A1126),'Festive dates'!$A$2:$J$5,10,FALSE)),1,0)</f>
        <v>0</v>
      </c>
      <c r="W1126" s="9">
        <f>IF($A1126=VLOOKUP(YEAR($A1126),'Festive dates'!$A$2:$J$5,7,FALSE),1,0)</f>
        <v>0</v>
      </c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</row>
    <row r="1127" spans="1:51">
      <c r="A1127" s="8">
        <v>46142</v>
      </c>
      <c r="B1127" s="9">
        <v>0</v>
      </c>
      <c r="C1127" s="9">
        <v>0</v>
      </c>
      <c r="D1127" s="9">
        <v>0</v>
      </c>
      <c r="E1127" s="9">
        <v>0</v>
      </c>
      <c r="F1127" s="9">
        <v>0</v>
      </c>
      <c r="G1127" s="9">
        <v>0</v>
      </c>
      <c r="H1127" s="9">
        <v>0</v>
      </c>
      <c r="I1127" s="9">
        <v>0</v>
      </c>
      <c r="J1127" s="9">
        <v>0</v>
      </c>
      <c r="K1127" s="9">
        <v>0</v>
      </c>
      <c r="L1127" s="9">
        <v>0</v>
      </c>
      <c r="M1127" s="9">
        <v>0</v>
      </c>
      <c r="N1127" s="9">
        <v>0</v>
      </c>
      <c r="O1127" s="9">
        <v>0</v>
      </c>
      <c r="P1127" s="9">
        <v>1</v>
      </c>
      <c r="Q1127" s="9">
        <f>MAX(-20,MIN(10,$A1127-VLOOKUP(YEAR($A1127),'Festive dates'!$A$2:$J$5,8,FALSE)))</f>
        <v>-20</v>
      </c>
      <c r="R1127" s="9">
        <f>IF(AND($A1127&gt;VLOOKUP(YEAR($A1127),'Festive dates'!$A$2:$J$5,2,FALSE),$A1127&lt;VLOOKUP(YEAR($A1127),'Festive dates'!$A$2:$J$5,3,FALSE)),1,0)</f>
        <v>0</v>
      </c>
      <c r="S1127" s="9">
        <f>IF($A1127=VLOOKUP(YEAR($A1127),'Festive dates'!$A$2:$J$5,2,FALSE),1,0)</f>
        <v>0</v>
      </c>
      <c r="T1127" s="9">
        <f>IF($A1127=VLOOKUP(YEAR($A1127),'Festive dates'!$A$2:$J$5,3,FALSE),1,0)</f>
        <v>0</v>
      </c>
      <c r="U1127" s="9">
        <f>IF($A1127=VLOOKUP(YEAR($A1127),'Festive dates'!$A$2:$J$5,4,FALSE),1,0)</f>
        <v>0</v>
      </c>
      <c r="V1127" s="9">
        <f>IF(AND($A1127&gt;=VLOOKUP(YEAR($A1127),'Festive dates'!$A$2:$J$5,9,FALSE),$A1127&lt;=VLOOKUP(YEAR($A1127),'Festive dates'!$A$2:$J$5,10,FALSE)),1,0)</f>
        <v>0</v>
      </c>
      <c r="W1127" s="9">
        <f>IF($A1127=VLOOKUP(YEAR($A1127),'Festive dates'!$A$2:$J$5,7,FALSE),1,0)</f>
        <v>0</v>
      </c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</row>
    <row r="1128" spans="1:51">
      <c r="A1128" s="8">
        <v>46143</v>
      </c>
      <c r="B1128" s="9">
        <v>0</v>
      </c>
      <c r="C1128" s="9">
        <v>0</v>
      </c>
      <c r="D1128" s="9">
        <v>0</v>
      </c>
      <c r="E1128" s="9">
        <v>0</v>
      </c>
      <c r="F1128" s="9">
        <v>0</v>
      </c>
      <c r="G1128" s="9">
        <v>0</v>
      </c>
      <c r="H1128" s="9">
        <v>0</v>
      </c>
      <c r="I1128" s="9">
        <v>0</v>
      </c>
      <c r="J1128" s="9">
        <v>1</v>
      </c>
      <c r="K1128" s="9">
        <v>0</v>
      </c>
      <c r="L1128" s="9">
        <v>0</v>
      </c>
      <c r="M1128" s="9">
        <v>0</v>
      </c>
      <c r="N1128" s="9">
        <v>0</v>
      </c>
      <c r="O1128" s="9">
        <v>0</v>
      </c>
      <c r="P1128" s="9">
        <v>1</v>
      </c>
      <c r="Q1128" s="9">
        <f>MAX(-20,MIN(10,$A1128-VLOOKUP(YEAR($A1128),'Festive dates'!$A$2:$J$5,8,FALSE)))</f>
        <v>-20</v>
      </c>
      <c r="R1128" s="9">
        <f>IF(AND($A1128&gt;VLOOKUP(YEAR($A1128),'Festive dates'!$A$2:$J$5,2,FALSE),$A1128&lt;VLOOKUP(YEAR($A1128),'Festive dates'!$A$2:$J$5,3,FALSE)),1,0)</f>
        <v>0</v>
      </c>
      <c r="S1128" s="9">
        <f>IF($A1128=VLOOKUP(YEAR($A1128),'Festive dates'!$A$2:$J$5,2,FALSE),1,0)</f>
        <v>0</v>
      </c>
      <c r="T1128" s="9">
        <f>IF($A1128=VLOOKUP(YEAR($A1128),'Festive dates'!$A$2:$J$5,3,FALSE),1,0)</f>
        <v>0</v>
      </c>
      <c r="U1128" s="9">
        <f>IF($A1128=VLOOKUP(YEAR($A1128),'Festive dates'!$A$2:$J$5,4,FALSE),1,0)</f>
        <v>0</v>
      </c>
      <c r="V1128" s="9">
        <f>IF(AND($A1128&gt;=VLOOKUP(YEAR($A1128),'Festive dates'!$A$2:$J$5,9,FALSE),$A1128&lt;=VLOOKUP(YEAR($A1128),'Festive dates'!$A$2:$J$5,10,FALSE)),1,0)</f>
        <v>0</v>
      </c>
      <c r="W1128" s="9">
        <f>IF($A1128=VLOOKUP(YEAR($A1128),'Festive dates'!$A$2:$J$5,7,FALSE),1,0)</f>
        <v>0</v>
      </c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</row>
    <row r="1129" spans="1:51">
      <c r="A1129" s="8">
        <v>46144</v>
      </c>
      <c r="B1129" s="9">
        <v>0</v>
      </c>
      <c r="C1129" s="9">
        <v>0</v>
      </c>
      <c r="D1129" s="9">
        <v>0</v>
      </c>
      <c r="E1129" s="9">
        <v>0</v>
      </c>
      <c r="F1129" s="9">
        <v>0</v>
      </c>
      <c r="G1129" s="9">
        <v>0</v>
      </c>
      <c r="H1129" s="9">
        <v>0</v>
      </c>
      <c r="I1129" s="9">
        <v>0</v>
      </c>
      <c r="J1129" s="9">
        <v>0</v>
      </c>
      <c r="K1129" s="9">
        <v>0</v>
      </c>
      <c r="L1129" s="9">
        <v>0</v>
      </c>
      <c r="M1129" s="9">
        <v>0</v>
      </c>
      <c r="N1129" s="9">
        <v>0</v>
      </c>
      <c r="O1129" s="9">
        <v>0</v>
      </c>
      <c r="P1129" s="9">
        <v>0</v>
      </c>
      <c r="Q1129" s="9">
        <f>MAX(-20,MIN(10,$A1129-VLOOKUP(YEAR($A1129),'Festive dates'!$A$2:$J$5,8,FALSE)))</f>
        <v>-20</v>
      </c>
      <c r="R1129" s="9">
        <f>IF(AND($A1129&gt;VLOOKUP(YEAR($A1129),'Festive dates'!$A$2:$J$5,2,FALSE),$A1129&lt;VLOOKUP(YEAR($A1129),'Festive dates'!$A$2:$J$5,3,FALSE)),1,0)</f>
        <v>0</v>
      </c>
      <c r="S1129" s="9">
        <f>IF($A1129=VLOOKUP(YEAR($A1129),'Festive dates'!$A$2:$J$5,2,FALSE),1,0)</f>
        <v>0</v>
      </c>
      <c r="T1129" s="9">
        <f>IF($A1129=VLOOKUP(YEAR($A1129),'Festive dates'!$A$2:$J$5,3,FALSE),1,0)</f>
        <v>0</v>
      </c>
      <c r="U1129" s="9">
        <f>IF($A1129=VLOOKUP(YEAR($A1129),'Festive dates'!$A$2:$J$5,4,FALSE),1,0)</f>
        <v>0</v>
      </c>
      <c r="V1129" s="9">
        <f>IF(AND($A1129&gt;=VLOOKUP(YEAR($A1129),'Festive dates'!$A$2:$J$5,9,FALSE),$A1129&lt;=VLOOKUP(YEAR($A1129),'Festive dates'!$A$2:$J$5,10,FALSE)),1,0)</f>
        <v>0</v>
      </c>
      <c r="W1129" s="9">
        <f>IF($A1129=VLOOKUP(YEAR($A1129),'Festive dates'!$A$2:$J$5,7,FALSE),1,0)</f>
        <v>0</v>
      </c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</row>
    <row r="1130" spans="1:51">
      <c r="A1130" s="8">
        <v>46145</v>
      </c>
      <c r="B1130" s="9">
        <v>0</v>
      </c>
      <c r="C1130" s="9">
        <v>0</v>
      </c>
      <c r="D1130" s="9">
        <v>0</v>
      </c>
      <c r="E1130" s="9">
        <v>0</v>
      </c>
      <c r="F1130" s="9">
        <v>0</v>
      </c>
      <c r="G1130" s="9">
        <v>0</v>
      </c>
      <c r="H1130" s="9">
        <v>0</v>
      </c>
      <c r="I1130" s="9">
        <v>0</v>
      </c>
      <c r="J1130" s="9">
        <v>0</v>
      </c>
      <c r="K1130" s="9">
        <v>0</v>
      </c>
      <c r="L1130" s="9">
        <v>0</v>
      </c>
      <c r="M1130" s="9">
        <v>0</v>
      </c>
      <c r="N1130" s="9">
        <v>0</v>
      </c>
      <c r="O1130" s="9">
        <v>0</v>
      </c>
      <c r="P1130" s="9">
        <v>0</v>
      </c>
      <c r="Q1130" s="9">
        <f>MAX(-20,MIN(10,$A1130-VLOOKUP(YEAR($A1130),'Festive dates'!$A$2:$J$5,8,FALSE)))</f>
        <v>-20</v>
      </c>
      <c r="R1130" s="9">
        <f>IF(AND($A1130&gt;VLOOKUP(YEAR($A1130),'Festive dates'!$A$2:$J$5,2,FALSE),$A1130&lt;VLOOKUP(YEAR($A1130),'Festive dates'!$A$2:$J$5,3,FALSE)),1,0)</f>
        <v>0</v>
      </c>
      <c r="S1130" s="9">
        <f>IF($A1130=VLOOKUP(YEAR($A1130),'Festive dates'!$A$2:$J$5,2,FALSE),1,0)</f>
        <v>0</v>
      </c>
      <c r="T1130" s="9">
        <f>IF($A1130=VLOOKUP(YEAR($A1130),'Festive dates'!$A$2:$J$5,3,FALSE),1,0)</f>
        <v>0</v>
      </c>
      <c r="U1130" s="9">
        <f>IF($A1130=VLOOKUP(YEAR($A1130),'Festive dates'!$A$2:$J$5,4,FALSE),1,0)</f>
        <v>0</v>
      </c>
      <c r="V1130" s="9">
        <f>IF(AND($A1130&gt;=VLOOKUP(YEAR($A1130),'Festive dates'!$A$2:$J$5,9,FALSE),$A1130&lt;=VLOOKUP(YEAR($A1130),'Festive dates'!$A$2:$J$5,10,FALSE)),1,0)</f>
        <v>0</v>
      </c>
      <c r="W1130" s="9">
        <f>IF($A1130=VLOOKUP(YEAR($A1130),'Festive dates'!$A$2:$J$5,7,FALSE),1,0)</f>
        <v>0</v>
      </c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</row>
    <row r="1131" spans="1:51">
      <c r="A1131" s="8">
        <v>46146</v>
      </c>
      <c r="B1131" s="9">
        <v>0</v>
      </c>
      <c r="C1131" s="9">
        <v>0</v>
      </c>
      <c r="D1131" s="9">
        <v>0</v>
      </c>
      <c r="E1131" s="9">
        <v>0</v>
      </c>
      <c r="F1131" s="9">
        <v>0</v>
      </c>
      <c r="G1131" s="9">
        <v>0</v>
      </c>
      <c r="H1131" s="9">
        <v>0</v>
      </c>
      <c r="I1131" s="9">
        <v>0</v>
      </c>
      <c r="J1131" s="9">
        <v>0</v>
      </c>
      <c r="K1131" s="9">
        <v>0</v>
      </c>
      <c r="L1131" s="9">
        <v>0</v>
      </c>
      <c r="M1131" s="9">
        <v>0</v>
      </c>
      <c r="N1131" s="9">
        <v>0</v>
      </c>
      <c r="O1131" s="9">
        <v>0</v>
      </c>
      <c r="P1131" s="9">
        <v>0</v>
      </c>
      <c r="Q1131" s="9">
        <f>MAX(-20,MIN(10,$A1131-VLOOKUP(YEAR($A1131),'Festive dates'!$A$2:$J$5,8,FALSE)))</f>
        <v>-20</v>
      </c>
      <c r="R1131" s="9">
        <f>IF(AND($A1131&gt;VLOOKUP(YEAR($A1131),'Festive dates'!$A$2:$J$5,2,FALSE),$A1131&lt;VLOOKUP(YEAR($A1131),'Festive dates'!$A$2:$J$5,3,FALSE)),1,0)</f>
        <v>0</v>
      </c>
      <c r="S1131" s="9">
        <f>IF($A1131=VLOOKUP(YEAR($A1131),'Festive dates'!$A$2:$J$5,2,FALSE),1,0)</f>
        <v>0</v>
      </c>
      <c r="T1131" s="9">
        <f>IF($A1131=VLOOKUP(YEAR($A1131),'Festive dates'!$A$2:$J$5,3,FALSE),1,0)</f>
        <v>0</v>
      </c>
      <c r="U1131" s="9">
        <f>IF($A1131=VLOOKUP(YEAR($A1131),'Festive dates'!$A$2:$J$5,4,FALSE),1,0)</f>
        <v>0</v>
      </c>
      <c r="V1131" s="9">
        <f>IF(AND($A1131&gt;=VLOOKUP(YEAR($A1131),'Festive dates'!$A$2:$J$5,9,FALSE),$A1131&lt;=VLOOKUP(YEAR($A1131),'Festive dates'!$A$2:$J$5,10,FALSE)),1,0)</f>
        <v>0</v>
      </c>
      <c r="W1131" s="9">
        <f>IF($A1131=VLOOKUP(YEAR($A1131),'Festive dates'!$A$2:$J$5,7,FALSE),1,0)</f>
        <v>0</v>
      </c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</row>
    <row r="1132" spans="1:51">
      <c r="A1132" s="8">
        <v>46147</v>
      </c>
      <c r="B1132" s="9">
        <v>0</v>
      </c>
      <c r="C1132" s="9">
        <v>0</v>
      </c>
      <c r="D1132" s="9">
        <v>0</v>
      </c>
      <c r="E1132" s="9">
        <v>0</v>
      </c>
      <c r="F1132" s="9">
        <v>0</v>
      </c>
      <c r="G1132" s="9">
        <v>0</v>
      </c>
      <c r="H1132" s="9">
        <v>0</v>
      </c>
      <c r="I1132" s="9">
        <v>0</v>
      </c>
      <c r="J1132" s="9">
        <v>0</v>
      </c>
      <c r="K1132" s="9">
        <v>0</v>
      </c>
      <c r="L1132" s="9">
        <v>0</v>
      </c>
      <c r="M1132" s="9">
        <v>0</v>
      </c>
      <c r="N1132" s="9">
        <v>0</v>
      </c>
      <c r="O1132" s="9">
        <v>0</v>
      </c>
      <c r="P1132" s="9">
        <v>0</v>
      </c>
      <c r="Q1132" s="9">
        <f>MAX(-20,MIN(10,$A1132-VLOOKUP(YEAR($A1132),'Festive dates'!$A$2:$J$5,8,FALSE)))</f>
        <v>-20</v>
      </c>
      <c r="R1132" s="9">
        <f>IF(AND($A1132&gt;VLOOKUP(YEAR($A1132),'Festive dates'!$A$2:$J$5,2,FALSE),$A1132&lt;VLOOKUP(YEAR($A1132),'Festive dates'!$A$2:$J$5,3,FALSE)),1,0)</f>
        <v>0</v>
      </c>
      <c r="S1132" s="9">
        <f>IF($A1132=VLOOKUP(YEAR($A1132),'Festive dates'!$A$2:$J$5,2,FALSE),1,0)</f>
        <v>0</v>
      </c>
      <c r="T1132" s="9">
        <f>IF($A1132=VLOOKUP(YEAR($A1132),'Festive dates'!$A$2:$J$5,3,FALSE),1,0)</f>
        <v>0</v>
      </c>
      <c r="U1132" s="9">
        <f>IF($A1132=VLOOKUP(YEAR($A1132),'Festive dates'!$A$2:$J$5,4,FALSE),1,0)</f>
        <v>0</v>
      </c>
      <c r="V1132" s="9">
        <f>IF(AND($A1132&gt;=VLOOKUP(YEAR($A1132),'Festive dates'!$A$2:$J$5,9,FALSE),$A1132&lt;=VLOOKUP(YEAR($A1132),'Festive dates'!$A$2:$J$5,10,FALSE)),1,0)</f>
        <v>0</v>
      </c>
      <c r="W1132" s="9">
        <f>IF($A1132=VLOOKUP(YEAR($A1132),'Festive dates'!$A$2:$J$5,7,FALSE),1,0)</f>
        <v>0</v>
      </c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</row>
    <row r="1133" spans="1:51">
      <c r="A1133" s="8">
        <v>46148</v>
      </c>
      <c r="B1133" s="9">
        <v>0</v>
      </c>
      <c r="C1133" s="9">
        <v>0</v>
      </c>
      <c r="D1133" s="9">
        <v>0</v>
      </c>
      <c r="E1133" s="9">
        <v>0</v>
      </c>
      <c r="F1133" s="9">
        <v>0</v>
      </c>
      <c r="G1133" s="9">
        <v>0</v>
      </c>
      <c r="H1133" s="9">
        <v>0</v>
      </c>
      <c r="I1133" s="9">
        <v>0</v>
      </c>
      <c r="J1133" s="9">
        <v>0</v>
      </c>
      <c r="K1133" s="9">
        <v>0</v>
      </c>
      <c r="L1133" s="9">
        <v>0</v>
      </c>
      <c r="M1133" s="9">
        <v>0</v>
      </c>
      <c r="N1133" s="9">
        <v>0</v>
      </c>
      <c r="O1133" s="9">
        <v>0</v>
      </c>
      <c r="P1133" s="9">
        <v>1</v>
      </c>
      <c r="Q1133" s="9">
        <f>MAX(-20,MIN(10,$A1133-VLOOKUP(YEAR($A1133),'Festive dates'!$A$2:$J$5,8,FALSE)))</f>
        <v>-20</v>
      </c>
      <c r="R1133" s="9">
        <f>IF(AND($A1133&gt;VLOOKUP(YEAR($A1133),'Festive dates'!$A$2:$J$5,2,FALSE),$A1133&lt;VLOOKUP(YEAR($A1133),'Festive dates'!$A$2:$J$5,3,FALSE)),1,0)</f>
        <v>0</v>
      </c>
      <c r="S1133" s="9">
        <f>IF($A1133=VLOOKUP(YEAR($A1133),'Festive dates'!$A$2:$J$5,2,FALSE),1,0)</f>
        <v>0</v>
      </c>
      <c r="T1133" s="9">
        <f>IF($A1133=VLOOKUP(YEAR($A1133),'Festive dates'!$A$2:$J$5,3,FALSE),1,0)</f>
        <v>0</v>
      </c>
      <c r="U1133" s="9">
        <f>IF($A1133=VLOOKUP(YEAR($A1133),'Festive dates'!$A$2:$J$5,4,FALSE),1,0)</f>
        <v>0</v>
      </c>
      <c r="V1133" s="9">
        <f>IF(AND($A1133&gt;=VLOOKUP(YEAR($A1133),'Festive dates'!$A$2:$J$5,9,FALSE),$A1133&lt;=VLOOKUP(YEAR($A1133),'Festive dates'!$A$2:$J$5,10,FALSE)),1,0)</f>
        <v>0</v>
      </c>
      <c r="W1133" s="9">
        <f>IF($A1133=VLOOKUP(YEAR($A1133),'Festive dates'!$A$2:$J$5,7,FALSE),1,0)</f>
        <v>0</v>
      </c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</row>
    <row r="1134" spans="1:51">
      <c r="A1134" s="8">
        <v>46149</v>
      </c>
      <c r="B1134" s="9">
        <v>0</v>
      </c>
      <c r="C1134" s="9">
        <v>0</v>
      </c>
      <c r="D1134" s="9">
        <v>0</v>
      </c>
      <c r="E1134" s="9">
        <v>0</v>
      </c>
      <c r="F1134" s="9">
        <v>0</v>
      </c>
      <c r="G1134" s="9">
        <v>0</v>
      </c>
      <c r="H1134" s="9">
        <v>0</v>
      </c>
      <c r="I1134" s="9">
        <v>0</v>
      </c>
      <c r="J1134" s="9">
        <v>0</v>
      </c>
      <c r="K1134" s="9">
        <v>0</v>
      </c>
      <c r="L1134" s="9">
        <v>0</v>
      </c>
      <c r="M1134" s="9">
        <v>0</v>
      </c>
      <c r="N1134" s="9">
        <v>0</v>
      </c>
      <c r="O1134" s="9">
        <v>0</v>
      </c>
      <c r="P1134" s="9">
        <v>1</v>
      </c>
      <c r="Q1134" s="9">
        <f>MAX(-20,MIN(10,$A1134-VLOOKUP(YEAR($A1134),'Festive dates'!$A$2:$J$5,8,FALSE)))</f>
        <v>-20</v>
      </c>
      <c r="R1134" s="9">
        <f>IF(AND($A1134&gt;VLOOKUP(YEAR($A1134),'Festive dates'!$A$2:$J$5,2,FALSE),$A1134&lt;VLOOKUP(YEAR($A1134),'Festive dates'!$A$2:$J$5,3,FALSE)),1,0)</f>
        <v>0</v>
      </c>
      <c r="S1134" s="9">
        <f>IF($A1134=VLOOKUP(YEAR($A1134),'Festive dates'!$A$2:$J$5,2,FALSE),1,0)</f>
        <v>0</v>
      </c>
      <c r="T1134" s="9">
        <f>IF($A1134=VLOOKUP(YEAR($A1134),'Festive dates'!$A$2:$J$5,3,FALSE),1,0)</f>
        <v>0</v>
      </c>
      <c r="U1134" s="9">
        <f>IF($A1134=VLOOKUP(YEAR($A1134),'Festive dates'!$A$2:$J$5,4,FALSE),1,0)</f>
        <v>0</v>
      </c>
      <c r="V1134" s="9">
        <f>IF(AND($A1134&gt;=VLOOKUP(YEAR($A1134),'Festive dates'!$A$2:$J$5,9,FALSE),$A1134&lt;=VLOOKUP(YEAR($A1134),'Festive dates'!$A$2:$J$5,10,FALSE)),1,0)</f>
        <v>0</v>
      </c>
      <c r="W1134" s="9">
        <f>IF($A1134=VLOOKUP(YEAR($A1134),'Festive dates'!$A$2:$J$5,7,FALSE),1,0)</f>
        <v>0</v>
      </c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</row>
    <row r="1135" spans="1:51">
      <c r="A1135" s="8">
        <v>46150</v>
      </c>
      <c r="B1135" s="9">
        <v>0</v>
      </c>
      <c r="C1135" s="9">
        <v>0</v>
      </c>
      <c r="D1135" s="9">
        <v>0</v>
      </c>
      <c r="E1135" s="9">
        <v>0</v>
      </c>
      <c r="F1135" s="9">
        <v>0</v>
      </c>
      <c r="G1135" s="9">
        <v>0</v>
      </c>
      <c r="H1135" s="9">
        <v>0</v>
      </c>
      <c r="I1135" s="9">
        <v>0</v>
      </c>
      <c r="J1135" s="9">
        <v>0</v>
      </c>
      <c r="K1135" s="9">
        <v>0</v>
      </c>
      <c r="L1135" s="9">
        <v>0</v>
      </c>
      <c r="M1135" s="9">
        <v>0</v>
      </c>
      <c r="N1135" s="9">
        <v>0</v>
      </c>
      <c r="O1135" s="9">
        <v>0</v>
      </c>
      <c r="P1135" s="9">
        <v>0</v>
      </c>
      <c r="Q1135" s="9">
        <f>MAX(-20,MIN(10,$A1135-VLOOKUP(YEAR($A1135),'Festive dates'!$A$2:$J$5,8,FALSE)))</f>
        <v>-20</v>
      </c>
      <c r="R1135" s="9">
        <f>IF(AND($A1135&gt;VLOOKUP(YEAR($A1135),'Festive dates'!$A$2:$J$5,2,FALSE),$A1135&lt;VLOOKUP(YEAR($A1135),'Festive dates'!$A$2:$J$5,3,FALSE)),1,0)</f>
        <v>0</v>
      </c>
      <c r="S1135" s="9">
        <f>IF($A1135=VLOOKUP(YEAR($A1135),'Festive dates'!$A$2:$J$5,2,FALSE),1,0)</f>
        <v>0</v>
      </c>
      <c r="T1135" s="9">
        <f>IF($A1135=VLOOKUP(YEAR($A1135),'Festive dates'!$A$2:$J$5,3,FALSE),1,0)</f>
        <v>0</v>
      </c>
      <c r="U1135" s="9">
        <f>IF($A1135=VLOOKUP(YEAR($A1135),'Festive dates'!$A$2:$J$5,4,FALSE),1,0)</f>
        <v>0</v>
      </c>
      <c r="V1135" s="9">
        <f>IF(AND($A1135&gt;=VLOOKUP(YEAR($A1135),'Festive dates'!$A$2:$J$5,9,FALSE),$A1135&lt;=VLOOKUP(YEAR($A1135),'Festive dates'!$A$2:$J$5,10,FALSE)),1,0)</f>
        <v>0</v>
      </c>
      <c r="W1135" s="9">
        <f>IF($A1135=VLOOKUP(YEAR($A1135),'Festive dates'!$A$2:$J$5,7,FALSE),1,0)</f>
        <v>0</v>
      </c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</row>
    <row r="1136" spans="1:51">
      <c r="A1136" s="8">
        <v>46151</v>
      </c>
      <c r="B1136" s="9">
        <v>0</v>
      </c>
      <c r="C1136" s="9">
        <v>0</v>
      </c>
      <c r="D1136" s="9">
        <v>0</v>
      </c>
      <c r="E1136" s="9">
        <v>0</v>
      </c>
      <c r="F1136" s="9">
        <v>0</v>
      </c>
      <c r="G1136" s="9">
        <v>0</v>
      </c>
      <c r="H1136" s="9">
        <v>0</v>
      </c>
      <c r="I1136" s="9">
        <v>0</v>
      </c>
      <c r="J1136" s="9">
        <v>0</v>
      </c>
      <c r="K1136" s="9">
        <v>0</v>
      </c>
      <c r="L1136" s="9">
        <v>0</v>
      </c>
      <c r="M1136" s="9">
        <v>0</v>
      </c>
      <c r="N1136" s="9">
        <v>0</v>
      </c>
      <c r="O1136" s="9">
        <v>0</v>
      </c>
      <c r="P1136" s="9">
        <v>0</v>
      </c>
      <c r="Q1136" s="9">
        <f>MAX(-20,MIN(10,$A1136-VLOOKUP(YEAR($A1136),'Festive dates'!$A$2:$J$5,8,FALSE)))</f>
        <v>-20</v>
      </c>
      <c r="R1136" s="9">
        <f>IF(AND($A1136&gt;VLOOKUP(YEAR($A1136),'Festive dates'!$A$2:$J$5,2,FALSE),$A1136&lt;VLOOKUP(YEAR($A1136),'Festive dates'!$A$2:$J$5,3,FALSE)),1,0)</f>
        <v>0</v>
      </c>
      <c r="S1136" s="9">
        <f>IF($A1136=VLOOKUP(YEAR($A1136),'Festive dates'!$A$2:$J$5,2,FALSE),1,0)</f>
        <v>0</v>
      </c>
      <c r="T1136" s="9">
        <f>IF($A1136=VLOOKUP(YEAR($A1136),'Festive dates'!$A$2:$J$5,3,FALSE),1,0)</f>
        <v>0</v>
      </c>
      <c r="U1136" s="9">
        <f>IF($A1136=VLOOKUP(YEAR($A1136),'Festive dates'!$A$2:$J$5,4,FALSE),1,0)</f>
        <v>0</v>
      </c>
      <c r="V1136" s="9">
        <f>IF(AND($A1136&gt;=VLOOKUP(YEAR($A1136),'Festive dates'!$A$2:$J$5,9,FALSE),$A1136&lt;=VLOOKUP(YEAR($A1136),'Festive dates'!$A$2:$J$5,10,FALSE)),1,0)</f>
        <v>0</v>
      </c>
      <c r="W1136" s="9">
        <f>IF($A1136=VLOOKUP(YEAR($A1136),'Festive dates'!$A$2:$J$5,7,FALSE),1,0)</f>
        <v>0</v>
      </c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</row>
    <row r="1137" spans="1:51">
      <c r="A1137" s="8">
        <v>46152</v>
      </c>
      <c r="B1137" s="9">
        <v>0</v>
      </c>
      <c r="C1137" s="9">
        <v>0</v>
      </c>
      <c r="D1137" s="9">
        <v>0</v>
      </c>
      <c r="E1137" s="9">
        <v>0</v>
      </c>
      <c r="F1137" s="9">
        <v>0</v>
      </c>
      <c r="G1137" s="9">
        <v>0</v>
      </c>
      <c r="H1137" s="9">
        <v>0</v>
      </c>
      <c r="I1137" s="9">
        <v>0</v>
      </c>
      <c r="J1137" s="9">
        <v>0</v>
      </c>
      <c r="K1137" s="9">
        <v>0</v>
      </c>
      <c r="L1137" s="9">
        <v>0</v>
      </c>
      <c r="M1137" s="9">
        <v>0</v>
      </c>
      <c r="N1137" s="9">
        <v>0</v>
      </c>
      <c r="O1137" s="9">
        <v>0</v>
      </c>
      <c r="P1137" s="9">
        <v>0</v>
      </c>
      <c r="Q1137" s="9">
        <f>MAX(-20,MIN(10,$A1137-VLOOKUP(YEAR($A1137),'Festive dates'!$A$2:$J$5,8,FALSE)))</f>
        <v>-20</v>
      </c>
      <c r="R1137" s="9">
        <f>IF(AND($A1137&gt;VLOOKUP(YEAR($A1137),'Festive dates'!$A$2:$J$5,2,FALSE),$A1137&lt;VLOOKUP(YEAR($A1137),'Festive dates'!$A$2:$J$5,3,FALSE)),1,0)</f>
        <v>0</v>
      </c>
      <c r="S1137" s="9">
        <f>IF($A1137=VLOOKUP(YEAR($A1137),'Festive dates'!$A$2:$J$5,2,FALSE),1,0)</f>
        <v>0</v>
      </c>
      <c r="T1137" s="9">
        <f>IF($A1137=VLOOKUP(YEAR($A1137),'Festive dates'!$A$2:$J$5,3,FALSE),1,0)</f>
        <v>0</v>
      </c>
      <c r="U1137" s="9">
        <f>IF($A1137=VLOOKUP(YEAR($A1137),'Festive dates'!$A$2:$J$5,4,FALSE),1,0)</f>
        <v>0</v>
      </c>
      <c r="V1137" s="9">
        <f>IF(AND($A1137&gt;=VLOOKUP(YEAR($A1137),'Festive dates'!$A$2:$J$5,9,FALSE),$A1137&lt;=VLOOKUP(YEAR($A1137),'Festive dates'!$A$2:$J$5,10,FALSE)),1,0)</f>
        <v>0</v>
      </c>
      <c r="W1137" s="9">
        <f>IF($A1137=VLOOKUP(YEAR($A1137),'Festive dates'!$A$2:$J$5,7,FALSE),1,0)</f>
        <v>0</v>
      </c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</row>
    <row r="1138" spans="1:51">
      <c r="A1138" s="8">
        <v>46153</v>
      </c>
      <c r="B1138" s="9">
        <v>0</v>
      </c>
      <c r="C1138" s="9">
        <v>0</v>
      </c>
      <c r="D1138" s="9">
        <v>0</v>
      </c>
      <c r="E1138" s="9">
        <v>0</v>
      </c>
      <c r="F1138" s="9">
        <v>0</v>
      </c>
      <c r="G1138" s="9">
        <v>0</v>
      </c>
      <c r="H1138" s="9">
        <v>0</v>
      </c>
      <c r="I1138" s="9">
        <v>0</v>
      </c>
      <c r="J1138" s="9">
        <v>0</v>
      </c>
      <c r="K1138" s="9">
        <v>0</v>
      </c>
      <c r="L1138" s="9">
        <v>0</v>
      </c>
      <c r="M1138" s="9">
        <v>0</v>
      </c>
      <c r="N1138" s="9">
        <v>0</v>
      </c>
      <c r="O1138" s="9">
        <v>0</v>
      </c>
      <c r="P1138" s="9">
        <v>0</v>
      </c>
      <c r="Q1138" s="9">
        <f>MAX(-20,MIN(10,$A1138-VLOOKUP(YEAR($A1138),'Festive dates'!$A$2:$J$5,8,FALSE)))</f>
        <v>-20</v>
      </c>
      <c r="R1138" s="9">
        <f>IF(AND($A1138&gt;VLOOKUP(YEAR($A1138),'Festive dates'!$A$2:$J$5,2,FALSE),$A1138&lt;VLOOKUP(YEAR($A1138),'Festive dates'!$A$2:$J$5,3,FALSE)),1,0)</f>
        <v>0</v>
      </c>
      <c r="S1138" s="9">
        <f>IF($A1138=VLOOKUP(YEAR($A1138),'Festive dates'!$A$2:$J$5,2,FALSE),1,0)</f>
        <v>0</v>
      </c>
      <c r="T1138" s="9">
        <f>IF($A1138=VLOOKUP(YEAR($A1138),'Festive dates'!$A$2:$J$5,3,FALSE),1,0)</f>
        <v>0</v>
      </c>
      <c r="U1138" s="9">
        <f>IF($A1138=VLOOKUP(YEAR($A1138),'Festive dates'!$A$2:$J$5,4,FALSE),1,0)</f>
        <v>0</v>
      </c>
      <c r="V1138" s="9">
        <f>IF(AND($A1138&gt;=VLOOKUP(YEAR($A1138),'Festive dates'!$A$2:$J$5,9,FALSE),$A1138&lt;=VLOOKUP(YEAR($A1138),'Festive dates'!$A$2:$J$5,10,FALSE)),1,0)</f>
        <v>0</v>
      </c>
      <c r="W1138" s="9">
        <f>IF($A1138=VLOOKUP(YEAR($A1138),'Festive dates'!$A$2:$J$5,7,FALSE),1,0)</f>
        <v>0</v>
      </c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</row>
    <row r="1139" spans="1:51">
      <c r="A1139" s="8">
        <v>46154</v>
      </c>
      <c r="B1139" s="9">
        <v>0</v>
      </c>
      <c r="C1139" s="9">
        <v>0</v>
      </c>
      <c r="D1139" s="9">
        <v>0</v>
      </c>
      <c r="E1139" s="9">
        <v>0</v>
      </c>
      <c r="F1139" s="9">
        <v>0</v>
      </c>
      <c r="G1139" s="9">
        <v>0</v>
      </c>
      <c r="H1139" s="9">
        <v>0</v>
      </c>
      <c r="I1139" s="9">
        <v>0</v>
      </c>
      <c r="J1139" s="9">
        <v>0</v>
      </c>
      <c r="K1139" s="9">
        <v>0</v>
      </c>
      <c r="L1139" s="9">
        <v>0</v>
      </c>
      <c r="M1139" s="9">
        <v>0</v>
      </c>
      <c r="N1139" s="9">
        <v>0</v>
      </c>
      <c r="O1139" s="9">
        <v>0</v>
      </c>
      <c r="P1139" s="9">
        <v>0</v>
      </c>
      <c r="Q1139" s="9">
        <f>MAX(-20,MIN(10,$A1139-VLOOKUP(YEAR($A1139),'Festive dates'!$A$2:$J$5,8,FALSE)))</f>
        <v>-20</v>
      </c>
      <c r="R1139" s="9">
        <f>IF(AND($A1139&gt;VLOOKUP(YEAR($A1139),'Festive dates'!$A$2:$J$5,2,FALSE),$A1139&lt;VLOOKUP(YEAR($A1139),'Festive dates'!$A$2:$J$5,3,FALSE)),1,0)</f>
        <v>0</v>
      </c>
      <c r="S1139" s="9">
        <f>IF($A1139=VLOOKUP(YEAR($A1139),'Festive dates'!$A$2:$J$5,2,FALSE),1,0)</f>
        <v>0</v>
      </c>
      <c r="T1139" s="9">
        <f>IF($A1139=VLOOKUP(YEAR($A1139),'Festive dates'!$A$2:$J$5,3,FALSE),1,0)</f>
        <v>0</v>
      </c>
      <c r="U1139" s="9">
        <f>IF($A1139=VLOOKUP(YEAR($A1139),'Festive dates'!$A$2:$J$5,4,FALSE),1,0)</f>
        <v>0</v>
      </c>
      <c r="V1139" s="9">
        <f>IF(AND($A1139&gt;=VLOOKUP(YEAR($A1139),'Festive dates'!$A$2:$J$5,9,FALSE),$A1139&lt;=VLOOKUP(YEAR($A1139),'Festive dates'!$A$2:$J$5,10,FALSE)),1,0)</f>
        <v>0</v>
      </c>
      <c r="W1139" s="9">
        <f>IF($A1139=VLOOKUP(YEAR($A1139),'Festive dates'!$A$2:$J$5,7,FALSE),1,0)</f>
        <v>0</v>
      </c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</row>
    <row r="1140" spans="1:51">
      <c r="A1140" s="8">
        <v>46155</v>
      </c>
      <c r="B1140" s="9">
        <v>0</v>
      </c>
      <c r="C1140" s="9">
        <v>0</v>
      </c>
      <c r="D1140" s="9">
        <v>0</v>
      </c>
      <c r="E1140" s="9">
        <v>0</v>
      </c>
      <c r="F1140" s="9">
        <v>0</v>
      </c>
      <c r="G1140" s="9">
        <v>0</v>
      </c>
      <c r="H1140" s="9">
        <v>0</v>
      </c>
      <c r="I1140" s="9">
        <v>0</v>
      </c>
      <c r="J1140" s="9">
        <v>0</v>
      </c>
      <c r="K1140" s="9">
        <v>0</v>
      </c>
      <c r="L1140" s="9">
        <v>0</v>
      </c>
      <c r="M1140" s="9">
        <v>0</v>
      </c>
      <c r="N1140" s="9">
        <v>0</v>
      </c>
      <c r="O1140" s="9">
        <v>0</v>
      </c>
      <c r="P1140" s="9">
        <v>0</v>
      </c>
      <c r="Q1140" s="9">
        <f>MAX(-20,MIN(10,$A1140-VLOOKUP(YEAR($A1140),'Festive dates'!$A$2:$J$5,8,FALSE)))</f>
        <v>-20</v>
      </c>
      <c r="R1140" s="9">
        <f>IF(AND($A1140&gt;VLOOKUP(YEAR($A1140),'Festive dates'!$A$2:$J$5,2,FALSE),$A1140&lt;VLOOKUP(YEAR($A1140),'Festive dates'!$A$2:$J$5,3,FALSE)),1,0)</f>
        <v>0</v>
      </c>
      <c r="S1140" s="9">
        <f>IF($A1140=VLOOKUP(YEAR($A1140),'Festive dates'!$A$2:$J$5,2,FALSE),1,0)</f>
        <v>0</v>
      </c>
      <c r="T1140" s="9">
        <f>IF($A1140=VLOOKUP(YEAR($A1140),'Festive dates'!$A$2:$J$5,3,FALSE),1,0)</f>
        <v>0</v>
      </c>
      <c r="U1140" s="9">
        <f>IF($A1140=VLOOKUP(YEAR($A1140),'Festive dates'!$A$2:$J$5,4,FALSE),1,0)</f>
        <v>0</v>
      </c>
      <c r="V1140" s="9">
        <f>IF(AND($A1140&gt;=VLOOKUP(YEAR($A1140),'Festive dates'!$A$2:$J$5,9,FALSE),$A1140&lt;=VLOOKUP(YEAR($A1140),'Festive dates'!$A$2:$J$5,10,FALSE)),1,0)</f>
        <v>0</v>
      </c>
      <c r="W1140" s="9">
        <f>IF($A1140=VLOOKUP(YEAR($A1140),'Festive dates'!$A$2:$J$5,7,FALSE),1,0)</f>
        <v>0</v>
      </c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</row>
    <row r="1141" spans="1:51">
      <c r="A1141" s="8">
        <v>46156</v>
      </c>
      <c r="B1141" s="9">
        <v>0</v>
      </c>
      <c r="C1141" s="9">
        <v>0</v>
      </c>
      <c r="D1141" s="9">
        <v>0</v>
      </c>
      <c r="E1141" s="9">
        <v>0</v>
      </c>
      <c r="F1141" s="9">
        <v>0</v>
      </c>
      <c r="G1141" s="9">
        <v>0</v>
      </c>
      <c r="H1141" s="9">
        <v>0</v>
      </c>
      <c r="I1141" s="9">
        <v>0</v>
      </c>
      <c r="J1141" s="9">
        <v>0</v>
      </c>
      <c r="K1141" s="9">
        <v>0</v>
      </c>
      <c r="L1141" s="9">
        <v>0</v>
      </c>
      <c r="M1141" s="9">
        <v>0</v>
      </c>
      <c r="N1141" s="9">
        <v>0</v>
      </c>
      <c r="O1141" s="9">
        <v>0</v>
      </c>
      <c r="P1141" s="9">
        <v>0</v>
      </c>
      <c r="Q1141" s="9">
        <f>MAX(-20,MIN(10,$A1141-VLOOKUP(YEAR($A1141),'Festive dates'!$A$2:$J$5,8,FALSE)))</f>
        <v>-20</v>
      </c>
      <c r="R1141" s="9">
        <f>IF(AND($A1141&gt;VLOOKUP(YEAR($A1141),'Festive dates'!$A$2:$J$5,2,FALSE),$A1141&lt;VLOOKUP(YEAR($A1141),'Festive dates'!$A$2:$J$5,3,FALSE)),1,0)</f>
        <v>0</v>
      </c>
      <c r="S1141" s="9">
        <f>IF($A1141=VLOOKUP(YEAR($A1141),'Festive dates'!$A$2:$J$5,2,FALSE),1,0)</f>
        <v>0</v>
      </c>
      <c r="T1141" s="9">
        <f>IF($A1141=VLOOKUP(YEAR($A1141),'Festive dates'!$A$2:$J$5,3,FALSE),1,0)</f>
        <v>0</v>
      </c>
      <c r="U1141" s="9">
        <f>IF($A1141=VLOOKUP(YEAR($A1141),'Festive dates'!$A$2:$J$5,4,FALSE),1,0)</f>
        <v>0</v>
      </c>
      <c r="V1141" s="9">
        <f>IF(AND($A1141&gt;=VLOOKUP(YEAR($A1141),'Festive dates'!$A$2:$J$5,9,FALSE),$A1141&lt;=VLOOKUP(YEAR($A1141),'Festive dates'!$A$2:$J$5,10,FALSE)),1,0)</f>
        <v>0</v>
      </c>
      <c r="W1141" s="9">
        <f>IF($A1141=VLOOKUP(YEAR($A1141),'Festive dates'!$A$2:$J$5,7,FALSE),1,0)</f>
        <v>0</v>
      </c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</row>
    <row r="1142" spans="1:51">
      <c r="A1142" s="8">
        <v>46157</v>
      </c>
      <c r="B1142" s="9">
        <v>0</v>
      </c>
      <c r="C1142" s="9">
        <v>0</v>
      </c>
      <c r="D1142" s="9">
        <v>0</v>
      </c>
      <c r="E1142" s="9">
        <v>0</v>
      </c>
      <c r="F1142" s="9">
        <v>0</v>
      </c>
      <c r="G1142" s="9">
        <v>0</v>
      </c>
      <c r="H1142" s="9">
        <v>0</v>
      </c>
      <c r="I1142" s="9">
        <v>0</v>
      </c>
      <c r="J1142" s="9">
        <v>0</v>
      </c>
      <c r="K1142" s="9">
        <v>0</v>
      </c>
      <c r="L1142" s="9">
        <v>0</v>
      </c>
      <c r="M1142" s="9">
        <v>0</v>
      </c>
      <c r="N1142" s="9">
        <v>0</v>
      </c>
      <c r="O1142" s="9">
        <v>0</v>
      </c>
      <c r="P1142" s="9">
        <v>0</v>
      </c>
      <c r="Q1142" s="9">
        <f>MAX(-20,MIN(10,$A1142-VLOOKUP(YEAR($A1142),'Festive dates'!$A$2:$J$5,8,FALSE)))</f>
        <v>-20</v>
      </c>
      <c r="R1142" s="9">
        <f>IF(AND($A1142&gt;VLOOKUP(YEAR($A1142),'Festive dates'!$A$2:$J$5,2,FALSE),$A1142&lt;VLOOKUP(YEAR($A1142),'Festive dates'!$A$2:$J$5,3,FALSE)),1,0)</f>
        <v>0</v>
      </c>
      <c r="S1142" s="9">
        <f>IF($A1142=VLOOKUP(YEAR($A1142),'Festive dates'!$A$2:$J$5,2,FALSE),1,0)</f>
        <v>0</v>
      </c>
      <c r="T1142" s="9">
        <f>IF($A1142=VLOOKUP(YEAR($A1142),'Festive dates'!$A$2:$J$5,3,FALSE),1,0)</f>
        <v>0</v>
      </c>
      <c r="U1142" s="9">
        <f>IF($A1142=VLOOKUP(YEAR($A1142),'Festive dates'!$A$2:$J$5,4,FALSE),1,0)</f>
        <v>0</v>
      </c>
      <c r="V1142" s="9">
        <f>IF(AND($A1142&gt;=VLOOKUP(YEAR($A1142),'Festive dates'!$A$2:$J$5,9,FALSE),$A1142&lt;=VLOOKUP(YEAR($A1142),'Festive dates'!$A$2:$J$5,10,FALSE)),1,0)</f>
        <v>0</v>
      </c>
      <c r="W1142" s="9">
        <f>IF($A1142=VLOOKUP(YEAR($A1142),'Festive dates'!$A$2:$J$5,7,FALSE),1,0)</f>
        <v>0</v>
      </c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</row>
    <row r="1143" spans="1:51">
      <c r="A1143" s="8">
        <v>46158</v>
      </c>
      <c r="B1143" s="9">
        <v>0</v>
      </c>
      <c r="C1143" s="9">
        <v>0</v>
      </c>
      <c r="D1143" s="9">
        <v>0</v>
      </c>
      <c r="E1143" s="9">
        <v>0</v>
      </c>
      <c r="F1143" s="9">
        <v>0</v>
      </c>
      <c r="G1143" s="9">
        <v>0</v>
      </c>
      <c r="H1143" s="9">
        <v>0</v>
      </c>
      <c r="I1143" s="9">
        <v>0</v>
      </c>
      <c r="J1143" s="9">
        <v>0</v>
      </c>
      <c r="K1143" s="9">
        <v>0</v>
      </c>
      <c r="L1143" s="9">
        <v>0</v>
      </c>
      <c r="M1143" s="9">
        <v>0</v>
      </c>
      <c r="N1143" s="9">
        <v>0</v>
      </c>
      <c r="O1143" s="9">
        <v>0</v>
      </c>
      <c r="P1143" s="9">
        <v>0</v>
      </c>
      <c r="Q1143" s="9">
        <f>MAX(-20,MIN(10,$A1143-VLOOKUP(YEAR($A1143),'Festive dates'!$A$2:$J$5,8,FALSE)))</f>
        <v>-20</v>
      </c>
      <c r="R1143" s="9">
        <f>IF(AND($A1143&gt;VLOOKUP(YEAR($A1143),'Festive dates'!$A$2:$J$5,2,FALSE),$A1143&lt;VLOOKUP(YEAR($A1143),'Festive dates'!$A$2:$J$5,3,FALSE)),1,0)</f>
        <v>0</v>
      </c>
      <c r="S1143" s="9">
        <f>IF($A1143=VLOOKUP(YEAR($A1143),'Festive dates'!$A$2:$J$5,2,FALSE),1,0)</f>
        <v>0</v>
      </c>
      <c r="T1143" s="9">
        <f>IF($A1143=VLOOKUP(YEAR($A1143),'Festive dates'!$A$2:$J$5,3,FALSE),1,0)</f>
        <v>0</v>
      </c>
      <c r="U1143" s="9">
        <f>IF($A1143=VLOOKUP(YEAR($A1143),'Festive dates'!$A$2:$J$5,4,FALSE),1,0)</f>
        <v>0</v>
      </c>
      <c r="V1143" s="9">
        <f>IF(AND($A1143&gt;=VLOOKUP(YEAR($A1143),'Festive dates'!$A$2:$J$5,9,FALSE),$A1143&lt;=VLOOKUP(YEAR($A1143),'Festive dates'!$A$2:$J$5,10,FALSE)),1,0)</f>
        <v>0</v>
      </c>
      <c r="W1143" s="9">
        <f>IF($A1143=VLOOKUP(YEAR($A1143),'Festive dates'!$A$2:$J$5,7,FALSE),1,0)</f>
        <v>0</v>
      </c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</row>
    <row r="1144" spans="1:51">
      <c r="A1144" s="8">
        <v>46159</v>
      </c>
      <c r="B1144" s="9">
        <v>0</v>
      </c>
      <c r="C1144" s="9">
        <v>0</v>
      </c>
      <c r="D1144" s="9">
        <v>0</v>
      </c>
      <c r="E1144" s="9">
        <v>0</v>
      </c>
      <c r="F1144" s="9">
        <v>0</v>
      </c>
      <c r="G1144" s="9">
        <v>0</v>
      </c>
      <c r="H1144" s="9">
        <v>0</v>
      </c>
      <c r="I1144" s="9">
        <v>0</v>
      </c>
      <c r="J1144" s="9">
        <v>0</v>
      </c>
      <c r="K1144" s="9">
        <v>0</v>
      </c>
      <c r="L1144" s="9">
        <v>0</v>
      </c>
      <c r="M1144" s="9">
        <v>0</v>
      </c>
      <c r="N1144" s="9">
        <v>0</v>
      </c>
      <c r="O1144" s="9">
        <v>0</v>
      </c>
      <c r="P1144" s="9">
        <v>0</v>
      </c>
      <c r="Q1144" s="9">
        <f>MAX(-20,MIN(10,$A1144-VLOOKUP(YEAR($A1144),'Festive dates'!$A$2:$J$5,8,FALSE)))</f>
        <v>-20</v>
      </c>
      <c r="R1144" s="9">
        <f>IF(AND($A1144&gt;VLOOKUP(YEAR($A1144),'Festive dates'!$A$2:$J$5,2,FALSE),$A1144&lt;VLOOKUP(YEAR($A1144),'Festive dates'!$A$2:$J$5,3,FALSE)),1,0)</f>
        <v>0</v>
      </c>
      <c r="S1144" s="9">
        <f>IF($A1144=VLOOKUP(YEAR($A1144),'Festive dates'!$A$2:$J$5,2,FALSE),1,0)</f>
        <v>0</v>
      </c>
      <c r="T1144" s="9">
        <f>IF($A1144=VLOOKUP(YEAR($A1144),'Festive dates'!$A$2:$J$5,3,FALSE),1,0)</f>
        <v>0</v>
      </c>
      <c r="U1144" s="9">
        <f>IF($A1144=VLOOKUP(YEAR($A1144),'Festive dates'!$A$2:$J$5,4,FALSE),1,0)</f>
        <v>0</v>
      </c>
      <c r="V1144" s="9">
        <f>IF(AND($A1144&gt;=VLOOKUP(YEAR($A1144),'Festive dates'!$A$2:$J$5,9,FALSE),$A1144&lt;=VLOOKUP(YEAR($A1144),'Festive dates'!$A$2:$J$5,10,FALSE)),1,0)</f>
        <v>0</v>
      </c>
      <c r="W1144" s="9">
        <f>IF($A1144=VLOOKUP(YEAR($A1144),'Festive dates'!$A$2:$J$5,7,FALSE),1,0)</f>
        <v>0</v>
      </c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</row>
    <row r="1145" spans="1:51">
      <c r="A1145" s="8">
        <v>46160</v>
      </c>
      <c r="B1145" s="9">
        <v>0</v>
      </c>
      <c r="C1145" s="9">
        <v>0</v>
      </c>
      <c r="D1145" s="9">
        <v>0</v>
      </c>
      <c r="E1145" s="9">
        <v>0</v>
      </c>
      <c r="F1145" s="9">
        <v>0</v>
      </c>
      <c r="G1145" s="9">
        <v>0</v>
      </c>
      <c r="H1145" s="9">
        <v>0</v>
      </c>
      <c r="I1145" s="9">
        <v>0</v>
      </c>
      <c r="J1145" s="9">
        <v>0</v>
      </c>
      <c r="K1145" s="9">
        <v>0</v>
      </c>
      <c r="L1145" s="9">
        <v>0</v>
      </c>
      <c r="M1145" s="9">
        <v>0</v>
      </c>
      <c r="N1145" s="9">
        <v>0</v>
      </c>
      <c r="O1145" s="9">
        <v>0</v>
      </c>
      <c r="P1145" s="9">
        <v>0</v>
      </c>
      <c r="Q1145" s="9">
        <f>MAX(-20,MIN(10,$A1145-VLOOKUP(YEAR($A1145),'Festive dates'!$A$2:$J$5,8,FALSE)))</f>
        <v>-20</v>
      </c>
      <c r="R1145" s="9">
        <f>IF(AND($A1145&gt;VLOOKUP(YEAR($A1145),'Festive dates'!$A$2:$J$5,2,FALSE),$A1145&lt;VLOOKUP(YEAR($A1145),'Festive dates'!$A$2:$J$5,3,FALSE)),1,0)</f>
        <v>0</v>
      </c>
      <c r="S1145" s="9">
        <f>IF($A1145=VLOOKUP(YEAR($A1145),'Festive dates'!$A$2:$J$5,2,FALSE),1,0)</f>
        <v>0</v>
      </c>
      <c r="T1145" s="9">
        <f>IF($A1145=VLOOKUP(YEAR($A1145),'Festive dates'!$A$2:$J$5,3,FALSE),1,0)</f>
        <v>0</v>
      </c>
      <c r="U1145" s="9">
        <f>IF($A1145=VLOOKUP(YEAR($A1145),'Festive dates'!$A$2:$J$5,4,FALSE),1,0)</f>
        <v>0</v>
      </c>
      <c r="V1145" s="9">
        <f>IF(AND($A1145&gt;=VLOOKUP(YEAR($A1145),'Festive dates'!$A$2:$J$5,9,FALSE),$A1145&lt;=VLOOKUP(YEAR($A1145),'Festive dates'!$A$2:$J$5,10,FALSE)),1,0)</f>
        <v>0</v>
      </c>
      <c r="W1145" s="9">
        <f>IF($A1145=VLOOKUP(YEAR($A1145),'Festive dates'!$A$2:$J$5,7,FALSE),1,0)</f>
        <v>0</v>
      </c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</row>
    <row r="1146" spans="1:51">
      <c r="A1146" s="8">
        <v>46161</v>
      </c>
      <c r="B1146" s="9">
        <v>0</v>
      </c>
      <c r="C1146" s="9">
        <v>0</v>
      </c>
      <c r="D1146" s="9">
        <v>0</v>
      </c>
      <c r="E1146" s="9">
        <v>0</v>
      </c>
      <c r="F1146" s="9">
        <v>0</v>
      </c>
      <c r="G1146" s="9">
        <v>0</v>
      </c>
      <c r="H1146" s="9">
        <v>0</v>
      </c>
      <c r="I1146" s="9">
        <v>0</v>
      </c>
      <c r="J1146" s="9">
        <v>0</v>
      </c>
      <c r="K1146" s="9">
        <v>0</v>
      </c>
      <c r="L1146" s="9">
        <v>0</v>
      </c>
      <c r="M1146" s="9">
        <v>0</v>
      </c>
      <c r="N1146" s="9">
        <v>0</v>
      </c>
      <c r="O1146" s="9">
        <v>0</v>
      </c>
      <c r="P1146" s="9">
        <v>0</v>
      </c>
      <c r="Q1146" s="9">
        <f>MAX(-20,MIN(10,$A1146-VLOOKUP(YEAR($A1146),'Festive dates'!$A$2:$J$5,8,FALSE)))</f>
        <v>-20</v>
      </c>
      <c r="R1146" s="9">
        <f>IF(AND($A1146&gt;VLOOKUP(YEAR($A1146),'Festive dates'!$A$2:$J$5,2,FALSE),$A1146&lt;VLOOKUP(YEAR($A1146),'Festive dates'!$A$2:$J$5,3,FALSE)),1,0)</f>
        <v>0</v>
      </c>
      <c r="S1146" s="9">
        <f>IF($A1146=VLOOKUP(YEAR($A1146),'Festive dates'!$A$2:$J$5,2,FALSE),1,0)</f>
        <v>0</v>
      </c>
      <c r="T1146" s="9">
        <f>IF($A1146=VLOOKUP(YEAR($A1146),'Festive dates'!$A$2:$J$5,3,FALSE),1,0)</f>
        <v>0</v>
      </c>
      <c r="U1146" s="9">
        <f>IF($A1146=VLOOKUP(YEAR($A1146),'Festive dates'!$A$2:$J$5,4,FALSE),1,0)</f>
        <v>0</v>
      </c>
      <c r="V1146" s="9">
        <f>IF(AND($A1146&gt;=VLOOKUP(YEAR($A1146),'Festive dates'!$A$2:$J$5,9,FALSE),$A1146&lt;=VLOOKUP(YEAR($A1146),'Festive dates'!$A$2:$J$5,10,FALSE)),1,0)</f>
        <v>0</v>
      </c>
      <c r="W1146" s="9">
        <f>IF($A1146=VLOOKUP(YEAR($A1146),'Festive dates'!$A$2:$J$5,7,FALSE),1,0)</f>
        <v>0</v>
      </c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</row>
    <row r="1147" spans="1:51">
      <c r="A1147" s="8">
        <v>46162</v>
      </c>
      <c r="B1147" s="9">
        <v>0</v>
      </c>
      <c r="C1147" s="9">
        <v>0</v>
      </c>
      <c r="D1147" s="9">
        <v>0</v>
      </c>
      <c r="E1147" s="9">
        <v>0</v>
      </c>
      <c r="F1147" s="9">
        <v>0</v>
      </c>
      <c r="G1147" s="9">
        <v>0</v>
      </c>
      <c r="H1147" s="9">
        <v>0</v>
      </c>
      <c r="I1147" s="9">
        <v>0</v>
      </c>
      <c r="J1147" s="9">
        <v>0</v>
      </c>
      <c r="K1147" s="9">
        <v>0</v>
      </c>
      <c r="L1147" s="9">
        <v>0</v>
      </c>
      <c r="M1147" s="9">
        <v>0</v>
      </c>
      <c r="N1147" s="9">
        <v>0</v>
      </c>
      <c r="O1147" s="9">
        <v>0</v>
      </c>
      <c r="P1147" s="9">
        <v>0</v>
      </c>
      <c r="Q1147" s="9">
        <f>MAX(-20,MIN(10,$A1147-VLOOKUP(YEAR($A1147),'Festive dates'!$A$2:$J$5,8,FALSE)))</f>
        <v>-20</v>
      </c>
      <c r="R1147" s="9">
        <f>IF(AND($A1147&gt;VLOOKUP(YEAR($A1147),'Festive dates'!$A$2:$J$5,2,FALSE),$A1147&lt;VLOOKUP(YEAR($A1147),'Festive dates'!$A$2:$J$5,3,FALSE)),1,0)</f>
        <v>0</v>
      </c>
      <c r="S1147" s="9">
        <f>IF($A1147=VLOOKUP(YEAR($A1147),'Festive dates'!$A$2:$J$5,2,FALSE),1,0)</f>
        <v>0</v>
      </c>
      <c r="T1147" s="9">
        <f>IF($A1147=VLOOKUP(YEAR($A1147),'Festive dates'!$A$2:$J$5,3,FALSE),1,0)</f>
        <v>0</v>
      </c>
      <c r="U1147" s="9">
        <f>IF($A1147=VLOOKUP(YEAR($A1147),'Festive dates'!$A$2:$J$5,4,FALSE),1,0)</f>
        <v>0</v>
      </c>
      <c r="V1147" s="9">
        <f>IF(AND($A1147&gt;=VLOOKUP(YEAR($A1147),'Festive dates'!$A$2:$J$5,9,FALSE),$A1147&lt;=VLOOKUP(YEAR($A1147),'Festive dates'!$A$2:$J$5,10,FALSE)),1,0)</f>
        <v>0</v>
      </c>
      <c r="W1147" s="9">
        <f>IF($A1147=VLOOKUP(YEAR($A1147),'Festive dates'!$A$2:$J$5,7,FALSE),1,0)</f>
        <v>0</v>
      </c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</row>
    <row r="1148" spans="1:51">
      <c r="A1148" s="8">
        <v>46163</v>
      </c>
      <c r="B1148" s="9">
        <v>0</v>
      </c>
      <c r="C1148" s="9">
        <v>0</v>
      </c>
      <c r="D1148" s="9">
        <v>0</v>
      </c>
      <c r="E1148" s="9">
        <v>0</v>
      </c>
      <c r="F1148" s="9">
        <v>0</v>
      </c>
      <c r="G1148" s="9">
        <v>0</v>
      </c>
      <c r="H1148" s="9">
        <v>0</v>
      </c>
      <c r="I1148" s="9">
        <v>0</v>
      </c>
      <c r="J1148" s="9">
        <v>0</v>
      </c>
      <c r="K1148" s="9">
        <v>0</v>
      </c>
      <c r="L1148" s="9">
        <v>0</v>
      </c>
      <c r="M1148" s="9">
        <v>0</v>
      </c>
      <c r="N1148" s="9">
        <v>0</v>
      </c>
      <c r="O1148" s="9">
        <v>0</v>
      </c>
      <c r="P1148" s="9">
        <v>0</v>
      </c>
      <c r="Q1148" s="9">
        <f>MAX(-20,MIN(10,$A1148-VLOOKUP(YEAR($A1148),'Festive dates'!$A$2:$J$5,8,FALSE)))</f>
        <v>-20</v>
      </c>
      <c r="R1148" s="9">
        <f>IF(AND($A1148&gt;VLOOKUP(YEAR($A1148),'Festive dates'!$A$2:$J$5,2,FALSE),$A1148&lt;VLOOKUP(YEAR($A1148),'Festive dates'!$A$2:$J$5,3,FALSE)),1,0)</f>
        <v>0</v>
      </c>
      <c r="S1148" s="9">
        <f>IF($A1148=VLOOKUP(YEAR($A1148),'Festive dates'!$A$2:$J$5,2,FALSE),1,0)</f>
        <v>0</v>
      </c>
      <c r="T1148" s="9">
        <f>IF($A1148=VLOOKUP(YEAR($A1148),'Festive dates'!$A$2:$J$5,3,FALSE),1,0)</f>
        <v>0</v>
      </c>
      <c r="U1148" s="9">
        <f>IF($A1148=VLOOKUP(YEAR($A1148),'Festive dates'!$A$2:$J$5,4,FALSE),1,0)</f>
        <v>0</v>
      </c>
      <c r="V1148" s="9">
        <f>IF(AND($A1148&gt;=VLOOKUP(YEAR($A1148),'Festive dates'!$A$2:$J$5,9,FALSE),$A1148&lt;=VLOOKUP(YEAR($A1148),'Festive dates'!$A$2:$J$5,10,FALSE)),1,0)</f>
        <v>0</v>
      </c>
      <c r="W1148" s="9">
        <f>IF($A1148=VLOOKUP(YEAR($A1148),'Festive dates'!$A$2:$J$5,7,FALSE),1,0)</f>
        <v>0</v>
      </c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</row>
    <row r="1149" spans="1:51">
      <c r="A1149" s="8">
        <v>46164</v>
      </c>
      <c r="B1149" s="9">
        <v>0</v>
      </c>
      <c r="C1149" s="9">
        <v>0</v>
      </c>
      <c r="D1149" s="9">
        <v>0</v>
      </c>
      <c r="E1149" s="9">
        <v>0</v>
      </c>
      <c r="F1149" s="9">
        <v>0</v>
      </c>
      <c r="G1149" s="9">
        <v>0</v>
      </c>
      <c r="H1149" s="9">
        <v>0</v>
      </c>
      <c r="I1149" s="9">
        <v>0</v>
      </c>
      <c r="J1149" s="9">
        <v>0</v>
      </c>
      <c r="K1149" s="9">
        <v>0</v>
      </c>
      <c r="L1149" s="9">
        <v>0</v>
      </c>
      <c r="M1149" s="9">
        <v>0</v>
      </c>
      <c r="N1149" s="9">
        <v>0</v>
      </c>
      <c r="O1149" s="9">
        <v>0</v>
      </c>
      <c r="P1149" s="9">
        <v>0</v>
      </c>
      <c r="Q1149" s="9">
        <f>MAX(-20,MIN(10,$A1149-VLOOKUP(YEAR($A1149),'Festive dates'!$A$2:$J$5,8,FALSE)))</f>
        <v>-20</v>
      </c>
      <c r="R1149" s="9">
        <f>IF(AND($A1149&gt;VLOOKUP(YEAR($A1149),'Festive dates'!$A$2:$J$5,2,FALSE),$A1149&lt;VLOOKUP(YEAR($A1149),'Festive dates'!$A$2:$J$5,3,FALSE)),1,0)</f>
        <v>0</v>
      </c>
      <c r="S1149" s="9">
        <f>IF($A1149=VLOOKUP(YEAR($A1149),'Festive dates'!$A$2:$J$5,2,FALSE),1,0)</f>
        <v>0</v>
      </c>
      <c r="T1149" s="9">
        <f>IF($A1149=VLOOKUP(YEAR($A1149),'Festive dates'!$A$2:$J$5,3,FALSE),1,0)</f>
        <v>0</v>
      </c>
      <c r="U1149" s="9">
        <f>IF($A1149=VLOOKUP(YEAR($A1149),'Festive dates'!$A$2:$J$5,4,FALSE),1,0)</f>
        <v>0</v>
      </c>
      <c r="V1149" s="9">
        <f>IF(AND($A1149&gt;=VLOOKUP(YEAR($A1149),'Festive dates'!$A$2:$J$5,9,FALSE),$A1149&lt;=VLOOKUP(YEAR($A1149),'Festive dates'!$A$2:$J$5,10,FALSE)),1,0)</f>
        <v>0</v>
      </c>
      <c r="W1149" s="9">
        <f>IF($A1149=VLOOKUP(YEAR($A1149),'Festive dates'!$A$2:$J$5,7,FALSE),1,0)</f>
        <v>0</v>
      </c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</row>
    <row r="1150" spans="1:51">
      <c r="A1150" s="8">
        <v>46165</v>
      </c>
      <c r="B1150" s="9">
        <v>0</v>
      </c>
      <c r="C1150" s="9">
        <v>0</v>
      </c>
      <c r="D1150" s="9">
        <v>0</v>
      </c>
      <c r="E1150" s="9">
        <v>0</v>
      </c>
      <c r="F1150" s="9">
        <v>0</v>
      </c>
      <c r="G1150" s="9">
        <v>0</v>
      </c>
      <c r="H1150" s="9">
        <v>0</v>
      </c>
      <c r="I1150" s="9">
        <v>0</v>
      </c>
      <c r="J1150" s="9">
        <v>0</v>
      </c>
      <c r="K1150" s="9">
        <v>0</v>
      </c>
      <c r="L1150" s="9">
        <v>0</v>
      </c>
      <c r="M1150" s="9">
        <v>0</v>
      </c>
      <c r="N1150" s="9">
        <v>0</v>
      </c>
      <c r="O1150" s="9">
        <v>0</v>
      </c>
      <c r="P1150" s="9">
        <v>0</v>
      </c>
      <c r="Q1150" s="9">
        <f>MAX(-20,MIN(10,$A1150-VLOOKUP(YEAR($A1150),'Festive dates'!$A$2:$J$5,8,FALSE)))</f>
        <v>-20</v>
      </c>
      <c r="R1150" s="9">
        <f>IF(AND($A1150&gt;VLOOKUP(YEAR($A1150),'Festive dates'!$A$2:$J$5,2,FALSE),$A1150&lt;VLOOKUP(YEAR($A1150),'Festive dates'!$A$2:$J$5,3,FALSE)),1,0)</f>
        <v>0</v>
      </c>
      <c r="S1150" s="9">
        <f>IF($A1150=VLOOKUP(YEAR($A1150),'Festive dates'!$A$2:$J$5,2,FALSE),1,0)</f>
        <v>0</v>
      </c>
      <c r="T1150" s="9">
        <f>IF($A1150=VLOOKUP(YEAR($A1150),'Festive dates'!$A$2:$J$5,3,FALSE),1,0)</f>
        <v>0</v>
      </c>
      <c r="U1150" s="9">
        <f>IF($A1150=VLOOKUP(YEAR($A1150),'Festive dates'!$A$2:$J$5,4,FALSE),1,0)</f>
        <v>0</v>
      </c>
      <c r="V1150" s="9">
        <f>IF(AND($A1150&gt;=VLOOKUP(YEAR($A1150),'Festive dates'!$A$2:$J$5,9,FALSE),$A1150&lt;=VLOOKUP(YEAR($A1150),'Festive dates'!$A$2:$J$5,10,FALSE)),1,0)</f>
        <v>0</v>
      </c>
      <c r="W1150" s="9">
        <f>IF($A1150=VLOOKUP(YEAR($A1150),'Festive dates'!$A$2:$J$5,7,FALSE),1,0)</f>
        <v>0</v>
      </c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</row>
    <row r="1151" spans="1:51">
      <c r="A1151" s="8">
        <v>46166</v>
      </c>
      <c r="B1151" s="9">
        <v>0</v>
      </c>
      <c r="C1151" s="9">
        <v>0</v>
      </c>
      <c r="D1151" s="9">
        <v>0</v>
      </c>
      <c r="E1151" s="9">
        <v>0</v>
      </c>
      <c r="F1151" s="9">
        <v>0</v>
      </c>
      <c r="G1151" s="9">
        <v>0</v>
      </c>
      <c r="H1151" s="9">
        <v>0</v>
      </c>
      <c r="I1151" s="9">
        <v>0</v>
      </c>
      <c r="J1151" s="9">
        <v>0</v>
      </c>
      <c r="K1151" s="9">
        <v>0</v>
      </c>
      <c r="L1151" s="9">
        <v>0</v>
      </c>
      <c r="M1151" s="9">
        <v>0</v>
      </c>
      <c r="N1151" s="9">
        <v>0</v>
      </c>
      <c r="O1151" s="9">
        <v>0</v>
      </c>
      <c r="P1151" s="9">
        <v>0</v>
      </c>
      <c r="Q1151" s="9">
        <f>MAX(-20,MIN(10,$A1151-VLOOKUP(YEAR($A1151),'Festive dates'!$A$2:$J$5,8,FALSE)))</f>
        <v>-20</v>
      </c>
      <c r="R1151" s="9">
        <f>IF(AND($A1151&gt;VLOOKUP(YEAR($A1151),'Festive dates'!$A$2:$J$5,2,FALSE),$A1151&lt;VLOOKUP(YEAR($A1151),'Festive dates'!$A$2:$J$5,3,FALSE)),1,0)</f>
        <v>0</v>
      </c>
      <c r="S1151" s="9">
        <f>IF($A1151=VLOOKUP(YEAR($A1151),'Festive dates'!$A$2:$J$5,2,FALSE),1,0)</f>
        <v>0</v>
      </c>
      <c r="T1151" s="9">
        <f>IF($A1151=VLOOKUP(YEAR($A1151),'Festive dates'!$A$2:$J$5,3,FALSE),1,0)</f>
        <v>0</v>
      </c>
      <c r="U1151" s="9">
        <f>IF($A1151=VLOOKUP(YEAR($A1151),'Festive dates'!$A$2:$J$5,4,FALSE),1,0)</f>
        <v>0</v>
      </c>
      <c r="V1151" s="9">
        <f>IF(AND($A1151&gt;=VLOOKUP(YEAR($A1151),'Festive dates'!$A$2:$J$5,9,FALSE),$A1151&lt;=VLOOKUP(YEAR($A1151),'Festive dates'!$A$2:$J$5,10,FALSE)),1,0)</f>
        <v>0</v>
      </c>
      <c r="W1151" s="9">
        <f>IF($A1151=VLOOKUP(YEAR($A1151),'Festive dates'!$A$2:$J$5,7,FALSE),1,0)</f>
        <v>0</v>
      </c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</row>
    <row r="1152" spans="1:51">
      <c r="A1152" s="8">
        <v>46167</v>
      </c>
      <c r="B1152" s="9">
        <v>0</v>
      </c>
      <c r="C1152" s="9">
        <v>0</v>
      </c>
      <c r="D1152" s="9">
        <v>0</v>
      </c>
      <c r="E1152" s="9">
        <v>0</v>
      </c>
      <c r="F1152" s="9">
        <v>0</v>
      </c>
      <c r="G1152" s="9">
        <v>0</v>
      </c>
      <c r="H1152" s="9">
        <v>0</v>
      </c>
      <c r="I1152" s="9">
        <v>0</v>
      </c>
      <c r="J1152" s="9">
        <v>0</v>
      </c>
      <c r="K1152" s="9">
        <v>1</v>
      </c>
      <c r="L1152" s="9">
        <v>0</v>
      </c>
      <c r="M1152" s="9">
        <v>0</v>
      </c>
      <c r="N1152" s="9">
        <v>0</v>
      </c>
      <c r="O1152" s="9">
        <v>0</v>
      </c>
      <c r="P1152" s="9">
        <v>0</v>
      </c>
      <c r="Q1152" s="9">
        <f>MAX(-20,MIN(10,$A1152-VLOOKUP(YEAR($A1152),'Festive dates'!$A$2:$J$5,8,FALSE)))</f>
        <v>-20</v>
      </c>
      <c r="R1152" s="9">
        <f>IF(AND($A1152&gt;VLOOKUP(YEAR($A1152),'Festive dates'!$A$2:$J$5,2,FALSE),$A1152&lt;VLOOKUP(YEAR($A1152),'Festive dates'!$A$2:$J$5,3,FALSE)),1,0)</f>
        <v>0</v>
      </c>
      <c r="S1152" s="9">
        <f>IF($A1152=VLOOKUP(YEAR($A1152),'Festive dates'!$A$2:$J$5,2,FALSE),1,0)</f>
        <v>0</v>
      </c>
      <c r="T1152" s="9">
        <f>IF($A1152=VLOOKUP(YEAR($A1152),'Festive dates'!$A$2:$J$5,3,FALSE),1,0)</f>
        <v>0</v>
      </c>
      <c r="U1152" s="9">
        <f>IF($A1152=VLOOKUP(YEAR($A1152),'Festive dates'!$A$2:$J$5,4,FALSE),1,0)</f>
        <v>0</v>
      </c>
      <c r="V1152" s="9">
        <f>IF(AND($A1152&gt;=VLOOKUP(YEAR($A1152),'Festive dates'!$A$2:$J$5,9,FALSE),$A1152&lt;=VLOOKUP(YEAR($A1152),'Festive dates'!$A$2:$J$5,10,FALSE)),1,0)</f>
        <v>0</v>
      </c>
      <c r="W1152" s="9">
        <f>IF($A1152=VLOOKUP(YEAR($A1152),'Festive dates'!$A$2:$J$5,7,FALSE),1,0)</f>
        <v>0</v>
      </c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</row>
    <row r="1153" spans="1:51">
      <c r="A1153" s="8">
        <v>46168</v>
      </c>
      <c r="B1153" s="9">
        <v>0</v>
      </c>
      <c r="C1153" s="9">
        <v>0</v>
      </c>
      <c r="D1153" s="9">
        <v>0</v>
      </c>
      <c r="E1153" s="9">
        <v>0</v>
      </c>
      <c r="F1153" s="9">
        <v>0</v>
      </c>
      <c r="G1153" s="9">
        <v>0</v>
      </c>
      <c r="H1153" s="9">
        <v>0</v>
      </c>
      <c r="I1153" s="9">
        <v>0</v>
      </c>
      <c r="J1153" s="9">
        <v>0</v>
      </c>
      <c r="K1153" s="9">
        <v>0</v>
      </c>
      <c r="L1153" s="9">
        <v>0</v>
      </c>
      <c r="M1153" s="9">
        <v>0</v>
      </c>
      <c r="N1153" s="9">
        <v>0</v>
      </c>
      <c r="O1153" s="9">
        <v>0</v>
      </c>
      <c r="P1153" s="9">
        <v>0</v>
      </c>
      <c r="Q1153" s="9">
        <f>MAX(-20,MIN(10,$A1153-VLOOKUP(YEAR($A1153),'Festive dates'!$A$2:$J$5,8,FALSE)))</f>
        <v>-20</v>
      </c>
      <c r="R1153" s="9">
        <f>IF(AND($A1153&gt;VLOOKUP(YEAR($A1153),'Festive dates'!$A$2:$J$5,2,FALSE),$A1153&lt;VLOOKUP(YEAR($A1153),'Festive dates'!$A$2:$J$5,3,FALSE)),1,0)</f>
        <v>0</v>
      </c>
      <c r="S1153" s="9">
        <f>IF($A1153=VLOOKUP(YEAR($A1153),'Festive dates'!$A$2:$J$5,2,FALSE),1,0)</f>
        <v>0</v>
      </c>
      <c r="T1153" s="9">
        <f>IF($A1153=VLOOKUP(YEAR($A1153),'Festive dates'!$A$2:$J$5,3,FALSE),1,0)</f>
        <v>0</v>
      </c>
      <c r="U1153" s="9">
        <f>IF($A1153=VLOOKUP(YEAR($A1153),'Festive dates'!$A$2:$J$5,4,FALSE),1,0)</f>
        <v>0</v>
      </c>
      <c r="V1153" s="9">
        <f>IF(AND($A1153&gt;=VLOOKUP(YEAR($A1153),'Festive dates'!$A$2:$J$5,9,FALSE),$A1153&lt;=VLOOKUP(YEAR($A1153),'Festive dates'!$A$2:$J$5,10,FALSE)),1,0)</f>
        <v>0</v>
      </c>
      <c r="W1153" s="9">
        <f>IF($A1153=VLOOKUP(YEAR($A1153),'Festive dates'!$A$2:$J$5,7,FALSE),1,0)</f>
        <v>0</v>
      </c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</row>
    <row r="1154" spans="1:51">
      <c r="A1154" s="8">
        <v>46169</v>
      </c>
      <c r="B1154" s="9">
        <v>0</v>
      </c>
      <c r="C1154" s="9">
        <v>0</v>
      </c>
      <c r="D1154" s="9">
        <v>0</v>
      </c>
      <c r="E1154" s="9">
        <v>0</v>
      </c>
      <c r="F1154" s="9">
        <v>0</v>
      </c>
      <c r="G1154" s="9">
        <v>0</v>
      </c>
      <c r="H1154" s="9">
        <v>0</v>
      </c>
      <c r="I1154" s="9">
        <v>0</v>
      </c>
      <c r="J1154" s="9">
        <v>0</v>
      </c>
      <c r="K1154" s="9">
        <v>0</v>
      </c>
      <c r="L1154" s="9">
        <v>0</v>
      </c>
      <c r="M1154" s="9">
        <v>0</v>
      </c>
      <c r="N1154" s="9">
        <v>0</v>
      </c>
      <c r="O1154" s="9">
        <v>0</v>
      </c>
      <c r="P1154" s="9">
        <v>0</v>
      </c>
      <c r="Q1154" s="9">
        <f>MAX(-20,MIN(10,$A1154-VLOOKUP(YEAR($A1154),'Festive dates'!$A$2:$J$5,8,FALSE)))</f>
        <v>-20</v>
      </c>
      <c r="R1154" s="9">
        <f>IF(AND($A1154&gt;VLOOKUP(YEAR($A1154),'Festive dates'!$A$2:$J$5,2,FALSE),$A1154&lt;VLOOKUP(YEAR($A1154),'Festive dates'!$A$2:$J$5,3,FALSE)),1,0)</f>
        <v>0</v>
      </c>
      <c r="S1154" s="9">
        <f>IF($A1154=VLOOKUP(YEAR($A1154),'Festive dates'!$A$2:$J$5,2,FALSE),1,0)</f>
        <v>0</v>
      </c>
      <c r="T1154" s="9">
        <f>IF($A1154=VLOOKUP(YEAR($A1154),'Festive dates'!$A$2:$J$5,3,FALSE),1,0)</f>
        <v>0</v>
      </c>
      <c r="U1154" s="9">
        <f>IF($A1154=VLOOKUP(YEAR($A1154),'Festive dates'!$A$2:$J$5,4,FALSE),1,0)</f>
        <v>0</v>
      </c>
      <c r="V1154" s="9">
        <f>IF(AND($A1154&gt;=VLOOKUP(YEAR($A1154),'Festive dates'!$A$2:$J$5,9,FALSE),$A1154&lt;=VLOOKUP(YEAR($A1154),'Festive dates'!$A$2:$J$5,10,FALSE)),1,0)</f>
        <v>0</v>
      </c>
      <c r="W1154" s="9">
        <f>IF($A1154=VLOOKUP(YEAR($A1154),'Festive dates'!$A$2:$J$5,7,FALSE),1,0)</f>
        <v>0</v>
      </c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</row>
    <row r="1155" spans="1:51">
      <c r="A1155" s="8">
        <v>46170</v>
      </c>
      <c r="B1155" s="9">
        <v>0</v>
      </c>
      <c r="C1155" s="9">
        <v>0</v>
      </c>
      <c r="D1155" s="9">
        <v>0</v>
      </c>
      <c r="E1155" s="9">
        <v>0</v>
      </c>
      <c r="F1155" s="9">
        <v>0</v>
      </c>
      <c r="G1155" s="9">
        <v>0</v>
      </c>
      <c r="H1155" s="9">
        <v>0</v>
      </c>
      <c r="I1155" s="9">
        <v>0</v>
      </c>
      <c r="J1155" s="9">
        <v>0</v>
      </c>
      <c r="K1155" s="9">
        <v>0</v>
      </c>
      <c r="L1155" s="9">
        <v>0</v>
      </c>
      <c r="M1155" s="9">
        <v>0</v>
      </c>
      <c r="N1155" s="9">
        <v>0</v>
      </c>
      <c r="O1155" s="9">
        <v>0</v>
      </c>
      <c r="P1155" s="9">
        <v>0</v>
      </c>
      <c r="Q1155" s="9">
        <f>MAX(-20,MIN(10,$A1155-VLOOKUP(YEAR($A1155),'Festive dates'!$A$2:$J$5,8,FALSE)))</f>
        <v>-20</v>
      </c>
      <c r="R1155" s="9">
        <f>IF(AND($A1155&gt;VLOOKUP(YEAR($A1155),'Festive dates'!$A$2:$J$5,2,FALSE),$A1155&lt;VLOOKUP(YEAR($A1155),'Festive dates'!$A$2:$J$5,3,FALSE)),1,0)</f>
        <v>0</v>
      </c>
      <c r="S1155" s="9">
        <f>IF($A1155=VLOOKUP(YEAR($A1155),'Festive dates'!$A$2:$J$5,2,FALSE),1,0)</f>
        <v>0</v>
      </c>
      <c r="T1155" s="9">
        <f>IF($A1155=VLOOKUP(YEAR($A1155),'Festive dates'!$A$2:$J$5,3,FALSE),1,0)</f>
        <v>0</v>
      </c>
      <c r="U1155" s="9">
        <f>IF($A1155=VLOOKUP(YEAR($A1155),'Festive dates'!$A$2:$J$5,4,FALSE),1,0)</f>
        <v>0</v>
      </c>
      <c r="V1155" s="9">
        <f>IF(AND($A1155&gt;=VLOOKUP(YEAR($A1155),'Festive dates'!$A$2:$J$5,9,FALSE),$A1155&lt;=VLOOKUP(YEAR($A1155),'Festive dates'!$A$2:$J$5,10,FALSE)),1,0)</f>
        <v>0</v>
      </c>
      <c r="W1155" s="9">
        <f>IF($A1155=VLOOKUP(YEAR($A1155),'Festive dates'!$A$2:$J$5,7,FALSE),1,0)</f>
        <v>0</v>
      </c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</row>
    <row r="1156" spans="1:51">
      <c r="A1156" s="8">
        <v>46171</v>
      </c>
      <c r="B1156" s="9">
        <v>0</v>
      </c>
      <c r="C1156" s="9">
        <v>0</v>
      </c>
      <c r="D1156" s="9">
        <v>0</v>
      </c>
      <c r="E1156" s="9">
        <v>0</v>
      </c>
      <c r="F1156" s="9">
        <v>0</v>
      </c>
      <c r="G1156" s="9">
        <v>0</v>
      </c>
      <c r="H1156" s="9">
        <v>0</v>
      </c>
      <c r="I1156" s="9">
        <v>0</v>
      </c>
      <c r="J1156" s="9">
        <v>0</v>
      </c>
      <c r="K1156" s="9">
        <v>0</v>
      </c>
      <c r="L1156" s="9">
        <v>0</v>
      </c>
      <c r="M1156" s="9">
        <v>0</v>
      </c>
      <c r="N1156" s="9">
        <v>0</v>
      </c>
      <c r="O1156" s="9">
        <v>0</v>
      </c>
      <c r="P1156" s="9">
        <v>0</v>
      </c>
      <c r="Q1156" s="9">
        <f>MAX(-20,MIN(10,$A1156-VLOOKUP(YEAR($A1156),'Festive dates'!$A$2:$J$5,8,FALSE)))</f>
        <v>-20</v>
      </c>
      <c r="R1156" s="9">
        <f>IF(AND($A1156&gt;VLOOKUP(YEAR($A1156),'Festive dates'!$A$2:$J$5,2,FALSE),$A1156&lt;VLOOKUP(YEAR($A1156),'Festive dates'!$A$2:$J$5,3,FALSE)),1,0)</f>
        <v>0</v>
      </c>
      <c r="S1156" s="9">
        <f>IF($A1156=VLOOKUP(YEAR($A1156),'Festive dates'!$A$2:$J$5,2,FALSE),1,0)</f>
        <v>0</v>
      </c>
      <c r="T1156" s="9">
        <f>IF($A1156=VLOOKUP(YEAR($A1156),'Festive dates'!$A$2:$J$5,3,FALSE),1,0)</f>
        <v>0</v>
      </c>
      <c r="U1156" s="9">
        <f>IF($A1156=VLOOKUP(YEAR($A1156),'Festive dates'!$A$2:$J$5,4,FALSE),1,0)</f>
        <v>0</v>
      </c>
      <c r="V1156" s="9">
        <f>IF(AND($A1156&gt;=VLOOKUP(YEAR($A1156),'Festive dates'!$A$2:$J$5,9,FALSE),$A1156&lt;=VLOOKUP(YEAR($A1156),'Festive dates'!$A$2:$J$5,10,FALSE)),1,0)</f>
        <v>0</v>
      </c>
      <c r="W1156" s="9">
        <f>IF($A1156=VLOOKUP(YEAR($A1156),'Festive dates'!$A$2:$J$5,7,FALSE),1,0)</f>
        <v>0</v>
      </c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</row>
    <row r="1157" spans="1:51">
      <c r="A1157" s="8">
        <v>46172</v>
      </c>
      <c r="B1157" s="9">
        <v>0</v>
      </c>
      <c r="C1157" s="9">
        <v>0</v>
      </c>
      <c r="D1157" s="9">
        <v>0</v>
      </c>
      <c r="E1157" s="9">
        <v>0</v>
      </c>
      <c r="F1157" s="9">
        <v>0</v>
      </c>
      <c r="G1157" s="9">
        <v>0</v>
      </c>
      <c r="H1157" s="9">
        <v>0</v>
      </c>
      <c r="I1157" s="9">
        <v>0</v>
      </c>
      <c r="J1157" s="9">
        <v>0</v>
      </c>
      <c r="K1157" s="9">
        <v>0</v>
      </c>
      <c r="L1157" s="9">
        <v>0</v>
      </c>
      <c r="M1157" s="9">
        <v>0</v>
      </c>
      <c r="N1157" s="9">
        <v>0</v>
      </c>
      <c r="O1157" s="9">
        <v>0</v>
      </c>
      <c r="P1157" s="9">
        <v>0</v>
      </c>
      <c r="Q1157" s="9">
        <f>MAX(-20,MIN(10,$A1157-VLOOKUP(YEAR($A1157),'Festive dates'!$A$2:$J$5,8,FALSE)))</f>
        <v>-20</v>
      </c>
      <c r="R1157" s="9">
        <f>IF(AND($A1157&gt;VLOOKUP(YEAR($A1157),'Festive dates'!$A$2:$J$5,2,FALSE),$A1157&lt;VLOOKUP(YEAR($A1157),'Festive dates'!$A$2:$J$5,3,FALSE)),1,0)</f>
        <v>0</v>
      </c>
      <c r="S1157" s="9">
        <f>IF($A1157=VLOOKUP(YEAR($A1157),'Festive dates'!$A$2:$J$5,2,FALSE),1,0)</f>
        <v>0</v>
      </c>
      <c r="T1157" s="9">
        <f>IF($A1157=VLOOKUP(YEAR($A1157),'Festive dates'!$A$2:$J$5,3,FALSE),1,0)</f>
        <v>0</v>
      </c>
      <c r="U1157" s="9">
        <f>IF($A1157=VLOOKUP(YEAR($A1157),'Festive dates'!$A$2:$J$5,4,FALSE),1,0)</f>
        <v>0</v>
      </c>
      <c r="V1157" s="9">
        <f>IF(AND($A1157&gt;=VLOOKUP(YEAR($A1157),'Festive dates'!$A$2:$J$5,9,FALSE),$A1157&lt;=VLOOKUP(YEAR($A1157),'Festive dates'!$A$2:$J$5,10,FALSE)),1,0)</f>
        <v>0</v>
      </c>
      <c r="W1157" s="9">
        <f>IF($A1157=VLOOKUP(YEAR($A1157),'Festive dates'!$A$2:$J$5,7,FALSE),1,0)</f>
        <v>0</v>
      </c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</row>
    <row r="1158" spans="1:51">
      <c r="A1158" s="8">
        <v>46173</v>
      </c>
      <c r="B1158" s="9">
        <v>0</v>
      </c>
      <c r="C1158" s="9">
        <v>0</v>
      </c>
      <c r="D1158" s="9">
        <v>0</v>
      </c>
      <c r="E1158" s="9">
        <v>0</v>
      </c>
      <c r="F1158" s="9">
        <v>0</v>
      </c>
      <c r="G1158" s="9">
        <v>0</v>
      </c>
      <c r="H1158" s="9">
        <v>0</v>
      </c>
      <c r="I1158" s="9">
        <v>0</v>
      </c>
      <c r="J1158" s="9">
        <v>0</v>
      </c>
      <c r="K1158" s="9">
        <v>0</v>
      </c>
      <c r="L1158" s="9">
        <v>0</v>
      </c>
      <c r="M1158" s="9">
        <v>0</v>
      </c>
      <c r="N1158" s="9">
        <v>0</v>
      </c>
      <c r="O1158" s="9">
        <v>0</v>
      </c>
      <c r="P1158" s="9">
        <v>0</v>
      </c>
      <c r="Q1158" s="9">
        <f>MAX(-20,MIN(10,$A1158-VLOOKUP(YEAR($A1158),'Festive dates'!$A$2:$J$5,8,FALSE)))</f>
        <v>-20</v>
      </c>
      <c r="R1158" s="9">
        <f>IF(AND($A1158&gt;VLOOKUP(YEAR($A1158),'Festive dates'!$A$2:$J$5,2,FALSE),$A1158&lt;VLOOKUP(YEAR($A1158),'Festive dates'!$A$2:$J$5,3,FALSE)),1,0)</f>
        <v>0</v>
      </c>
      <c r="S1158" s="9">
        <f>IF($A1158=VLOOKUP(YEAR($A1158),'Festive dates'!$A$2:$J$5,2,FALSE),1,0)</f>
        <v>0</v>
      </c>
      <c r="T1158" s="9">
        <f>IF($A1158=VLOOKUP(YEAR($A1158),'Festive dates'!$A$2:$J$5,3,FALSE),1,0)</f>
        <v>0</v>
      </c>
      <c r="U1158" s="9">
        <f>IF($A1158=VLOOKUP(YEAR($A1158),'Festive dates'!$A$2:$J$5,4,FALSE),1,0)</f>
        <v>0</v>
      </c>
      <c r="V1158" s="9">
        <f>IF(AND($A1158&gt;=VLOOKUP(YEAR($A1158),'Festive dates'!$A$2:$J$5,9,FALSE),$A1158&lt;=VLOOKUP(YEAR($A1158),'Festive dates'!$A$2:$J$5,10,FALSE)),1,0)</f>
        <v>0</v>
      </c>
      <c r="W1158" s="9">
        <f>IF($A1158=VLOOKUP(YEAR($A1158),'Festive dates'!$A$2:$J$5,7,FALSE),1,0)</f>
        <v>0</v>
      </c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  <c r="AV1158" s="1"/>
      <c r="AW1158" s="1"/>
      <c r="AX1158" s="1"/>
      <c r="AY1158" s="1"/>
    </row>
    <row r="1159" spans="1:51">
      <c r="A1159" s="8">
        <v>46174</v>
      </c>
      <c r="B1159" s="9">
        <v>0</v>
      </c>
      <c r="C1159" s="9">
        <v>0</v>
      </c>
      <c r="D1159" s="9">
        <v>0</v>
      </c>
      <c r="E1159" s="9">
        <v>0</v>
      </c>
      <c r="F1159" s="9">
        <v>0</v>
      </c>
      <c r="G1159" s="9">
        <v>0</v>
      </c>
      <c r="H1159" s="9">
        <v>0</v>
      </c>
      <c r="I1159" s="9">
        <v>0</v>
      </c>
      <c r="J1159" s="9">
        <v>0</v>
      </c>
      <c r="K1159" s="9">
        <v>0</v>
      </c>
      <c r="L1159" s="9">
        <v>0</v>
      </c>
      <c r="M1159" s="9">
        <v>0</v>
      </c>
      <c r="N1159" s="9">
        <v>0</v>
      </c>
      <c r="O1159" s="9">
        <v>0</v>
      </c>
      <c r="P1159" s="9">
        <v>0</v>
      </c>
      <c r="Q1159" s="9">
        <f>MAX(-20,MIN(10,$A1159-VLOOKUP(YEAR($A1159),'Festive dates'!$A$2:$J$5,8,FALSE)))</f>
        <v>-20</v>
      </c>
      <c r="R1159" s="9">
        <f>IF(AND($A1159&gt;VLOOKUP(YEAR($A1159),'Festive dates'!$A$2:$J$5,2,FALSE),$A1159&lt;VLOOKUP(YEAR($A1159),'Festive dates'!$A$2:$J$5,3,FALSE)),1,0)</f>
        <v>0</v>
      </c>
      <c r="S1159" s="9">
        <f>IF($A1159=VLOOKUP(YEAR($A1159),'Festive dates'!$A$2:$J$5,2,FALSE),1,0)</f>
        <v>0</v>
      </c>
      <c r="T1159" s="9">
        <f>IF($A1159=VLOOKUP(YEAR($A1159),'Festive dates'!$A$2:$J$5,3,FALSE),1,0)</f>
        <v>0</v>
      </c>
      <c r="U1159" s="9">
        <f>IF($A1159=VLOOKUP(YEAR($A1159),'Festive dates'!$A$2:$J$5,4,FALSE),1,0)</f>
        <v>0</v>
      </c>
      <c r="V1159" s="9">
        <f>IF(AND($A1159&gt;=VLOOKUP(YEAR($A1159),'Festive dates'!$A$2:$J$5,9,FALSE),$A1159&lt;=VLOOKUP(YEAR($A1159),'Festive dates'!$A$2:$J$5,10,FALSE)),1,0)</f>
        <v>0</v>
      </c>
      <c r="W1159" s="9">
        <f>IF($A1159=VLOOKUP(YEAR($A1159),'Festive dates'!$A$2:$J$5,7,FALSE),1,0)</f>
        <v>0</v>
      </c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  <c r="AV1159" s="1"/>
      <c r="AW1159" s="1"/>
      <c r="AX1159" s="1"/>
      <c r="AY1159" s="1"/>
    </row>
    <row r="1160" spans="1:51">
      <c r="A1160" s="8">
        <v>46175</v>
      </c>
      <c r="B1160" s="9">
        <v>0</v>
      </c>
      <c r="C1160" s="9">
        <v>0</v>
      </c>
      <c r="D1160" s="9">
        <v>0</v>
      </c>
      <c r="E1160" s="9">
        <v>0</v>
      </c>
      <c r="F1160" s="9">
        <v>0</v>
      </c>
      <c r="G1160" s="9">
        <v>0</v>
      </c>
      <c r="H1160" s="9">
        <v>0</v>
      </c>
      <c r="I1160" s="9">
        <v>0</v>
      </c>
      <c r="J1160" s="9">
        <v>0</v>
      </c>
      <c r="K1160" s="9">
        <v>0</v>
      </c>
      <c r="L1160" s="9">
        <v>0</v>
      </c>
      <c r="M1160" s="9">
        <v>0</v>
      </c>
      <c r="N1160" s="9">
        <v>0</v>
      </c>
      <c r="O1160" s="9">
        <v>0</v>
      </c>
      <c r="P1160" s="9">
        <v>0</v>
      </c>
      <c r="Q1160" s="9">
        <f>MAX(-20,MIN(10,$A1160-VLOOKUP(YEAR($A1160),'Festive dates'!$A$2:$J$5,8,FALSE)))</f>
        <v>-20</v>
      </c>
      <c r="R1160" s="9">
        <f>IF(AND($A1160&gt;VLOOKUP(YEAR($A1160),'Festive dates'!$A$2:$J$5,2,FALSE),$A1160&lt;VLOOKUP(YEAR($A1160),'Festive dates'!$A$2:$J$5,3,FALSE)),1,0)</f>
        <v>0</v>
      </c>
      <c r="S1160" s="9">
        <f>IF($A1160=VLOOKUP(YEAR($A1160),'Festive dates'!$A$2:$J$5,2,FALSE),1,0)</f>
        <v>0</v>
      </c>
      <c r="T1160" s="9">
        <f>IF($A1160=VLOOKUP(YEAR($A1160),'Festive dates'!$A$2:$J$5,3,FALSE),1,0)</f>
        <v>0</v>
      </c>
      <c r="U1160" s="9">
        <f>IF($A1160=VLOOKUP(YEAR($A1160),'Festive dates'!$A$2:$J$5,4,FALSE),1,0)</f>
        <v>0</v>
      </c>
      <c r="V1160" s="9">
        <f>IF(AND($A1160&gt;=VLOOKUP(YEAR($A1160),'Festive dates'!$A$2:$J$5,9,FALSE),$A1160&lt;=VLOOKUP(YEAR($A1160),'Festive dates'!$A$2:$J$5,10,FALSE)),1,0)</f>
        <v>0</v>
      </c>
      <c r="W1160" s="9">
        <f>IF($A1160=VLOOKUP(YEAR($A1160),'Festive dates'!$A$2:$J$5,7,FALSE),1,0)</f>
        <v>0</v>
      </c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  <c r="AV1160" s="1"/>
      <c r="AW1160" s="1"/>
      <c r="AX1160" s="1"/>
      <c r="AY1160" s="1"/>
    </row>
    <row r="1161" spans="1:51">
      <c r="A1161" s="8">
        <v>46176</v>
      </c>
      <c r="B1161" s="9">
        <v>0</v>
      </c>
      <c r="C1161" s="9">
        <v>0</v>
      </c>
      <c r="D1161" s="9">
        <v>0</v>
      </c>
      <c r="E1161" s="9">
        <v>0</v>
      </c>
      <c r="F1161" s="9">
        <v>0</v>
      </c>
      <c r="G1161" s="9">
        <v>0</v>
      </c>
      <c r="H1161" s="9">
        <v>0</v>
      </c>
      <c r="I1161" s="9">
        <v>0</v>
      </c>
      <c r="J1161" s="9">
        <v>0</v>
      </c>
      <c r="K1161" s="9">
        <v>0</v>
      </c>
      <c r="L1161" s="9">
        <v>0</v>
      </c>
      <c r="M1161" s="9">
        <v>0</v>
      </c>
      <c r="N1161" s="9">
        <v>0</v>
      </c>
      <c r="O1161" s="9">
        <v>0</v>
      </c>
      <c r="P1161" s="9">
        <v>0</v>
      </c>
      <c r="Q1161" s="9">
        <f>MAX(-20,MIN(10,$A1161-VLOOKUP(YEAR($A1161),'Festive dates'!$A$2:$J$5,8,FALSE)))</f>
        <v>-20</v>
      </c>
      <c r="R1161" s="9">
        <f>IF(AND($A1161&gt;VLOOKUP(YEAR($A1161),'Festive dates'!$A$2:$J$5,2,FALSE),$A1161&lt;VLOOKUP(YEAR($A1161),'Festive dates'!$A$2:$J$5,3,FALSE)),1,0)</f>
        <v>0</v>
      </c>
      <c r="S1161" s="9">
        <f>IF($A1161=VLOOKUP(YEAR($A1161),'Festive dates'!$A$2:$J$5,2,FALSE),1,0)</f>
        <v>0</v>
      </c>
      <c r="T1161" s="9">
        <f>IF($A1161=VLOOKUP(YEAR($A1161),'Festive dates'!$A$2:$J$5,3,FALSE),1,0)</f>
        <v>0</v>
      </c>
      <c r="U1161" s="9">
        <f>IF($A1161=VLOOKUP(YEAR($A1161),'Festive dates'!$A$2:$J$5,4,FALSE),1,0)</f>
        <v>0</v>
      </c>
      <c r="V1161" s="9">
        <f>IF(AND($A1161&gt;=VLOOKUP(YEAR($A1161),'Festive dates'!$A$2:$J$5,9,FALSE),$A1161&lt;=VLOOKUP(YEAR($A1161),'Festive dates'!$A$2:$J$5,10,FALSE)),1,0)</f>
        <v>0</v>
      </c>
      <c r="W1161" s="9">
        <f>IF($A1161=VLOOKUP(YEAR($A1161),'Festive dates'!$A$2:$J$5,7,FALSE),1,0)</f>
        <v>0</v>
      </c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  <c r="AV1161" s="1"/>
      <c r="AW1161" s="1"/>
      <c r="AX1161" s="1"/>
      <c r="AY1161" s="1"/>
    </row>
    <row r="1162" spans="1:51">
      <c r="A1162" s="8">
        <v>46177</v>
      </c>
      <c r="B1162" s="9">
        <v>0</v>
      </c>
      <c r="C1162" s="9">
        <v>0</v>
      </c>
      <c r="D1162" s="9">
        <v>0</v>
      </c>
      <c r="E1162" s="9">
        <v>0</v>
      </c>
      <c r="F1162" s="9">
        <v>0</v>
      </c>
      <c r="G1162" s="9">
        <v>0</v>
      </c>
      <c r="H1162" s="9">
        <v>0</v>
      </c>
      <c r="I1162" s="9">
        <v>0</v>
      </c>
      <c r="J1162" s="9">
        <v>0</v>
      </c>
      <c r="K1162" s="9">
        <v>0</v>
      </c>
      <c r="L1162" s="9">
        <v>0</v>
      </c>
      <c r="M1162" s="9">
        <v>0</v>
      </c>
      <c r="N1162" s="9">
        <v>0</v>
      </c>
      <c r="O1162" s="9">
        <v>0</v>
      </c>
      <c r="P1162" s="9">
        <v>0</v>
      </c>
      <c r="Q1162" s="9">
        <f>MAX(-20,MIN(10,$A1162-VLOOKUP(YEAR($A1162),'Festive dates'!$A$2:$J$5,8,FALSE)))</f>
        <v>-20</v>
      </c>
      <c r="R1162" s="9">
        <f>IF(AND($A1162&gt;VLOOKUP(YEAR($A1162),'Festive dates'!$A$2:$J$5,2,FALSE),$A1162&lt;VLOOKUP(YEAR($A1162),'Festive dates'!$A$2:$J$5,3,FALSE)),1,0)</f>
        <v>0</v>
      </c>
      <c r="S1162" s="9">
        <f>IF($A1162=VLOOKUP(YEAR($A1162),'Festive dates'!$A$2:$J$5,2,FALSE),1,0)</f>
        <v>0</v>
      </c>
      <c r="T1162" s="9">
        <f>IF($A1162=VLOOKUP(YEAR($A1162),'Festive dates'!$A$2:$J$5,3,FALSE),1,0)</f>
        <v>0</v>
      </c>
      <c r="U1162" s="9">
        <f>IF($A1162=VLOOKUP(YEAR($A1162),'Festive dates'!$A$2:$J$5,4,FALSE),1,0)</f>
        <v>0</v>
      </c>
      <c r="V1162" s="9">
        <f>IF(AND($A1162&gt;=VLOOKUP(YEAR($A1162),'Festive dates'!$A$2:$J$5,9,FALSE),$A1162&lt;=VLOOKUP(YEAR($A1162),'Festive dates'!$A$2:$J$5,10,FALSE)),1,0)</f>
        <v>0</v>
      </c>
      <c r="W1162" s="9">
        <f>IF($A1162=VLOOKUP(YEAR($A1162),'Festive dates'!$A$2:$J$5,7,FALSE),1,0)</f>
        <v>0</v>
      </c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  <c r="AV1162" s="1"/>
      <c r="AW1162" s="1"/>
      <c r="AX1162" s="1"/>
      <c r="AY1162" s="1"/>
    </row>
    <row r="1163" spans="1:51">
      <c r="A1163" s="8">
        <v>46178</v>
      </c>
      <c r="B1163" s="9">
        <v>0</v>
      </c>
      <c r="C1163" s="9">
        <v>0</v>
      </c>
      <c r="D1163" s="9">
        <v>0</v>
      </c>
      <c r="E1163" s="9">
        <v>0</v>
      </c>
      <c r="F1163" s="9">
        <v>0</v>
      </c>
      <c r="G1163" s="9">
        <v>0</v>
      </c>
      <c r="H1163" s="9">
        <v>0</v>
      </c>
      <c r="I1163" s="9">
        <v>0</v>
      </c>
      <c r="J1163" s="9">
        <v>0</v>
      </c>
      <c r="K1163" s="9">
        <v>0</v>
      </c>
      <c r="L1163" s="9">
        <v>0</v>
      </c>
      <c r="M1163" s="9">
        <v>0</v>
      </c>
      <c r="N1163" s="9">
        <v>0</v>
      </c>
      <c r="O1163" s="9">
        <v>0</v>
      </c>
      <c r="P1163" s="9">
        <v>0</v>
      </c>
      <c r="Q1163" s="9">
        <f>MAX(-20,MIN(10,$A1163-VLOOKUP(YEAR($A1163),'Festive dates'!$A$2:$J$5,8,FALSE)))</f>
        <v>-20</v>
      </c>
      <c r="R1163" s="9">
        <f>IF(AND($A1163&gt;VLOOKUP(YEAR($A1163),'Festive dates'!$A$2:$J$5,2,FALSE),$A1163&lt;VLOOKUP(YEAR($A1163),'Festive dates'!$A$2:$J$5,3,FALSE)),1,0)</f>
        <v>0</v>
      </c>
      <c r="S1163" s="9">
        <f>IF($A1163=VLOOKUP(YEAR($A1163),'Festive dates'!$A$2:$J$5,2,FALSE),1,0)</f>
        <v>0</v>
      </c>
      <c r="T1163" s="9">
        <f>IF($A1163=VLOOKUP(YEAR($A1163),'Festive dates'!$A$2:$J$5,3,FALSE),1,0)</f>
        <v>0</v>
      </c>
      <c r="U1163" s="9">
        <f>IF($A1163=VLOOKUP(YEAR($A1163),'Festive dates'!$A$2:$J$5,4,FALSE),1,0)</f>
        <v>0</v>
      </c>
      <c r="V1163" s="9">
        <f>IF(AND($A1163&gt;=VLOOKUP(YEAR($A1163),'Festive dates'!$A$2:$J$5,9,FALSE),$A1163&lt;=VLOOKUP(YEAR($A1163),'Festive dates'!$A$2:$J$5,10,FALSE)),1,0)</f>
        <v>0</v>
      </c>
      <c r="W1163" s="9">
        <f>IF($A1163=VLOOKUP(YEAR($A1163),'Festive dates'!$A$2:$J$5,7,FALSE),1,0)</f>
        <v>0</v>
      </c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  <c r="AV1163" s="1"/>
      <c r="AW1163" s="1"/>
      <c r="AX1163" s="1"/>
      <c r="AY1163" s="1"/>
    </row>
    <row r="1164" spans="1:51">
      <c r="A1164" s="8">
        <v>46179</v>
      </c>
      <c r="B1164" s="9">
        <v>0</v>
      </c>
      <c r="C1164" s="9">
        <v>0</v>
      </c>
      <c r="D1164" s="9">
        <v>0</v>
      </c>
      <c r="E1164" s="9">
        <v>0</v>
      </c>
      <c r="F1164" s="9">
        <v>0</v>
      </c>
      <c r="G1164" s="9">
        <v>0</v>
      </c>
      <c r="H1164" s="9">
        <v>0</v>
      </c>
      <c r="I1164" s="9">
        <v>0</v>
      </c>
      <c r="J1164" s="9">
        <v>0</v>
      </c>
      <c r="K1164" s="9">
        <v>0</v>
      </c>
      <c r="L1164" s="9">
        <v>0</v>
      </c>
      <c r="M1164" s="9">
        <v>0</v>
      </c>
      <c r="N1164" s="9">
        <v>0</v>
      </c>
      <c r="O1164" s="9">
        <v>0</v>
      </c>
      <c r="P1164" s="9">
        <v>0</v>
      </c>
      <c r="Q1164" s="9">
        <f>MAX(-20,MIN(10,$A1164-VLOOKUP(YEAR($A1164),'Festive dates'!$A$2:$J$5,8,FALSE)))</f>
        <v>-20</v>
      </c>
      <c r="R1164" s="9">
        <f>IF(AND($A1164&gt;VLOOKUP(YEAR($A1164),'Festive dates'!$A$2:$J$5,2,FALSE),$A1164&lt;VLOOKUP(YEAR($A1164),'Festive dates'!$A$2:$J$5,3,FALSE)),1,0)</f>
        <v>0</v>
      </c>
      <c r="S1164" s="9">
        <f>IF($A1164=VLOOKUP(YEAR($A1164),'Festive dates'!$A$2:$J$5,2,FALSE),1,0)</f>
        <v>0</v>
      </c>
      <c r="T1164" s="9">
        <f>IF($A1164=VLOOKUP(YEAR($A1164),'Festive dates'!$A$2:$J$5,3,FALSE),1,0)</f>
        <v>0</v>
      </c>
      <c r="U1164" s="9">
        <f>IF($A1164=VLOOKUP(YEAR($A1164),'Festive dates'!$A$2:$J$5,4,FALSE),1,0)</f>
        <v>0</v>
      </c>
      <c r="V1164" s="9">
        <f>IF(AND($A1164&gt;=VLOOKUP(YEAR($A1164),'Festive dates'!$A$2:$J$5,9,FALSE),$A1164&lt;=VLOOKUP(YEAR($A1164),'Festive dates'!$A$2:$J$5,10,FALSE)),1,0)</f>
        <v>0</v>
      </c>
      <c r="W1164" s="9">
        <f>IF($A1164=VLOOKUP(YEAR($A1164),'Festive dates'!$A$2:$J$5,7,FALSE),1,0)</f>
        <v>0</v>
      </c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  <c r="AV1164" s="1"/>
      <c r="AW1164" s="1"/>
      <c r="AX1164" s="1"/>
      <c r="AY1164" s="1"/>
    </row>
    <row r="1165" spans="1:51">
      <c r="A1165" s="8">
        <v>46180</v>
      </c>
      <c r="B1165" s="9">
        <v>0</v>
      </c>
      <c r="C1165" s="9">
        <v>0</v>
      </c>
      <c r="D1165" s="9">
        <v>0</v>
      </c>
      <c r="E1165" s="9">
        <v>0</v>
      </c>
      <c r="F1165" s="9">
        <v>0</v>
      </c>
      <c r="G1165" s="9">
        <v>0</v>
      </c>
      <c r="H1165" s="9">
        <v>0</v>
      </c>
      <c r="I1165" s="9">
        <v>0</v>
      </c>
      <c r="J1165" s="9">
        <v>0</v>
      </c>
      <c r="K1165" s="9">
        <v>0</v>
      </c>
      <c r="L1165" s="9">
        <v>0</v>
      </c>
      <c r="M1165" s="9">
        <v>0</v>
      </c>
      <c r="N1165" s="9">
        <v>0</v>
      </c>
      <c r="O1165" s="9">
        <v>0</v>
      </c>
      <c r="P1165" s="9">
        <v>0</v>
      </c>
      <c r="Q1165" s="9">
        <f>MAX(-20,MIN(10,$A1165-VLOOKUP(YEAR($A1165),'Festive dates'!$A$2:$J$5,8,FALSE)))</f>
        <v>-20</v>
      </c>
      <c r="R1165" s="9">
        <f>IF(AND($A1165&gt;VLOOKUP(YEAR($A1165),'Festive dates'!$A$2:$J$5,2,FALSE),$A1165&lt;VLOOKUP(YEAR($A1165),'Festive dates'!$A$2:$J$5,3,FALSE)),1,0)</f>
        <v>0</v>
      </c>
      <c r="S1165" s="9">
        <f>IF($A1165=VLOOKUP(YEAR($A1165),'Festive dates'!$A$2:$J$5,2,FALSE),1,0)</f>
        <v>0</v>
      </c>
      <c r="T1165" s="9">
        <f>IF($A1165=VLOOKUP(YEAR($A1165),'Festive dates'!$A$2:$J$5,3,FALSE),1,0)</f>
        <v>0</v>
      </c>
      <c r="U1165" s="9">
        <f>IF($A1165=VLOOKUP(YEAR($A1165),'Festive dates'!$A$2:$J$5,4,FALSE),1,0)</f>
        <v>0</v>
      </c>
      <c r="V1165" s="9">
        <f>IF(AND($A1165&gt;=VLOOKUP(YEAR($A1165),'Festive dates'!$A$2:$J$5,9,FALSE),$A1165&lt;=VLOOKUP(YEAR($A1165),'Festive dates'!$A$2:$J$5,10,FALSE)),1,0)</f>
        <v>0</v>
      </c>
      <c r="W1165" s="9">
        <f>IF($A1165=VLOOKUP(YEAR($A1165),'Festive dates'!$A$2:$J$5,7,FALSE),1,0)</f>
        <v>0</v>
      </c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  <c r="AV1165" s="1"/>
      <c r="AW1165" s="1"/>
      <c r="AX1165" s="1"/>
      <c r="AY1165" s="1"/>
    </row>
    <row r="1166" spans="1:51">
      <c r="A1166" s="8">
        <v>46181</v>
      </c>
      <c r="B1166" s="9">
        <v>0</v>
      </c>
      <c r="C1166" s="9">
        <v>0</v>
      </c>
      <c r="D1166" s="9">
        <v>0</v>
      </c>
      <c r="E1166" s="9">
        <v>0</v>
      </c>
      <c r="F1166" s="9">
        <v>0</v>
      </c>
      <c r="G1166" s="9">
        <v>0</v>
      </c>
      <c r="H1166" s="9">
        <v>0</v>
      </c>
      <c r="I1166" s="9">
        <v>0</v>
      </c>
      <c r="J1166" s="9">
        <v>0</v>
      </c>
      <c r="K1166" s="9">
        <v>0</v>
      </c>
      <c r="L1166" s="9">
        <v>0</v>
      </c>
      <c r="M1166" s="9">
        <v>0</v>
      </c>
      <c r="N1166" s="9">
        <v>0</v>
      </c>
      <c r="O1166" s="9">
        <v>0</v>
      </c>
      <c r="P1166" s="9">
        <v>0</v>
      </c>
      <c r="Q1166" s="9">
        <f>MAX(-20,MIN(10,$A1166-VLOOKUP(YEAR($A1166),'Festive dates'!$A$2:$J$5,8,FALSE)))</f>
        <v>-20</v>
      </c>
      <c r="R1166" s="9">
        <f>IF(AND($A1166&gt;VLOOKUP(YEAR($A1166),'Festive dates'!$A$2:$J$5,2,FALSE),$A1166&lt;VLOOKUP(YEAR($A1166),'Festive dates'!$A$2:$J$5,3,FALSE)),1,0)</f>
        <v>0</v>
      </c>
      <c r="S1166" s="9">
        <f>IF($A1166=VLOOKUP(YEAR($A1166),'Festive dates'!$A$2:$J$5,2,FALSE),1,0)</f>
        <v>0</v>
      </c>
      <c r="T1166" s="9">
        <f>IF($A1166=VLOOKUP(YEAR($A1166),'Festive dates'!$A$2:$J$5,3,FALSE),1,0)</f>
        <v>0</v>
      </c>
      <c r="U1166" s="9">
        <f>IF($A1166=VLOOKUP(YEAR($A1166),'Festive dates'!$A$2:$J$5,4,FALSE),1,0)</f>
        <v>0</v>
      </c>
      <c r="V1166" s="9">
        <f>IF(AND($A1166&gt;=VLOOKUP(YEAR($A1166),'Festive dates'!$A$2:$J$5,9,FALSE),$A1166&lt;=VLOOKUP(YEAR($A1166),'Festive dates'!$A$2:$J$5,10,FALSE)),1,0)</f>
        <v>0</v>
      </c>
      <c r="W1166" s="9">
        <f>IF($A1166=VLOOKUP(YEAR($A1166),'Festive dates'!$A$2:$J$5,7,FALSE),1,0)</f>
        <v>0</v>
      </c>
      <c r="X1166" s="1"/>
      <c r="Y1166" s="1"/>
      <c r="Z1166" s="1"/>
      <c r="AA1166" s="1"/>
      <c r="AB1166" s="1"/>
      <c r="AC1166" s="1"/>
      <c r="AD1166" s="1"/>
      <c r="AE1166" s="1"/>
      <c r="AF1166" s="1"/>
      <c r="AG1166" s="1"/>
      <c r="AH1166" s="1"/>
      <c r="AI1166" s="1"/>
      <c r="AJ1166" s="1"/>
      <c r="AK1166" s="1"/>
      <c r="AL1166" s="1"/>
      <c r="AM1166" s="1"/>
      <c r="AN1166" s="1"/>
      <c r="AO1166" s="1"/>
      <c r="AP1166" s="1"/>
      <c r="AQ1166" s="1"/>
      <c r="AR1166" s="1"/>
      <c r="AS1166" s="1"/>
      <c r="AT1166" s="1"/>
      <c r="AU1166" s="1"/>
      <c r="AV1166" s="1"/>
      <c r="AW1166" s="1"/>
      <c r="AX1166" s="1"/>
      <c r="AY1166" s="1"/>
    </row>
    <row r="1167" spans="1:51">
      <c r="A1167" s="8">
        <v>46182</v>
      </c>
      <c r="B1167" s="9">
        <v>0</v>
      </c>
      <c r="C1167" s="9">
        <v>0</v>
      </c>
      <c r="D1167" s="9">
        <v>0</v>
      </c>
      <c r="E1167" s="9">
        <v>0</v>
      </c>
      <c r="F1167" s="9">
        <v>0</v>
      </c>
      <c r="G1167" s="9">
        <v>0</v>
      </c>
      <c r="H1167" s="9">
        <v>0</v>
      </c>
      <c r="I1167" s="9">
        <v>0</v>
      </c>
      <c r="J1167" s="9">
        <v>0</v>
      </c>
      <c r="K1167" s="9">
        <v>0</v>
      </c>
      <c r="L1167" s="9">
        <v>0</v>
      </c>
      <c r="M1167" s="9">
        <v>0</v>
      </c>
      <c r="N1167" s="9">
        <v>0</v>
      </c>
      <c r="O1167" s="9">
        <v>0</v>
      </c>
      <c r="P1167" s="9">
        <v>0</v>
      </c>
      <c r="Q1167" s="9">
        <f>MAX(-20,MIN(10,$A1167-VLOOKUP(YEAR($A1167),'Festive dates'!$A$2:$J$5,8,FALSE)))</f>
        <v>-20</v>
      </c>
      <c r="R1167" s="9">
        <f>IF(AND($A1167&gt;VLOOKUP(YEAR($A1167),'Festive dates'!$A$2:$J$5,2,FALSE),$A1167&lt;VLOOKUP(YEAR($A1167),'Festive dates'!$A$2:$J$5,3,FALSE)),1,0)</f>
        <v>0</v>
      </c>
      <c r="S1167" s="9">
        <f>IF($A1167=VLOOKUP(YEAR($A1167),'Festive dates'!$A$2:$J$5,2,FALSE),1,0)</f>
        <v>0</v>
      </c>
      <c r="T1167" s="9">
        <f>IF($A1167=VLOOKUP(YEAR($A1167),'Festive dates'!$A$2:$J$5,3,FALSE),1,0)</f>
        <v>0</v>
      </c>
      <c r="U1167" s="9">
        <f>IF($A1167=VLOOKUP(YEAR($A1167),'Festive dates'!$A$2:$J$5,4,FALSE),1,0)</f>
        <v>0</v>
      </c>
      <c r="V1167" s="9">
        <f>IF(AND($A1167&gt;=VLOOKUP(YEAR($A1167),'Festive dates'!$A$2:$J$5,9,FALSE),$A1167&lt;=VLOOKUP(YEAR($A1167),'Festive dates'!$A$2:$J$5,10,FALSE)),1,0)</f>
        <v>0</v>
      </c>
      <c r="W1167" s="9">
        <f>IF($A1167=VLOOKUP(YEAR($A1167),'Festive dates'!$A$2:$J$5,7,FALSE),1,0)</f>
        <v>0</v>
      </c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  <c r="AH1167" s="1"/>
      <c r="AI1167" s="1"/>
      <c r="AJ1167" s="1"/>
      <c r="AK1167" s="1"/>
      <c r="AL1167" s="1"/>
      <c r="AM1167" s="1"/>
      <c r="AN1167" s="1"/>
      <c r="AO1167" s="1"/>
      <c r="AP1167" s="1"/>
      <c r="AQ1167" s="1"/>
      <c r="AR1167" s="1"/>
      <c r="AS1167" s="1"/>
      <c r="AT1167" s="1"/>
      <c r="AU1167" s="1"/>
      <c r="AV1167" s="1"/>
      <c r="AW1167" s="1"/>
      <c r="AX1167" s="1"/>
      <c r="AY1167" s="1"/>
    </row>
    <row r="1168" spans="1:51">
      <c r="A1168" s="8">
        <v>46183</v>
      </c>
      <c r="B1168" s="9">
        <v>0</v>
      </c>
      <c r="C1168" s="9">
        <v>0</v>
      </c>
      <c r="D1168" s="9">
        <v>0</v>
      </c>
      <c r="E1168" s="9">
        <v>0</v>
      </c>
      <c r="F1168" s="9">
        <v>0</v>
      </c>
      <c r="G1168" s="9">
        <v>0</v>
      </c>
      <c r="H1168" s="9">
        <v>0</v>
      </c>
      <c r="I1168" s="9">
        <v>0</v>
      </c>
      <c r="J1168" s="9">
        <v>0</v>
      </c>
      <c r="K1168" s="9">
        <v>0</v>
      </c>
      <c r="L1168" s="9">
        <v>0</v>
      </c>
      <c r="M1168" s="9">
        <v>0</v>
      </c>
      <c r="N1168" s="9">
        <v>0</v>
      </c>
      <c r="O1168" s="9">
        <v>0</v>
      </c>
      <c r="P1168" s="9">
        <v>0</v>
      </c>
      <c r="Q1168" s="9">
        <f>MAX(-20,MIN(10,$A1168-VLOOKUP(YEAR($A1168),'Festive dates'!$A$2:$J$5,8,FALSE)))</f>
        <v>-20</v>
      </c>
      <c r="R1168" s="9">
        <f>IF(AND($A1168&gt;VLOOKUP(YEAR($A1168),'Festive dates'!$A$2:$J$5,2,FALSE),$A1168&lt;VLOOKUP(YEAR($A1168),'Festive dates'!$A$2:$J$5,3,FALSE)),1,0)</f>
        <v>0</v>
      </c>
      <c r="S1168" s="9">
        <f>IF($A1168=VLOOKUP(YEAR($A1168),'Festive dates'!$A$2:$J$5,2,FALSE),1,0)</f>
        <v>0</v>
      </c>
      <c r="T1168" s="9">
        <f>IF($A1168=VLOOKUP(YEAR($A1168),'Festive dates'!$A$2:$J$5,3,FALSE),1,0)</f>
        <v>0</v>
      </c>
      <c r="U1168" s="9">
        <f>IF($A1168=VLOOKUP(YEAR($A1168),'Festive dates'!$A$2:$J$5,4,FALSE),1,0)</f>
        <v>0</v>
      </c>
      <c r="V1168" s="9">
        <f>IF(AND($A1168&gt;=VLOOKUP(YEAR($A1168),'Festive dates'!$A$2:$J$5,9,FALSE),$A1168&lt;=VLOOKUP(YEAR($A1168),'Festive dates'!$A$2:$J$5,10,FALSE)),1,0)</f>
        <v>0</v>
      </c>
      <c r="W1168" s="9">
        <f>IF($A1168=VLOOKUP(YEAR($A1168),'Festive dates'!$A$2:$J$5,7,FALSE),1,0)</f>
        <v>0</v>
      </c>
      <c r="X1168" s="1"/>
      <c r="Y1168" s="1"/>
      <c r="Z1168" s="1"/>
      <c r="AA1168" s="1"/>
      <c r="AB1168" s="1"/>
      <c r="AC1168" s="1"/>
      <c r="AD1168" s="1"/>
      <c r="AE1168" s="1"/>
      <c r="AF1168" s="1"/>
      <c r="AG1168" s="1"/>
      <c r="AH1168" s="1"/>
      <c r="AI1168" s="1"/>
      <c r="AJ1168" s="1"/>
      <c r="AK1168" s="1"/>
      <c r="AL1168" s="1"/>
      <c r="AM1168" s="1"/>
      <c r="AN1168" s="1"/>
      <c r="AO1168" s="1"/>
      <c r="AP1168" s="1"/>
      <c r="AQ1168" s="1"/>
      <c r="AR1168" s="1"/>
      <c r="AS1168" s="1"/>
      <c r="AT1168" s="1"/>
      <c r="AU1168" s="1"/>
      <c r="AV1168" s="1"/>
      <c r="AW1168" s="1"/>
      <c r="AX1168" s="1"/>
      <c r="AY1168" s="1"/>
    </row>
    <row r="1169" spans="1:51">
      <c r="A1169" s="8">
        <v>46184</v>
      </c>
      <c r="B1169" s="9">
        <v>0</v>
      </c>
      <c r="C1169" s="9">
        <v>0</v>
      </c>
      <c r="D1169" s="9">
        <v>0</v>
      </c>
      <c r="E1169" s="9">
        <v>0</v>
      </c>
      <c r="F1169" s="9">
        <v>0</v>
      </c>
      <c r="G1169" s="9">
        <v>0</v>
      </c>
      <c r="H1169" s="9">
        <v>0</v>
      </c>
      <c r="I1169" s="9">
        <v>0</v>
      </c>
      <c r="J1169" s="9">
        <v>0</v>
      </c>
      <c r="K1169" s="9">
        <v>0</v>
      </c>
      <c r="L1169" s="9">
        <v>0</v>
      </c>
      <c r="M1169" s="9">
        <v>0</v>
      </c>
      <c r="N1169" s="9">
        <v>0</v>
      </c>
      <c r="O1169" s="9">
        <v>0</v>
      </c>
      <c r="P1169" s="9">
        <v>0</v>
      </c>
      <c r="Q1169" s="9">
        <f>MAX(-20,MIN(10,$A1169-VLOOKUP(YEAR($A1169),'Festive dates'!$A$2:$J$5,8,FALSE)))</f>
        <v>-20</v>
      </c>
      <c r="R1169" s="9">
        <f>IF(AND($A1169&gt;VLOOKUP(YEAR($A1169),'Festive dates'!$A$2:$J$5,2,FALSE),$A1169&lt;VLOOKUP(YEAR($A1169),'Festive dates'!$A$2:$J$5,3,FALSE)),1,0)</f>
        <v>0</v>
      </c>
      <c r="S1169" s="9">
        <f>IF($A1169=VLOOKUP(YEAR($A1169),'Festive dates'!$A$2:$J$5,2,FALSE),1,0)</f>
        <v>0</v>
      </c>
      <c r="T1169" s="9">
        <f>IF($A1169=VLOOKUP(YEAR($A1169),'Festive dates'!$A$2:$J$5,3,FALSE),1,0)</f>
        <v>0</v>
      </c>
      <c r="U1169" s="9">
        <f>IF($A1169=VLOOKUP(YEAR($A1169),'Festive dates'!$A$2:$J$5,4,FALSE),1,0)</f>
        <v>0</v>
      </c>
      <c r="V1169" s="9">
        <f>IF(AND($A1169&gt;=VLOOKUP(YEAR($A1169),'Festive dates'!$A$2:$J$5,9,FALSE),$A1169&lt;=VLOOKUP(YEAR($A1169),'Festive dates'!$A$2:$J$5,10,FALSE)),1,0)</f>
        <v>0</v>
      </c>
      <c r="W1169" s="9">
        <f>IF($A1169=VLOOKUP(YEAR($A1169),'Festive dates'!$A$2:$J$5,7,FALSE),1,0)</f>
        <v>0</v>
      </c>
      <c r="X1169" s="1"/>
      <c r="Y1169" s="1"/>
      <c r="Z1169" s="1"/>
      <c r="AA1169" s="1"/>
      <c r="AB1169" s="1"/>
      <c r="AC1169" s="1"/>
      <c r="AD1169" s="1"/>
      <c r="AE1169" s="1"/>
      <c r="AF1169" s="1"/>
      <c r="AG1169" s="1"/>
      <c r="AH1169" s="1"/>
      <c r="AI1169" s="1"/>
      <c r="AJ1169" s="1"/>
      <c r="AK1169" s="1"/>
      <c r="AL1169" s="1"/>
      <c r="AM1169" s="1"/>
      <c r="AN1169" s="1"/>
      <c r="AO1169" s="1"/>
      <c r="AP1169" s="1"/>
      <c r="AQ1169" s="1"/>
      <c r="AR1169" s="1"/>
      <c r="AS1169" s="1"/>
      <c r="AT1169" s="1"/>
      <c r="AU1169" s="1"/>
      <c r="AV1169" s="1"/>
      <c r="AW1169" s="1"/>
      <c r="AX1169" s="1"/>
      <c r="AY1169" s="1"/>
    </row>
    <row r="1170" spans="1:51">
      <c r="A1170" s="8">
        <v>46185</v>
      </c>
      <c r="B1170" s="9">
        <v>0</v>
      </c>
      <c r="C1170" s="9">
        <v>0</v>
      </c>
      <c r="D1170" s="9">
        <v>0</v>
      </c>
      <c r="E1170" s="9">
        <v>0</v>
      </c>
      <c r="F1170" s="9">
        <v>0</v>
      </c>
      <c r="G1170" s="9">
        <v>0</v>
      </c>
      <c r="H1170" s="9">
        <v>0</v>
      </c>
      <c r="I1170" s="9">
        <v>0</v>
      </c>
      <c r="J1170" s="9">
        <v>0</v>
      </c>
      <c r="K1170" s="9">
        <v>0</v>
      </c>
      <c r="L1170" s="9">
        <v>0</v>
      </c>
      <c r="M1170" s="9">
        <v>0</v>
      </c>
      <c r="N1170" s="9">
        <v>0</v>
      </c>
      <c r="O1170" s="9">
        <v>0</v>
      </c>
      <c r="P1170" s="9">
        <v>0</v>
      </c>
      <c r="Q1170" s="9">
        <f>MAX(-20,MIN(10,$A1170-VLOOKUP(YEAR($A1170),'Festive dates'!$A$2:$J$5,8,FALSE)))</f>
        <v>-20</v>
      </c>
      <c r="R1170" s="9">
        <f>IF(AND($A1170&gt;VLOOKUP(YEAR($A1170),'Festive dates'!$A$2:$J$5,2,FALSE),$A1170&lt;VLOOKUP(YEAR($A1170),'Festive dates'!$A$2:$J$5,3,FALSE)),1,0)</f>
        <v>0</v>
      </c>
      <c r="S1170" s="9">
        <f>IF($A1170=VLOOKUP(YEAR($A1170),'Festive dates'!$A$2:$J$5,2,FALSE),1,0)</f>
        <v>0</v>
      </c>
      <c r="T1170" s="9">
        <f>IF($A1170=VLOOKUP(YEAR($A1170),'Festive dates'!$A$2:$J$5,3,FALSE),1,0)</f>
        <v>0</v>
      </c>
      <c r="U1170" s="9">
        <f>IF($A1170=VLOOKUP(YEAR($A1170),'Festive dates'!$A$2:$J$5,4,FALSE),1,0)</f>
        <v>0</v>
      </c>
      <c r="V1170" s="9">
        <f>IF(AND($A1170&gt;=VLOOKUP(YEAR($A1170),'Festive dates'!$A$2:$J$5,9,FALSE),$A1170&lt;=VLOOKUP(YEAR($A1170),'Festive dates'!$A$2:$J$5,10,FALSE)),1,0)</f>
        <v>0</v>
      </c>
      <c r="W1170" s="9">
        <f>IF($A1170=VLOOKUP(YEAR($A1170),'Festive dates'!$A$2:$J$5,7,FALSE),1,0)</f>
        <v>0</v>
      </c>
      <c r="X1170" s="1"/>
      <c r="Y1170" s="1"/>
      <c r="Z1170" s="1"/>
      <c r="AA1170" s="1"/>
      <c r="AB1170" s="1"/>
      <c r="AC1170" s="1"/>
      <c r="AD1170" s="1"/>
      <c r="AE1170" s="1"/>
      <c r="AF1170" s="1"/>
      <c r="AG1170" s="1"/>
      <c r="AH1170" s="1"/>
      <c r="AI1170" s="1"/>
      <c r="AJ1170" s="1"/>
      <c r="AK1170" s="1"/>
      <c r="AL1170" s="1"/>
      <c r="AM1170" s="1"/>
      <c r="AN1170" s="1"/>
      <c r="AO1170" s="1"/>
      <c r="AP1170" s="1"/>
      <c r="AQ1170" s="1"/>
      <c r="AR1170" s="1"/>
      <c r="AS1170" s="1"/>
      <c r="AT1170" s="1"/>
      <c r="AU1170" s="1"/>
      <c r="AV1170" s="1"/>
      <c r="AW1170" s="1"/>
      <c r="AX1170" s="1"/>
      <c r="AY1170" s="1"/>
    </row>
    <row r="1171" spans="1:51">
      <c r="A1171" s="8">
        <v>46186</v>
      </c>
      <c r="B1171" s="9">
        <v>0</v>
      </c>
      <c r="C1171" s="9">
        <v>0</v>
      </c>
      <c r="D1171" s="9">
        <v>0</v>
      </c>
      <c r="E1171" s="9">
        <v>0</v>
      </c>
      <c r="F1171" s="9">
        <v>0</v>
      </c>
      <c r="G1171" s="9">
        <v>0</v>
      </c>
      <c r="H1171" s="9">
        <v>0</v>
      </c>
      <c r="I1171" s="9">
        <v>0</v>
      </c>
      <c r="J1171" s="9">
        <v>0</v>
      </c>
      <c r="K1171" s="9">
        <v>0</v>
      </c>
      <c r="L1171" s="9">
        <v>0</v>
      </c>
      <c r="M1171" s="9">
        <v>0</v>
      </c>
      <c r="N1171" s="9">
        <v>0</v>
      </c>
      <c r="O1171" s="9">
        <v>0</v>
      </c>
      <c r="P1171" s="9">
        <v>0</v>
      </c>
      <c r="Q1171" s="9">
        <f>MAX(-20,MIN(10,$A1171-VLOOKUP(YEAR($A1171),'Festive dates'!$A$2:$J$5,8,FALSE)))</f>
        <v>-20</v>
      </c>
      <c r="R1171" s="9">
        <f>IF(AND($A1171&gt;VLOOKUP(YEAR($A1171),'Festive dates'!$A$2:$J$5,2,FALSE),$A1171&lt;VLOOKUP(YEAR($A1171),'Festive dates'!$A$2:$J$5,3,FALSE)),1,0)</f>
        <v>0</v>
      </c>
      <c r="S1171" s="9">
        <f>IF($A1171=VLOOKUP(YEAR($A1171),'Festive dates'!$A$2:$J$5,2,FALSE),1,0)</f>
        <v>0</v>
      </c>
      <c r="T1171" s="9">
        <f>IF($A1171=VLOOKUP(YEAR($A1171),'Festive dates'!$A$2:$J$5,3,FALSE),1,0)</f>
        <v>0</v>
      </c>
      <c r="U1171" s="9">
        <f>IF($A1171=VLOOKUP(YEAR($A1171),'Festive dates'!$A$2:$J$5,4,FALSE),1,0)</f>
        <v>0</v>
      </c>
      <c r="V1171" s="9">
        <f>IF(AND($A1171&gt;=VLOOKUP(YEAR($A1171),'Festive dates'!$A$2:$J$5,9,FALSE),$A1171&lt;=VLOOKUP(YEAR($A1171),'Festive dates'!$A$2:$J$5,10,FALSE)),1,0)</f>
        <v>0</v>
      </c>
      <c r="W1171" s="9">
        <f>IF($A1171=VLOOKUP(YEAR($A1171),'Festive dates'!$A$2:$J$5,7,FALSE),1,0)</f>
        <v>0</v>
      </c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  <c r="AH1171" s="1"/>
      <c r="AI1171" s="1"/>
      <c r="AJ1171" s="1"/>
      <c r="AK1171" s="1"/>
      <c r="AL1171" s="1"/>
      <c r="AM1171" s="1"/>
      <c r="AN1171" s="1"/>
      <c r="AO1171" s="1"/>
      <c r="AP1171" s="1"/>
      <c r="AQ1171" s="1"/>
      <c r="AR1171" s="1"/>
      <c r="AS1171" s="1"/>
      <c r="AT1171" s="1"/>
      <c r="AU1171" s="1"/>
      <c r="AV1171" s="1"/>
      <c r="AW1171" s="1"/>
      <c r="AX1171" s="1"/>
      <c r="AY1171" s="1"/>
    </row>
    <row r="1172" spans="1:51">
      <c r="A1172" s="8">
        <v>46187</v>
      </c>
      <c r="B1172" s="9">
        <v>0</v>
      </c>
      <c r="C1172" s="9">
        <v>0</v>
      </c>
      <c r="D1172" s="9">
        <v>0</v>
      </c>
      <c r="E1172" s="9">
        <v>0</v>
      </c>
      <c r="F1172" s="9">
        <v>0</v>
      </c>
      <c r="G1172" s="9">
        <v>0</v>
      </c>
      <c r="H1172" s="9">
        <v>0</v>
      </c>
      <c r="I1172" s="9">
        <v>0</v>
      </c>
      <c r="J1172" s="9">
        <v>0</v>
      </c>
      <c r="K1172" s="9">
        <v>0</v>
      </c>
      <c r="L1172" s="9">
        <v>0</v>
      </c>
      <c r="M1172" s="9">
        <v>0</v>
      </c>
      <c r="N1172" s="9">
        <v>0</v>
      </c>
      <c r="O1172" s="9">
        <v>0</v>
      </c>
      <c r="P1172" s="9">
        <v>1</v>
      </c>
      <c r="Q1172" s="9">
        <f>MAX(-20,MIN(10,$A1172-VLOOKUP(YEAR($A1172),'Festive dates'!$A$2:$J$5,8,FALSE)))</f>
        <v>-20</v>
      </c>
      <c r="R1172" s="9">
        <f>IF(AND($A1172&gt;VLOOKUP(YEAR($A1172),'Festive dates'!$A$2:$J$5,2,FALSE),$A1172&lt;VLOOKUP(YEAR($A1172),'Festive dates'!$A$2:$J$5,3,FALSE)),1,0)</f>
        <v>0</v>
      </c>
      <c r="S1172" s="9">
        <f>IF($A1172=VLOOKUP(YEAR($A1172),'Festive dates'!$A$2:$J$5,2,FALSE),1,0)</f>
        <v>0</v>
      </c>
      <c r="T1172" s="9">
        <f>IF($A1172=VLOOKUP(YEAR($A1172),'Festive dates'!$A$2:$J$5,3,FALSE),1,0)</f>
        <v>0</v>
      </c>
      <c r="U1172" s="9">
        <f>IF($A1172=VLOOKUP(YEAR($A1172),'Festive dates'!$A$2:$J$5,4,FALSE),1,0)</f>
        <v>0</v>
      </c>
      <c r="V1172" s="9">
        <f>IF(AND($A1172&gt;=VLOOKUP(YEAR($A1172),'Festive dates'!$A$2:$J$5,9,FALSE),$A1172&lt;=VLOOKUP(YEAR($A1172),'Festive dates'!$A$2:$J$5,10,FALSE)),1,0)</f>
        <v>0</v>
      </c>
      <c r="W1172" s="9">
        <f>IF($A1172=VLOOKUP(YEAR($A1172),'Festive dates'!$A$2:$J$5,7,FALSE),1,0)</f>
        <v>0</v>
      </c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  <c r="AH1172" s="1"/>
      <c r="AI1172" s="1"/>
      <c r="AJ1172" s="1"/>
      <c r="AK1172" s="1"/>
      <c r="AL1172" s="1"/>
      <c r="AM1172" s="1"/>
      <c r="AN1172" s="1"/>
      <c r="AO1172" s="1"/>
      <c r="AP1172" s="1"/>
      <c r="AQ1172" s="1"/>
      <c r="AR1172" s="1"/>
      <c r="AS1172" s="1"/>
      <c r="AT1172" s="1"/>
      <c r="AU1172" s="1"/>
      <c r="AV1172" s="1"/>
      <c r="AW1172" s="1"/>
      <c r="AX1172" s="1"/>
      <c r="AY1172" s="1"/>
    </row>
    <row r="1173" spans="1:51">
      <c r="A1173" s="8">
        <v>46188</v>
      </c>
      <c r="B1173" s="9">
        <v>0</v>
      </c>
      <c r="C1173" s="9">
        <v>0</v>
      </c>
      <c r="D1173" s="9">
        <v>0</v>
      </c>
      <c r="E1173" s="9">
        <v>0</v>
      </c>
      <c r="F1173" s="9">
        <v>0</v>
      </c>
      <c r="G1173" s="9">
        <v>0</v>
      </c>
      <c r="H1173" s="9">
        <v>0</v>
      </c>
      <c r="I1173" s="9">
        <v>0</v>
      </c>
      <c r="J1173" s="9">
        <v>0</v>
      </c>
      <c r="K1173" s="9">
        <v>0</v>
      </c>
      <c r="L1173" s="9">
        <v>0</v>
      </c>
      <c r="M1173" s="9">
        <v>0</v>
      </c>
      <c r="N1173" s="9">
        <v>0</v>
      </c>
      <c r="O1173" s="9">
        <v>0</v>
      </c>
      <c r="P1173" s="9">
        <v>1</v>
      </c>
      <c r="Q1173" s="9">
        <f>MAX(-20,MIN(10,$A1173-VLOOKUP(YEAR($A1173),'Festive dates'!$A$2:$J$5,8,FALSE)))</f>
        <v>-20</v>
      </c>
      <c r="R1173" s="9">
        <f>IF(AND($A1173&gt;VLOOKUP(YEAR($A1173),'Festive dates'!$A$2:$J$5,2,FALSE),$A1173&lt;VLOOKUP(YEAR($A1173),'Festive dates'!$A$2:$J$5,3,FALSE)),1,0)</f>
        <v>0</v>
      </c>
      <c r="S1173" s="9">
        <f>IF($A1173=VLOOKUP(YEAR($A1173),'Festive dates'!$A$2:$J$5,2,FALSE),1,0)</f>
        <v>0</v>
      </c>
      <c r="T1173" s="9">
        <f>IF($A1173=VLOOKUP(YEAR($A1173),'Festive dates'!$A$2:$J$5,3,FALSE),1,0)</f>
        <v>0</v>
      </c>
      <c r="U1173" s="9">
        <f>IF($A1173=VLOOKUP(YEAR($A1173),'Festive dates'!$A$2:$J$5,4,FALSE),1,0)</f>
        <v>0</v>
      </c>
      <c r="V1173" s="9">
        <f>IF(AND($A1173&gt;=VLOOKUP(YEAR($A1173),'Festive dates'!$A$2:$J$5,9,FALSE),$A1173&lt;=VLOOKUP(YEAR($A1173),'Festive dates'!$A$2:$J$5,10,FALSE)),1,0)</f>
        <v>0</v>
      </c>
      <c r="W1173" s="9">
        <f>IF($A1173=VLOOKUP(YEAR($A1173),'Festive dates'!$A$2:$J$5,7,FALSE),1,0)</f>
        <v>0</v>
      </c>
      <c r="X1173" s="1"/>
      <c r="Y1173" s="1"/>
      <c r="Z1173" s="1"/>
      <c r="AA1173" s="1"/>
      <c r="AB1173" s="1"/>
      <c r="AC1173" s="1"/>
      <c r="AD1173" s="1"/>
      <c r="AE1173" s="1"/>
      <c r="AF1173" s="1"/>
      <c r="AG1173" s="1"/>
      <c r="AH1173" s="1"/>
      <c r="AI1173" s="1"/>
      <c r="AJ1173" s="1"/>
      <c r="AK1173" s="1"/>
      <c r="AL1173" s="1"/>
      <c r="AM1173" s="1"/>
      <c r="AN1173" s="1"/>
      <c r="AO1173" s="1"/>
      <c r="AP1173" s="1"/>
      <c r="AQ1173" s="1"/>
      <c r="AR1173" s="1"/>
      <c r="AS1173" s="1"/>
      <c r="AT1173" s="1"/>
      <c r="AU1173" s="1"/>
      <c r="AV1173" s="1"/>
      <c r="AW1173" s="1"/>
      <c r="AX1173" s="1"/>
      <c r="AY1173" s="1"/>
    </row>
    <row r="1174" spans="1:51">
      <c r="A1174" s="8">
        <v>46189</v>
      </c>
      <c r="B1174" s="9">
        <v>0</v>
      </c>
      <c r="C1174" s="9">
        <v>0</v>
      </c>
      <c r="D1174" s="9">
        <v>0</v>
      </c>
      <c r="E1174" s="9">
        <v>0</v>
      </c>
      <c r="F1174" s="9">
        <v>0</v>
      </c>
      <c r="G1174" s="9">
        <v>0</v>
      </c>
      <c r="H1174" s="9">
        <v>0</v>
      </c>
      <c r="I1174" s="9">
        <v>0</v>
      </c>
      <c r="J1174" s="9">
        <v>0</v>
      </c>
      <c r="K1174" s="9">
        <v>0</v>
      </c>
      <c r="L1174" s="9">
        <v>0</v>
      </c>
      <c r="M1174" s="9">
        <v>0</v>
      </c>
      <c r="N1174" s="9">
        <v>0</v>
      </c>
      <c r="O1174" s="9">
        <v>0</v>
      </c>
      <c r="P1174" s="9">
        <v>1</v>
      </c>
      <c r="Q1174" s="9">
        <f>MAX(-20,MIN(10,$A1174-VLOOKUP(YEAR($A1174),'Festive dates'!$A$2:$J$5,8,FALSE)))</f>
        <v>-20</v>
      </c>
      <c r="R1174" s="9">
        <f>IF(AND($A1174&gt;VLOOKUP(YEAR($A1174),'Festive dates'!$A$2:$J$5,2,FALSE),$A1174&lt;VLOOKUP(YEAR($A1174),'Festive dates'!$A$2:$J$5,3,FALSE)),1,0)</f>
        <v>0</v>
      </c>
      <c r="S1174" s="9">
        <f>IF($A1174=VLOOKUP(YEAR($A1174),'Festive dates'!$A$2:$J$5,2,FALSE),1,0)</f>
        <v>0</v>
      </c>
      <c r="T1174" s="9">
        <f>IF($A1174=VLOOKUP(YEAR($A1174),'Festive dates'!$A$2:$J$5,3,FALSE),1,0)</f>
        <v>0</v>
      </c>
      <c r="U1174" s="9">
        <f>IF($A1174=VLOOKUP(YEAR($A1174),'Festive dates'!$A$2:$J$5,4,FALSE),1,0)</f>
        <v>0</v>
      </c>
      <c r="V1174" s="9">
        <f>IF(AND($A1174&gt;=VLOOKUP(YEAR($A1174),'Festive dates'!$A$2:$J$5,9,FALSE),$A1174&lt;=VLOOKUP(YEAR($A1174),'Festive dates'!$A$2:$J$5,10,FALSE)),1,0)</f>
        <v>0</v>
      </c>
      <c r="W1174" s="9">
        <f>IF($A1174=VLOOKUP(YEAR($A1174),'Festive dates'!$A$2:$J$5,7,FALSE),1,0)</f>
        <v>0</v>
      </c>
      <c r="X1174" s="1"/>
      <c r="Y1174" s="1"/>
      <c r="Z1174" s="1"/>
      <c r="AA1174" s="1"/>
      <c r="AB1174" s="1"/>
      <c r="AC1174" s="1"/>
      <c r="AD1174" s="1"/>
      <c r="AE1174" s="1"/>
      <c r="AF1174" s="1"/>
      <c r="AG1174" s="1"/>
      <c r="AH1174" s="1"/>
      <c r="AI1174" s="1"/>
      <c r="AJ1174" s="1"/>
      <c r="AK1174" s="1"/>
      <c r="AL1174" s="1"/>
      <c r="AM1174" s="1"/>
      <c r="AN1174" s="1"/>
      <c r="AO1174" s="1"/>
      <c r="AP1174" s="1"/>
      <c r="AQ1174" s="1"/>
      <c r="AR1174" s="1"/>
      <c r="AS1174" s="1"/>
      <c r="AT1174" s="1"/>
      <c r="AU1174" s="1"/>
      <c r="AV1174" s="1"/>
      <c r="AW1174" s="1"/>
      <c r="AX1174" s="1"/>
      <c r="AY1174" s="1"/>
    </row>
    <row r="1175" spans="1:51">
      <c r="A1175" s="8">
        <v>46190</v>
      </c>
      <c r="B1175" s="9">
        <v>0</v>
      </c>
      <c r="C1175" s="9">
        <v>0</v>
      </c>
      <c r="D1175" s="9">
        <v>0</v>
      </c>
      <c r="E1175" s="9">
        <v>0</v>
      </c>
      <c r="F1175" s="9">
        <v>0</v>
      </c>
      <c r="G1175" s="9">
        <v>0</v>
      </c>
      <c r="H1175" s="9">
        <v>0</v>
      </c>
      <c r="I1175" s="9">
        <v>0</v>
      </c>
      <c r="J1175" s="9">
        <v>0</v>
      </c>
      <c r="K1175" s="9">
        <v>0</v>
      </c>
      <c r="L1175" s="9">
        <v>0</v>
      </c>
      <c r="M1175" s="9">
        <v>0</v>
      </c>
      <c r="N1175" s="9">
        <v>0</v>
      </c>
      <c r="O1175" s="9">
        <v>0</v>
      </c>
      <c r="P1175" s="9">
        <v>1</v>
      </c>
      <c r="Q1175" s="9">
        <f>MAX(-20,MIN(10,$A1175-VLOOKUP(YEAR($A1175),'Festive dates'!$A$2:$J$5,8,FALSE)))</f>
        <v>-20</v>
      </c>
      <c r="R1175" s="9">
        <f>IF(AND($A1175&gt;VLOOKUP(YEAR($A1175),'Festive dates'!$A$2:$J$5,2,FALSE),$A1175&lt;VLOOKUP(YEAR($A1175),'Festive dates'!$A$2:$J$5,3,FALSE)),1,0)</f>
        <v>0</v>
      </c>
      <c r="S1175" s="9">
        <f>IF($A1175=VLOOKUP(YEAR($A1175),'Festive dates'!$A$2:$J$5,2,FALSE),1,0)</f>
        <v>0</v>
      </c>
      <c r="T1175" s="9">
        <f>IF($A1175=VLOOKUP(YEAR($A1175),'Festive dates'!$A$2:$J$5,3,FALSE),1,0)</f>
        <v>0</v>
      </c>
      <c r="U1175" s="9">
        <f>IF($A1175=VLOOKUP(YEAR($A1175),'Festive dates'!$A$2:$J$5,4,FALSE),1,0)</f>
        <v>0</v>
      </c>
      <c r="V1175" s="9">
        <f>IF(AND($A1175&gt;=VLOOKUP(YEAR($A1175),'Festive dates'!$A$2:$J$5,9,FALSE),$A1175&lt;=VLOOKUP(YEAR($A1175),'Festive dates'!$A$2:$J$5,10,FALSE)),1,0)</f>
        <v>0</v>
      </c>
      <c r="W1175" s="9">
        <f>IF($A1175=VLOOKUP(YEAR($A1175),'Festive dates'!$A$2:$J$5,7,FALSE),1,0)</f>
        <v>0</v>
      </c>
      <c r="X1175" s="1"/>
      <c r="Y1175" s="1"/>
      <c r="Z1175" s="1"/>
      <c r="AA1175" s="1"/>
      <c r="AB1175" s="1"/>
      <c r="AC1175" s="1"/>
      <c r="AD1175" s="1"/>
      <c r="AE1175" s="1"/>
      <c r="AF1175" s="1"/>
      <c r="AG1175" s="1"/>
      <c r="AH1175" s="1"/>
      <c r="AI1175" s="1"/>
      <c r="AJ1175" s="1"/>
      <c r="AK1175" s="1"/>
      <c r="AL1175" s="1"/>
      <c r="AM1175" s="1"/>
      <c r="AN1175" s="1"/>
      <c r="AO1175" s="1"/>
      <c r="AP1175" s="1"/>
      <c r="AQ1175" s="1"/>
      <c r="AR1175" s="1"/>
      <c r="AS1175" s="1"/>
      <c r="AT1175" s="1"/>
      <c r="AU1175" s="1"/>
      <c r="AV1175" s="1"/>
      <c r="AW1175" s="1"/>
      <c r="AX1175" s="1"/>
      <c r="AY1175" s="1"/>
    </row>
    <row r="1176" spans="1:51">
      <c r="A1176" s="8">
        <v>46191</v>
      </c>
      <c r="B1176" s="9">
        <v>0</v>
      </c>
      <c r="C1176" s="9">
        <v>0</v>
      </c>
      <c r="D1176" s="9">
        <v>0</v>
      </c>
      <c r="E1176" s="9">
        <v>0</v>
      </c>
      <c r="F1176" s="9">
        <v>0</v>
      </c>
      <c r="G1176" s="9">
        <v>0</v>
      </c>
      <c r="H1176" s="9">
        <v>0</v>
      </c>
      <c r="I1176" s="9">
        <v>0</v>
      </c>
      <c r="J1176" s="9">
        <v>0</v>
      </c>
      <c r="K1176" s="9">
        <v>0</v>
      </c>
      <c r="L1176" s="9">
        <v>0</v>
      </c>
      <c r="M1176" s="9">
        <v>0</v>
      </c>
      <c r="N1176" s="9">
        <v>0</v>
      </c>
      <c r="O1176" s="9">
        <v>0</v>
      </c>
      <c r="P1176" s="9">
        <v>1</v>
      </c>
      <c r="Q1176" s="9">
        <f>MAX(-20,MIN(10,$A1176-VLOOKUP(YEAR($A1176),'Festive dates'!$A$2:$J$5,8,FALSE)))</f>
        <v>-20</v>
      </c>
      <c r="R1176" s="9">
        <f>IF(AND($A1176&gt;VLOOKUP(YEAR($A1176),'Festive dates'!$A$2:$J$5,2,FALSE),$A1176&lt;VLOOKUP(YEAR($A1176),'Festive dates'!$A$2:$J$5,3,FALSE)),1,0)</f>
        <v>0</v>
      </c>
      <c r="S1176" s="9">
        <f>IF($A1176=VLOOKUP(YEAR($A1176),'Festive dates'!$A$2:$J$5,2,FALSE),1,0)</f>
        <v>0</v>
      </c>
      <c r="T1176" s="9">
        <f>IF($A1176=VLOOKUP(YEAR($A1176),'Festive dates'!$A$2:$J$5,3,FALSE),1,0)</f>
        <v>0</v>
      </c>
      <c r="U1176" s="9">
        <f>IF($A1176=VLOOKUP(YEAR($A1176),'Festive dates'!$A$2:$J$5,4,FALSE),1,0)</f>
        <v>0</v>
      </c>
      <c r="V1176" s="9">
        <f>IF(AND($A1176&gt;=VLOOKUP(YEAR($A1176),'Festive dates'!$A$2:$J$5,9,FALSE),$A1176&lt;=VLOOKUP(YEAR($A1176),'Festive dates'!$A$2:$J$5,10,FALSE)),1,0)</f>
        <v>0</v>
      </c>
      <c r="W1176" s="9">
        <f>IF($A1176=VLOOKUP(YEAR($A1176),'Festive dates'!$A$2:$J$5,7,FALSE),1,0)</f>
        <v>0</v>
      </c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  <c r="AH1176" s="1"/>
      <c r="AI1176" s="1"/>
      <c r="AJ1176" s="1"/>
      <c r="AK1176" s="1"/>
      <c r="AL1176" s="1"/>
      <c r="AM1176" s="1"/>
      <c r="AN1176" s="1"/>
      <c r="AO1176" s="1"/>
      <c r="AP1176" s="1"/>
      <c r="AQ1176" s="1"/>
      <c r="AR1176" s="1"/>
      <c r="AS1176" s="1"/>
      <c r="AT1176" s="1"/>
      <c r="AU1176" s="1"/>
      <c r="AV1176" s="1"/>
      <c r="AW1176" s="1"/>
      <c r="AX1176" s="1"/>
      <c r="AY1176" s="1"/>
    </row>
    <row r="1177" spans="1:51">
      <c r="A1177" s="8">
        <v>46192</v>
      </c>
      <c r="B1177" s="9">
        <v>0</v>
      </c>
      <c r="C1177" s="9">
        <v>0</v>
      </c>
      <c r="D1177" s="9">
        <v>0</v>
      </c>
      <c r="E1177" s="9">
        <v>0</v>
      </c>
      <c r="F1177" s="9">
        <v>0</v>
      </c>
      <c r="G1177" s="9">
        <v>0</v>
      </c>
      <c r="H1177" s="9">
        <v>0</v>
      </c>
      <c r="I1177" s="9">
        <v>0</v>
      </c>
      <c r="J1177" s="9">
        <v>0</v>
      </c>
      <c r="K1177" s="9">
        <v>0</v>
      </c>
      <c r="L1177" s="9">
        <v>0</v>
      </c>
      <c r="M1177" s="9">
        <v>0</v>
      </c>
      <c r="N1177" s="9">
        <v>0</v>
      </c>
      <c r="O1177" s="9">
        <v>0</v>
      </c>
      <c r="P1177" s="9">
        <v>1</v>
      </c>
      <c r="Q1177" s="9">
        <f>MAX(-20,MIN(10,$A1177-VLOOKUP(YEAR($A1177),'Festive dates'!$A$2:$J$5,8,FALSE)))</f>
        <v>-20</v>
      </c>
      <c r="R1177" s="9">
        <f>IF(AND($A1177&gt;VLOOKUP(YEAR($A1177),'Festive dates'!$A$2:$J$5,2,FALSE),$A1177&lt;VLOOKUP(YEAR($A1177),'Festive dates'!$A$2:$J$5,3,FALSE)),1,0)</f>
        <v>0</v>
      </c>
      <c r="S1177" s="9">
        <f>IF($A1177=VLOOKUP(YEAR($A1177),'Festive dates'!$A$2:$J$5,2,FALSE),1,0)</f>
        <v>0</v>
      </c>
      <c r="T1177" s="9">
        <f>IF($A1177=VLOOKUP(YEAR($A1177),'Festive dates'!$A$2:$J$5,3,FALSE),1,0)</f>
        <v>0</v>
      </c>
      <c r="U1177" s="9">
        <f>IF($A1177=VLOOKUP(YEAR($A1177),'Festive dates'!$A$2:$J$5,4,FALSE),1,0)</f>
        <v>0</v>
      </c>
      <c r="V1177" s="9">
        <f>IF(AND($A1177&gt;=VLOOKUP(YEAR($A1177),'Festive dates'!$A$2:$J$5,9,FALSE),$A1177&lt;=VLOOKUP(YEAR($A1177),'Festive dates'!$A$2:$J$5,10,FALSE)),1,0)</f>
        <v>0</v>
      </c>
      <c r="W1177" s="9">
        <f>IF($A1177=VLOOKUP(YEAR($A1177),'Festive dates'!$A$2:$J$5,7,FALSE),1,0)</f>
        <v>0</v>
      </c>
      <c r="X1177" s="1"/>
      <c r="Y1177" s="1"/>
      <c r="Z1177" s="1"/>
      <c r="AA1177" s="1"/>
      <c r="AB1177" s="1"/>
      <c r="AC1177" s="1"/>
      <c r="AD1177" s="1"/>
      <c r="AE1177" s="1"/>
      <c r="AF1177" s="1"/>
      <c r="AG1177" s="1"/>
      <c r="AH1177" s="1"/>
      <c r="AI1177" s="1"/>
      <c r="AJ1177" s="1"/>
      <c r="AK1177" s="1"/>
      <c r="AL1177" s="1"/>
      <c r="AM1177" s="1"/>
      <c r="AN1177" s="1"/>
      <c r="AO1177" s="1"/>
      <c r="AP1177" s="1"/>
      <c r="AQ1177" s="1"/>
      <c r="AR1177" s="1"/>
      <c r="AS1177" s="1"/>
      <c r="AT1177" s="1"/>
      <c r="AU1177" s="1"/>
      <c r="AV1177" s="1"/>
      <c r="AW1177" s="1"/>
      <c r="AX1177" s="1"/>
      <c r="AY1177" s="1"/>
    </row>
    <row r="1178" spans="1:51">
      <c r="A1178" s="8">
        <v>46193</v>
      </c>
      <c r="B1178" s="9">
        <v>0</v>
      </c>
      <c r="C1178" s="9">
        <v>0</v>
      </c>
      <c r="D1178" s="9">
        <v>0</v>
      </c>
      <c r="E1178" s="9">
        <v>0</v>
      </c>
      <c r="F1178" s="9">
        <v>0</v>
      </c>
      <c r="G1178" s="9">
        <v>0</v>
      </c>
      <c r="H1178" s="9">
        <v>0</v>
      </c>
      <c r="I1178" s="9">
        <v>0</v>
      </c>
      <c r="J1178" s="9">
        <v>0</v>
      </c>
      <c r="K1178" s="9">
        <v>0</v>
      </c>
      <c r="L1178" s="9">
        <v>0</v>
      </c>
      <c r="M1178" s="9">
        <v>0</v>
      </c>
      <c r="N1178" s="9">
        <v>0</v>
      </c>
      <c r="O1178" s="9">
        <v>0</v>
      </c>
      <c r="P1178" s="9">
        <v>1</v>
      </c>
      <c r="Q1178" s="9">
        <f>MAX(-20,MIN(10,$A1178-VLOOKUP(YEAR($A1178),'Festive dates'!$A$2:$J$5,8,FALSE)))</f>
        <v>-20</v>
      </c>
      <c r="R1178" s="9">
        <f>IF(AND($A1178&gt;VLOOKUP(YEAR($A1178),'Festive dates'!$A$2:$J$5,2,FALSE),$A1178&lt;VLOOKUP(YEAR($A1178),'Festive dates'!$A$2:$J$5,3,FALSE)),1,0)</f>
        <v>0</v>
      </c>
      <c r="S1178" s="9">
        <f>IF($A1178=VLOOKUP(YEAR($A1178),'Festive dates'!$A$2:$J$5,2,FALSE),1,0)</f>
        <v>0</v>
      </c>
      <c r="T1178" s="9">
        <f>IF($A1178=VLOOKUP(YEAR($A1178),'Festive dates'!$A$2:$J$5,3,FALSE),1,0)</f>
        <v>0</v>
      </c>
      <c r="U1178" s="9">
        <f>IF($A1178=VLOOKUP(YEAR($A1178),'Festive dates'!$A$2:$J$5,4,FALSE),1,0)</f>
        <v>0</v>
      </c>
      <c r="V1178" s="9">
        <f>IF(AND($A1178&gt;=VLOOKUP(YEAR($A1178),'Festive dates'!$A$2:$J$5,9,FALSE),$A1178&lt;=VLOOKUP(YEAR($A1178),'Festive dates'!$A$2:$J$5,10,FALSE)),1,0)</f>
        <v>0</v>
      </c>
      <c r="W1178" s="9">
        <f>IF($A1178=VLOOKUP(YEAR($A1178),'Festive dates'!$A$2:$J$5,7,FALSE),1,0)</f>
        <v>0</v>
      </c>
      <c r="X1178" s="1"/>
      <c r="Y1178" s="1"/>
      <c r="Z1178" s="1"/>
      <c r="AA1178" s="1"/>
      <c r="AB1178" s="1"/>
      <c r="AC1178" s="1"/>
      <c r="AD1178" s="1"/>
      <c r="AE1178" s="1"/>
      <c r="AF1178" s="1"/>
      <c r="AG1178" s="1"/>
      <c r="AH1178" s="1"/>
      <c r="AI1178" s="1"/>
      <c r="AJ1178" s="1"/>
      <c r="AK1178" s="1"/>
      <c r="AL1178" s="1"/>
      <c r="AM1178" s="1"/>
      <c r="AN1178" s="1"/>
      <c r="AO1178" s="1"/>
      <c r="AP1178" s="1"/>
      <c r="AQ1178" s="1"/>
      <c r="AR1178" s="1"/>
      <c r="AS1178" s="1"/>
      <c r="AT1178" s="1"/>
      <c r="AU1178" s="1"/>
      <c r="AV1178" s="1"/>
      <c r="AW1178" s="1"/>
      <c r="AX1178" s="1"/>
      <c r="AY1178" s="1"/>
    </row>
    <row r="1179" spans="1:51">
      <c r="A1179" s="8">
        <v>46194</v>
      </c>
      <c r="B1179" s="9">
        <v>0</v>
      </c>
      <c r="C1179" s="9">
        <v>0</v>
      </c>
      <c r="D1179" s="9">
        <v>0</v>
      </c>
      <c r="E1179" s="9">
        <v>0</v>
      </c>
      <c r="F1179" s="9">
        <v>0</v>
      </c>
      <c r="G1179" s="9">
        <v>0</v>
      </c>
      <c r="H1179" s="9">
        <v>0</v>
      </c>
      <c r="I1179" s="9">
        <v>0</v>
      </c>
      <c r="J1179" s="9">
        <v>0</v>
      </c>
      <c r="K1179" s="9">
        <v>0</v>
      </c>
      <c r="L1179" s="9">
        <v>0</v>
      </c>
      <c r="M1179" s="9">
        <v>0</v>
      </c>
      <c r="N1179" s="9">
        <v>0</v>
      </c>
      <c r="O1179" s="9">
        <v>0</v>
      </c>
      <c r="P1179" s="9">
        <v>0</v>
      </c>
      <c r="Q1179" s="9">
        <f>MAX(-20,MIN(10,$A1179-VLOOKUP(YEAR($A1179),'Festive dates'!$A$2:$J$5,8,FALSE)))</f>
        <v>-20</v>
      </c>
      <c r="R1179" s="9">
        <f>IF(AND($A1179&gt;VLOOKUP(YEAR($A1179),'Festive dates'!$A$2:$J$5,2,FALSE),$A1179&lt;VLOOKUP(YEAR($A1179),'Festive dates'!$A$2:$J$5,3,FALSE)),1,0)</f>
        <v>0</v>
      </c>
      <c r="S1179" s="9">
        <f>IF($A1179=VLOOKUP(YEAR($A1179),'Festive dates'!$A$2:$J$5,2,FALSE),1,0)</f>
        <v>0</v>
      </c>
      <c r="T1179" s="9">
        <f>IF($A1179=VLOOKUP(YEAR($A1179),'Festive dates'!$A$2:$J$5,3,FALSE),1,0)</f>
        <v>0</v>
      </c>
      <c r="U1179" s="9">
        <f>IF($A1179=VLOOKUP(YEAR($A1179),'Festive dates'!$A$2:$J$5,4,FALSE),1,0)</f>
        <v>0</v>
      </c>
      <c r="V1179" s="9">
        <f>IF(AND($A1179&gt;=VLOOKUP(YEAR($A1179),'Festive dates'!$A$2:$J$5,9,FALSE),$A1179&lt;=VLOOKUP(YEAR($A1179),'Festive dates'!$A$2:$J$5,10,FALSE)),1,0)</f>
        <v>0</v>
      </c>
      <c r="W1179" s="9">
        <f>IF($A1179=VLOOKUP(YEAR($A1179),'Festive dates'!$A$2:$J$5,7,FALSE),1,0)</f>
        <v>0</v>
      </c>
      <c r="X1179" s="1"/>
      <c r="Y1179" s="1"/>
      <c r="Z1179" s="1"/>
      <c r="AA1179" s="1"/>
      <c r="AB1179" s="1"/>
      <c r="AC1179" s="1"/>
      <c r="AD1179" s="1"/>
      <c r="AE1179" s="1"/>
      <c r="AF1179" s="1"/>
      <c r="AG1179" s="1"/>
      <c r="AH1179" s="1"/>
      <c r="AI1179" s="1"/>
      <c r="AJ1179" s="1"/>
      <c r="AK1179" s="1"/>
      <c r="AL1179" s="1"/>
      <c r="AM1179" s="1"/>
      <c r="AN1179" s="1"/>
      <c r="AO1179" s="1"/>
      <c r="AP1179" s="1"/>
      <c r="AQ1179" s="1"/>
      <c r="AR1179" s="1"/>
      <c r="AS1179" s="1"/>
      <c r="AT1179" s="1"/>
      <c r="AU1179" s="1"/>
      <c r="AV1179" s="1"/>
      <c r="AW1179" s="1"/>
      <c r="AX1179" s="1"/>
      <c r="AY1179" s="1"/>
    </row>
    <row r="1180" spans="1:51">
      <c r="A1180" s="8">
        <v>46195</v>
      </c>
      <c r="B1180" s="9">
        <v>0</v>
      </c>
      <c r="C1180" s="9">
        <v>0</v>
      </c>
      <c r="D1180" s="9">
        <v>0</v>
      </c>
      <c r="E1180" s="9">
        <v>0</v>
      </c>
      <c r="F1180" s="9">
        <v>0</v>
      </c>
      <c r="G1180" s="9">
        <v>0</v>
      </c>
      <c r="H1180" s="9">
        <v>0</v>
      </c>
      <c r="I1180" s="9">
        <v>0</v>
      </c>
      <c r="J1180" s="9">
        <v>0</v>
      </c>
      <c r="K1180" s="9">
        <v>0</v>
      </c>
      <c r="L1180" s="9">
        <v>0</v>
      </c>
      <c r="M1180" s="9">
        <v>0</v>
      </c>
      <c r="N1180" s="9">
        <v>0</v>
      </c>
      <c r="O1180" s="9">
        <v>0</v>
      </c>
      <c r="P1180" s="9">
        <v>1</v>
      </c>
      <c r="Q1180" s="9">
        <f>MAX(-20,MIN(10,$A1180-VLOOKUP(YEAR($A1180),'Festive dates'!$A$2:$J$5,8,FALSE)))</f>
        <v>-20</v>
      </c>
      <c r="R1180" s="9">
        <f>IF(AND($A1180&gt;VLOOKUP(YEAR($A1180),'Festive dates'!$A$2:$J$5,2,FALSE),$A1180&lt;VLOOKUP(YEAR($A1180),'Festive dates'!$A$2:$J$5,3,FALSE)),1,0)</f>
        <v>0</v>
      </c>
      <c r="S1180" s="9">
        <f>IF($A1180=VLOOKUP(YEAR($A1180),'Festive dates'!$A$2:$J$5,2,FALSE),1,0)</f>
        <v>0</v>
      </c>
      <c r="T1180" s="9">
        <f>IF($A1180=VLOOKUP(YEAR($A1180),'Festive dates'!$A$2:$J$5,3,FALSE),1,0)</f>
        <v>0</v>
      </c>
      <c r="U1180" s="9">
        <f>IF($A1180=VLOOKUP(YEAR($A1180),'Festive dates'!$A$2:$J$5,4,FALSE),1,0)</f>
        <v>0</v>
      </c>
      <c r="V1180" s="9">
        <f>IF(AND($A1180&gt;=VLOOKUP(YEAR($A1180),'Festive dates'!$A$2:$J$5,9,FALSE),$A1180&lt;=VLOOKUP(YEAR($A1180),'Festive dates'!$A$2:$J$5,10,FALSE)),1,0)</f>
        <v>0</v>
      </c>
      <c r="W1180" s="9">
        <f>IF($A1180=VLOOKUP(YEAR($A1180),'Festive dates'!$A$2:$J$5,7,FALSE),1,0)</f>
        <v>0</v>
      </c>
      <c r="X1180" s="1"/>
      <c r="Y1180" s="1"/>
      <c r="Z1180" s="1"/>
      <c r="AA1180" s="1"/>
      <c r="AB1180" s="1"/>
      <c r="AC1180" s="1"/>
      <c r="AD1180" s="1"/>
      <c r="AE1180" s="1"/>
      <c r="AF1180" s="1"/>
      <c r="AG1180" s="1"/>
      <c r="AH1180" s="1"/>
      <c r="AI1180" s="1"/>
      <c r="AJ1180" s="1"/>
      <c r="AK1180" s="1"/>
      <c r="AL1180" s="1"/>
      <c r="AM1180" s="1"/>
      <c r="AN1180" s="1"/>
      <c r="AO1180" s="1"/>
      <c r="AP1180" s="1"/>
      <c r="AQ1180" s="1"/>
      <c r="AR1180" s="1"/>
      <c r="AS1180" s="1"/>
      <c r="AT1180" s="1"/>
      <c r="AU1180" s="1"/>
      <c r="AV1180" s="1"/>
      <c r="AW1180" s="1"/>
      <c r="AX1180" s="1"/>
      <c r="AY1180" s="1"/>
    </row>
    <row r="1181" spans="1:51">
      <c r="A1181" s="8">
        <v>46196</v>
      </c>
      <c r="B1181" s="9">
        <v>0</v>
      </c>
      <c r="C1181" s="9">
        <v>0</v>
      </c>
      <c r="D1181" s="9">
        <v>0</v>
      </c>
      <c r="E1181" s="9">
        <v>0</v>
      </c>
      <c r="F1181" s="9">
        <v>0</v>
      </c>
      <c r="G1181" s="9">
        <v>0</v>
      </c>
      <c r="H1181" s="9">
        <v>0</v>
      </c>
      <c r="I1181" s="9">
        <v>0</v>
      </c>
      <c r="J1181" s="9">
        <v>0</v>
      </c>
      <c r="K1181" s="9">
        <v>0</v>
      </c>
      <c r="L1181" s="9">
        <v>0</v>
      </c>
      <c r="M1181" s="9">
        <v>0</v>
      </c>
      <c r="N1181" s="9">
        <v>0</v>
      </c>
      <c r="O1181" s="9">
        <v>0</v>
      </c>
      <c r="P1181" s="9">
        <v>0</v>
      </c>
      <c r="Q1181" s="9">
        <f>MAX(-20,MIN(10,$A1181-VLOOKUP(YEAR($A1181),'Festive dates'!$A$2:$J$5,8,FALSE)))</f>
        <v>-20</v>
      </c>
      <c r="R1181" s="9">
        <f>IF(AND($A1181&gt;VLOOKUP(YEAR($A1181),'Festive dates'!$A$2:$J$5,2,FALSE),$A1181&lt;VLOOKUP(YEAR($A1181),'Festive dates'!$A$2:$J$5,3,FALSE)),1,0)</f>
        <v>0</v>
      </c>
      <c r="S1181" s="9">
        <f>IF($A1181=VLOOKUP(YEAR($A1181),'Festive dates'!$A$2:$J$5,2,FALSE),1,0)</f>
        <v>0</v>
      </c>
      <c r="T1181" s="9">
        <f>IF($A1181=VLOOKUP(YEAR($A1181),'Festive dates'!$A$2:$J$5,3,FALSE),1,0)</f>
        <v>0</v>
      </c>
      <c r="U1181" s="9">
        <f>IF($A1181=VLOOKUP(YEAR($A1181),'Festive dates'!$A$2:$J$5,4,FALSE),1,0)</f>
        <v>0</v>
      </c>
      <c r="V1181" s="9">
        <f>IF(AND($A1181&gt;=VLOOKUP(YEAR($A1181),'Festive dates'!$A$2:$J$5,9,FALSE),$A1181&lt;=VLOOKUP(YEAR($A1181),'Festive dates'!$A$2:$J$5,10,FALSE)),1,0)</f>
        <v>0</v>
      </c>
      <c r="W1181" s="9">
        <f>IF($A1181=VLOOKUP(YEAR($A1181),'Festive dates'!$A$2:$J$5,7,FALSE),1,0)</f>
        <v>0</v>
      </c>
      <c r="X1181" s="1"/>
      <c r="Y1181" s="1"/>
      <c r="Z1181" s="1"/>
      <c r="AA1181" s="1"/>
      <c r="AB1181" s="1"/>
      <c r="AC1181" s="1"/>
      <c r="AD1181" s="1"/>
      <c r="AE1181" s="1"/>
      <c r="AF1181" s="1"/>
      <c r="AG1181" s="1"/>
      <c r="AH1181" s="1"/>
      <c r="AI1181" s="1"/>
      <c r="AJ1181" s="1"/>
      <c r="AK1181" s="1"/>
      <c r="AL1181" s="1"/>
      <c r="AM1181" s="1"/>
      <c r="AN1181" s="1"/>
      <c r="AO1181" s="1"/>
      <c r="AP1181" s="1"/>
      <c r="AQ1181" s="1"/>
      <c r="AR1181" s="1"/>
      <c r="AS1181" s="1"/>
      <c r="AT1181" s="1"/>
      <c r="AU1181" s="1"/>
      <c r="AV1181" s="1"/>
      <c r="AW1181" s="1"/>
      <c r="AX1181" s="1"/>
      <c r="AY1181" s="1"/>
    </row>
    <row r="1182" spans="1:51">
      <c r="A1182" s="8">
        <v>46197</v>
      </c>
      <c r="B1182" s="9">
        <v>0</v>
      </c>
      <c r="C1182" s="9">
        <v>0</v>
      </c>
      <c r="D1182" s="9">
        <v>0</v>
      </c>
      <c r="E1182" s="9">
        <v>0</v>
      </c>
      <c r="F1182" s="9">
        <v>0</v>
      </c>
      <c r="G1182" s="9">
        <v>0</v>
      </c>
      <c r="H1182" s="9">
        <v>0</v>
      </c>
      <c r="I1182" s="9">
        <v>0</v>
      </c>
      <c r="J1182" s="9">
        <v>0</v>
      </c>
      <c r="K1182" s="9">
        <v>0</v>
      </c>
      <c r="L1182" s="9">
        <v>0</v>
      </c>
      <c r="M1182" s="9">
        <v>0</v>
      </c>
      <c r="N1182" s="9">
        <v>0</v>
      </c>
      <c r="O1182" s="9">
        <v>0</v>
      </c>
      <c r="P1182" s="9">
        <v>1</v>
      </c>
      <c r="Q1182" s="9">
        <f>MAX(-20,MIN(10,$A1182-VLOOKUP(YEAR($A1182),'Festive dates'!$A$2:$J$5,8,FALSE)))</f>
        <v>-20</v>
      </c>
      <c r="R1182" s="9">
        <f>IF(AND($A1182&gt;VLOOKUP(YEAR($A1182),'Festive dates'!$A$2:$J$5,2,FALSE),$A1182&lt;VLOOKUP(YEAR($A1182),'Festive dates'!$A$2:$J$5,3,FALSE)),1,0)</f>
        <v>0</v>
      </c>
      <c r="S1182" s="9">
        <f>IF($A1182=VLOOKUP(YEAR($A1182),'Festive dates'!$A$2:$J$5,2,FALSE),1,0)</f>
        <v>0</v>
      </c>
      <c r="T1182" s="9">
        <f>IF($A1182=VLOOKUP(YEAR($A1182),'Festive dates'!$A$2:$J$5,3,FALSE),1,0)</f>
        <v>0</v>
      </c>
      <c r="U1182" s="9">
        <f>IF($A1182=VLOOKUP(YEAR($A1182),'Festive dates'!$A$2:$J$5,4,FALSE),1,0)</f>
        <v>0</v>
      </c>
      <c r="V1182" s="9">
        <f>IF(AND($A1182&gt;=VLOOKUP(YEAR($A1182),'Festive dates'!$A$2:$J$5,9,FALSE),$A1182&lt;=VLOOKUP(YEAR($A1182),'Festive dates'!$A$2:$J$5,10,FALSE)),1,0)</f>
        <v>0</v>
      </c>
      <c r="W1182" s="9">
        <f>IF($A1182=VLOOKUP(YEAR($A1182),'Festive dates'!$A$2:$J$5,7,FALSE),1,0)</f>
        <v>0</v>
      </c>
      <c r="X1182" s="1"/>
      <c r="Y1182" s="1"/>
      <c r="Z1182" s="1"/>
      <c r="AA1182" s="1"/>
      <c r="AB1182" s="1"/>
      <c r="AC1182" s="1"/>
      <c r="AD1182" s="1"/>
      <c r="AE1182" s="1"/>
      <c r="AF1182" s="1"/>
      <c r="AG1182" s="1"/>
      <c r="AH1182" s="1"/>
      <c r="AI1182" s="1"/>
      <c r="AJ1182" s="1"/>
      <c r="AK1182" s="1"/>
      <c r="AL1182" s="1"/>
      <c r="AM1182" s="1"/>
      <c r="AN1182" s="1"/>
      <c r="AO1182" s="1"/>
      <c r="AP1182" s="1"/>
      <c r="AQ1182" s="1"/>
      <c r="AR1182" s="1"/>
      <c r="AS1182" s="1"/>
      <c r="AT1182" s="1"/>
      <c r="AU1182" s="1"/>
      <c r="AV1182" s="1"/>
      <c r="AW1182" s="1"/>
      <c r="AX1182" s="1"/>
      <c r="AY1182" s="1"/>
    </row>
    <row r="1183" spans="1:51">
      <c r="A1183" s="8">
        <v>46198</v>
      </c>
      <c r="B1183" s="9">
        <v>0</v>
      </c>
      <c r="C1183" s="9">
        <v>0</v>
      </c>
      <c r="D1183" s="9">
        <v>0</v>
      </c>
      <c r="E1183" s="9">
        <v>0</v>
      </c>
      <c r="F1183" s="9">
        <v>0</v>
      </c>
      <c r="G1183" s="9">
        <v>0</v>
      </c>
      <c r="H1183" s="9">
        <v>0</v>
      </c>
      <c r="I1183" s="9">
        <v>0</v>
      </c>
      <c r="J1183" s="9">
        <v>0</v>
      </c>
      <c r="K1183" s="9">
        <v>0</v>
      </c>
      <c r="L1183" s="9">
        <v>0</v>
      </c>
      <c r="M1183" s="9">
        <v>0</v>
      </c>
      <c r="N1183" s="9">
        <v>0</v>
      </c>
      <c r="O1183" s="9">
        <v>0</v>
      </c>
      <c r="P1183" s="9">
        <v>0</v>
      </c>
      <c r="Q1183" s="9">
        <f>MAX(-20,MIN(10,$A1183-VLOOKUP(YEAR($A1183),'Festive dates'!$A$2:$J$5,8,FALSE)))</f>
        <v>-20</v>
      </c>
      <c r="R1183" s="9">
        <f>IF(AND($A1183&gt;VLOOKUP(YEAR($A1183),'Festive dates'!$A$2:$J$5,2,FALSE),$A1183&lt;VLOOKUP(YEAR($A1183),'Festive dates'!$A$2:$J$5,3,FALSE)),1,0)</f>
        <v>0</v>
      </c>
      <c r="S1183" s="9">
        <f>IF($A1183=VLOOKUP(YEAR($A1183),'Festive dates'!$A$2:$J$5,2,FALSE),1,0)</f>
        <v>0</v>
      </c>
      <c r="T1183" s="9">
        <f>IF($A1183=VLOOKUP(YEAR($A1183),'Festive dates'!$A$2:$J$5,3,FALSE),1,0)</f>
        <v>0</v>
      </c>
      <c r="U1183" s="9">
        <f>IF($A1183=VLOOKUP(YEAR($A1183),'Festive dates'!$A$2:$J$5,4,FALSE),1,0)</f>
        <v>0</v>
      </c>
      <c r="V1183" s="9">
        <f>IF(AND($A1183&gt;=VLOOKUP(YEAR($A1183),'Festive dates'!$A$2:$J$5,9,FALSE),$A1183&lt;=VLOOKUP(YEAR($A1183),'Festive dates'!$A$2:$J$5,10,FALSE)),1,0)</f>
        <v>0</v>
      </c>
      <c r="W1183" s="9">
        <f>IF($A1183=VLOOKUP(YEAR($A1183),'Festive dates'!$A$2:$J$5,7,FALSE),1,0)</f>
        <v>0</v>
      </c>
      <c r="X1183" s="1"/>
      <c r="Y1183" s="1"/>
      <c r="Z1183" s="1"/>
      <c r="AA1183" s="1"/>
      <c r="AB1183" s="1"/>
      <c r="AC1183" s="1"/>
      <c r="AD1183" s="1"/>
      <c r="AE1183" s="1"/>
      <c r="AF1183" s="1"/>
      <c r="AG1183" s="1"/>
      <c r="AH1183" s="1"/>
      <c r="AI1183" s="1"/>
      <c r="AJ1183" s="1"/>
      <c r="AK1183" s="1"/>
      <c r="AL1183" s="1"/>
      <c r="AM1183" s="1"/>
      <c r="AN1183" s="1"/>
      <c r="AO1183" s="1"/>
      <c r="AP1183" s="1"/>
      <c r="AQ1183" s="1"/>
      <c r="AR1183" s="1"/>
      <c r="AS1183" s="1"/>
      <c r="AT1183" s="1"/>
      <c r="AU1183" s="1"/>
      <c r="AV1183" s="1"/>
      <c r="AW1183" s="1"/>
      <c r="AX1183" s="1"/>
      <c r="AY1183" s="1"/>
    </row>
    <row r="1184" spans="1:51">
      <c r="A1184" s="8">
        <v>46199</v>
      </c>
      <c r="B1184" s="9">
        <v>0</v>
      </c>
      <c r="C1184" s="9">
        <v>0</v>
      </c>
      <c r="D1184" s="9">
        <v>0</v>
      </c>
      <c r="E1184" s="9">
        <v>0</v>
      </c>
      <c r="F1184" s="9">
        <v>0</v>
      </c>
      <c r="G1184" s="9">
        <v>0</v>
      </c>
      <c r="H1184" s="9">
        <v>0</v>
      </c>
      <c r="I1184" s="9">
        <v>0</v>
      </c>
      <c r="J1184" s="9">
        <v>0</v>
      </c>
      <c r="K1184" s="9">
        <v>0</v>
      </c>
      <c r="L1184" s="9">
        <v>0</v>
      </c>
      <c r="M1184" s="9">
        <v>0</v>
      </c>
      <c r="N1184" s="9">
        <v>0</v>
      </c>
      <c r="O1184" s="9">
        <v>0</v>
      </c>
      <c r="P1184" s="9">
        <v>0</v>
      </c>
      <c r="Q1184" s="9">
        <f>MAX(-20,MIN(10,$A1184-VLOOKUP(YEAR($A1184),'Festive dates'!$A$2:$J$5,8,FALSE)))</f>
        <v>-20</v>
      </c>
      <c r="R1184" s="9">
        <f>IF(AND($A1184&gt;VLOOKUP(YEAR($A1184),'Festive dates'!$A$2:$J$5,2,FALSE),$A1184&lt;VLOOKUP(YEAR($A1184),'Festive dates'!$A$2:$J$5,3,FALSE)),1,0)</f>
        <v>0</v>
      </c>
      <c r="S1184" s="9">
        <f>IF($A1184=VLOOKUP(YEAR($A1184),'Festive dates'!$A$2:$J$5,2,FALSE),1,0)</f>
        <v>0</v>
      </c>
      <c r="T1184" s="9">
        <f>IF($A1184=VLOOKUP(YEAR($A1184),'Festive dates'!$A$2:$J$5,3,FALSE),1,0)</f>
        <v>0</v>
      </c>
      <c r="U1184" s="9">
        <f>IF($A1184=VLOOKUP(YEAR($A1184),'Festive dates'!$A$2:$J$5,4,FALSE),1,0)</f>
        <v>0</v>
      </c>
      <c r="V1184" s="9">
        <f>IF(AND($A1184&gt;=VLOOKUP(YEAR($A1184),'Festive dates'!$A$2:$J$5,9,FALSE),$A1184&lt;=VLOOKUP(YEAR($A1184),'Festive dates'!$A$2:$J$5,10,FALSE)),1,0)</f>
        <v>0</v>
      </c>
      <c r="W1184" s="9">
        <f>IF($A1184=VLOOKUP(YEAR($A1184),'Festive dates'!$A$2:$J$5,7,FALSE),1,0)</f>
        <v>0</v>
      </c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  <c r="AH1184" s="1"/>
      <c r="AI1184" s="1"/>
      <c r="AJ1184" s="1"/>
      <c r="AK1184" s="1"/>
      <c r="AL1184" s="1"/>
      <c r="AM1184" s="1"/>
      <c r="AN1184" s="1"/>
      <c r="AO1184" s="1"/>
      <c r="AP1184" s="1"/>
      <c r="AQ1184" s="1"/>
      <c r="AR1184" s="1"/>
      <c r="AS1184" s="1"/>
      <c r="AT1184" s="1"/>
      <c r="AU1184" s="1"/>
      <c r="AV1184" s="1"/>
      <c r="AW1184" s="1"/>
      <c r="AX1184" s="1"/>
      <c r="AY1184" s="1"/>
    </row>
    <row r="1185" spans="1:51">
      <c r="A1185" s="8">
        <v>46200</v>
      </c>
      <c r="B1185" s="9">
        <v>0</v>
      </c>
      <c r="C1185" s="9">
        <v>0</v>
      </c>
      <c r="D1185" s="9">
        <v>0</v>
      </c>
      <c r="E1185" s="9">
        <v>0</v>
      </c>
      <c r="F1185" s="9">
        <v>0</v>
      </c>
      <c r="G1185" s="9">
        <v>0</v>
      </c>
      <c r="H1185" s="9">
        <v>0</v>
      </c>
      <c r="I1185" s="9">
        <v>0</v>
      </c>
      <c r="J1185" s="9">
        <v>0</v>
      </c>
      <c r="K1185" s="9">
        <v>0</v>
      </c>
      <c r="L1185" s="9">
        <v>0</v>
      </c>
      <c r="M1185" s="9">
        <v>0</v>
      </c>
      <c r="N1185" s="9">
        <v>0</v>
      </c>
      <c r="O1185" s="9">
        <v>0</v>
      </c>
      <c r="P1185" s="9">
        <v>0</v>
      </c>
      <c r="Q1185" s="9">
        <f>MAX(-20,MIN(10,$A1185-VLOOKUP(YEAR($A1185),'Festive dates'!$A$2:$J$5,8,FALSE)))</f>
        <v>-20</v>
      </c>
      <c r="R1185" s="9">
        <f>IF(AND($A1185&gt;VLOOKUP(YEAR($A1185),'Festive dates'!$A$2:$J$5,2,FALSE),$A1185&lt;VLOOKUP(YEAR($A1185),'Festive dates'!$A$2:$J$5,3,FALSE)),1,0)</f>
        <v>0</v>
      </c>
      <c r="S1185" s="9">
        <f>IF($A1185=VLOOKUP(YEAR($A1185),'Festive dates'!$A$2:$J$5,2,FALSE),1,0)</f>
        <v>0</v>
      </c>
      <c r="T1185" s="9">
        <f>IF($A1185=VLOOKUP(YEAR($A1185),'Festive dates'!$A$2:$J$5,3,FALSE),1,0)</f>
        <v>0</v>
      </c>
      <c r="U1185" s="9">
        <f>IF($A1185=VLOOKUP(YEAR($A1185),'Festive dates'!$A$2:$J$5,4,FALSE),1,0)</f>
        <v>0</v>
      </c>
      <c r="V1185" s="9">
        <f>IF(AND($A1185&gt;=VLOOKUP(YEAR($A1185),'Festive dates'!$A$2:$J$5,9,FALSE),$A1185&lt;=VLOOKUP(YEAR($A1185),'Festive dates'!$A$2:$J$5,10,FALSE)),1,0)</f>
        <v>0</v>
      </c>
      <c r="W1185" s="9">
        <f>IF($A1185=VLOOKUP(YEAR($A1185),'Festive dates'!$A$2:$J$5,7,FALSE),1,0)</f>
        <v>0</v>
      </c>
      <c r="X1185" s="1"/>
      <c r="Y1185" s="1"/>
      <c r="Z1185" s="1"/>
      <c r="AA1185" s="1"/>
      <c r="AB1185" s="1"/>
      <c r="AC1185" s="1"/>
      <c r="AD1185" s="1"/>
      <c r="AE1185" s="1"/>
      <c r="AF1185" s="1"/>
      <c r="AG1185" s="1"/>
      <c r="AH1185" s="1"/>
      <c r="AI1185" s="1"/>
      <c r="AJ1185" s="1"/>
      <c r="AK1185" s="1"/>
      <c r="AL1185" s="1"/>
      <c r="AM1185" s="1"/>
      <c r="AN1185" s="1"/>
      <c r="AO1185" s="1"/>
      <c r="AP1185" s="1"/>
      <c r="AQ1185" s="1"/>
      <c r="AR1185" s="1"/>
      <c r="AS1185" s="1"/>
      <c r="AT1185" s="1"/>
      <c r="AU1185" s="1"/>
      <c r="AV1185" s="1"/>
      <c r="AW1185" s="1"/>
      <c r="AX1185" s="1"/>
      <c r="AY1185" s="1"/>
    </row>
    <row r="1186" spans="1:51">
      <c r="A1186" s="8">
        <v>46201</v>
      </c>
      <c r="B1186" s="9">
        <v>0</v>
      </c>
      <c r="C1186" s="9">
        <v>0</v>
      </c>
      <c r="D1186" s="9">
        <v>0</v>
      </c>
      <c r="E1186" s="9">
        <v>0</v>
      </c>
      <c r="F1186" s="9">
        <v>0</v>
      </c>
      <c r="G1186" s="9">
        <v>0</v>
      </c>
      <c r="H1186" s="9">
        <v>0</v>
      </c>
      <c r="I1186" s="9">
        <v>0</v>
      </c>
      <c r="J1186" s="9">
        <v>0</v>
      </c>
      <c r="K1186" s="9">
        <v>0</v>
      </c>
      <c r="L1186" s="9">
        <v>0</v>
      </c>
      <c r="M1186" s="9">
        <v>0</v>
      </c>
      <c r="N1186" s="9">
        <v>0</v>
      </c>
      <c r="O1186" s="9">
        <v>0</v>
      </c>
      <c r="P1186" s="9">
        <v>0</v>
      </c>
      <c r="Q1186" s="9">
        <f>MAX(-20,MIN(10,$A1186-VLOOKUP(YEAR($A1186),'Festive dates'!$A$2:$J$5,8,FALSE)))</f>
        <v>-20</v>
      </c>
      <c r="R1186" s="9">
        <f>IF(AND($A1186&gt;VLOOKUP(YEAR($A1186),'Festive dates'!$A$2:$J$5,2,FALSE),$A1186&lt;VLOOKUP(YEAR($A1186),'Festive dates'!$A$2:$J$5,3,FALSE)),1,0)</f>
        <v>0</v>
      </c>
      <c r="S1186" s="9">
        <f>IF($A1186=VLOOKUP(YEAR($A1186),'Festive dates'!$A$2:$J$5,2,FALSE),1,0)</f>
        <v>0</v>
      </c>
      <c r="T1186" s="9">
        <f>IF($A1186=VLOOKUP(YEAR($A1186),'Festive dates'!$A$2:$J$5,3,FALSE),1,0)</f>
        <v>0</v>
      </c>
      <c r="U1186" s="9">
        <f>IF($A1186=VLOOKUP(YEAR($A1186),'Festive dates'!$A$2:$J$5,4,FALSE),1,0)</f>
        <v>0</v>
      </c>
      <c r="V1186" s="9">
        <f>IF(AND($A1186&gt;=VLOOKUP(YEAR($A1186),'Festive dates'!$A$2:$J$5,9,FALSE),$A1186&lt;=VLOOKUP(YEAR($A1186),'Festive dates'!$A$2:$J$5,10,FALSE)),1,0)</f>
        <v>0</v>
      </c>
      <c r="W1186" s="9">
        <f>IF($A1186=VLOOKUP(YEAR($A1186),'Festive dates'!$A$2:$J$5,7,FALSE),1,0)</f>
        <v>0</v>
      </c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  <c r="AH1186" s="1"/>
      <c r="AI1186" s="1"/>
      <c r="AJ1186" s="1"/>
      <c r="AK1186" s="1"/>
      <c r="AL1186" s="1"/>
      <c r="AM1186" s="1"/>
      <c r="AN1186" s="1"/>
      <c r="AO1186" s="1"/>
      <c r="AP1186" s="1"/>
      <c r="AQ1186" s="1"/>
      <c r="AR1186" s="1"/>
      <c r="AS1186" s="1"/>
      <c r="AT1186" s="1"/>
      <c r="AU1186" s="1"/>
      <c r="AV1186" s="1"/>
      <c r="AW1186" s="1"/>
      <c r="AX1186" s="1"/>
      <c r="AY1186" s="1"/>
    </row>
    <row r="1187" spans="1:51">
      <c r="A1187" s="8">
        <v>46202</v>
      </c>
      <c r="B1187" s="9">
        <v>0</v>
      </c>
      <c r="C1187" s="9">
        <v>0</v>
      </c>
      <c r="D1187" s="9">
        <v>0</v>
      </c>
      <c r="E1187" s="9">
        <v>0</v>
      </c>
      <c r="F1187" s="9">
        <v>0</v>
      </c>
      <c r="G1187" s="9">
        <v>0</v>
      </c>
      <c r="H1187" s="9">
        <v>0</v>
      </c>
      <c r="I1187" s="9">
        <v>0</v>
      </c>
      <c r="J1187" s="9">
        <v>0</v>
      </c>
      <c r="K1187" s="9">
        <v>0</v>
      </c>
      <c r="L1187" s="9">
        <v>0</v>
      </c>
      <c r="M1187" s="9">
        <v>0</v>
      </c>
      <c r="N1187" s="9">
        <v>0</v>
      </c>
      <c r="O1187" s="9">
        <v>0</v>
      </c>
      <c r="P1187" s="9">
        <v>1</v>
      </c>
      <c r="Q1187" s="9">
        <f>MAX(-20,MIN(10,$A1187-VLOOKUP(YEAR($A1187),'Festive dates'!$A$2:$J$5,8,FALSE)))</f>
        <v>-20</v>
      </c>
      <c r="R1187" s="9">
        <f>IF(AND($A1187&gt;VLOOKUP(YEAR($A1187),'Festive dates'!$A$2:$J$5,2,FALSE),$A1187&lt;VLOOKUP(YEAR($A1187),'Festive dates'!$A$2:$J$5,3,FALSE)),1,0)</f>
        <v>0</v>
      </c>
      <c r="S1187" s="9">
        <f>IF($A1187=VLOOKUP(YEAR($A1187),'Festive dates'!$A$2:$J$5,2,FALSE),1,0)</f>
        <v>0</v>
      </c>
      <c r="T1187" s="9">
        <f>IF($A1187=VLOOKUP(YEAR($A1187),'Festive dates'!$A$2:$J$5,3,FALSE),1,0)</f>
        <v>0</v>
      </c>
      <c r="U1187" s="9">
        <f>IF($A1187=VLOOKUP(YEAR($A1187),'Festive dates'!$A$2:$J$5,4,FALSE),1,0)</f>
        <v>0</v>
      </c>
      <c r="V1187" s="9">
        <f>IF(AND($A1187&gt;=VLOOKUP(YEAR($A1187),'Festive dates'!$A$2:$J$5,9,FALSE),$A1187&lt;=VLOOKUP(YEAR($A1187),'Festive dates'!$A$2:$J$5,10,FALSE)),1,0)</f>
        <v>0</v>
      </c>
      <c r="W1187" s="9">
        <f>IF($A1187=VLOOKUP(YEAR($A1187),'Festive dates'!$A$2:$J$5,7,FALSE),1,0)</f>
        <v>0</v>
      </c>
      <c r="X1187" s="1"/>
      <c r="Y1187" s="1"/>
      <c r="Z1187" s="1"/>
      <c r="AA1187" s="1"/>
      <c r="AB1187" s="1"/>
      <c r="AC1187" s="1"/>
      <c r="AD1187" s="1"/>
      <c r="AE1187" s="1"/>
      <c r="AF1187" s="1"/>
      <c r="AG1187" s="1"/>
      <c r="AH1187" s="1"/>
      <c r="AI1187" s="1"/>
      <c r="AJ1187" s="1"/>
      <c r="AK1187" s="1"/>
      <c r="AL1187" s="1"/>
      <c r="AM1187" s="1"/>
      <c r="AN1187" s="1"/>
      <c r="AO1187" s="1"/>
      <c r="AP1187" s="1"/>
      <c r="AQ1187" s="1"/>
      <c r="AR1187" s="1"/>
      <c r="AS1187" s="1"/>
      <c r="AT1187" s="1"/>
      <c r="AU1187" s="1"/>
      <c r="AV1187" s="1"/>
      <c r="AW1187" s="1"/>
      <c r="AX1187" s="1"/>
      <c r="AY1187" s="1"/>
    </row>
    <row r="1188" spans="1:51">
      <c r="A1188" s="8">
        <v>46203</v>
      </c>
      <c r="B1188" s="9">
        <v>0</v>
      </c>
      <c r="C1188" s="9">
        <v>0</v>
      </c>
      <c r="D1188" s="9">
        <v>0</v>
      </c>
      <c r="E1188" s="9">
        <v>0</v>
      </c>
      <c r="F1188" s="9">
        <v>0</v>
      </c>
      <c r="G1188" s="9">
        <v>0</v>
      </c>
      <c r="H1188" s="9">
        <v>0</v>
      </c>
      <c r="I1188" s="9">
        <v>0</v>
      </c>
      <c r="J1188" s="9">
        <v>0</v>
      </c>
      <c r="K1188" s="9">
        <v>0</v>
      </c>
      <c r="L1188" s="9">
        <v>0</v>
      </c>
      <c r="M1188" s="9">
        <v>0</v>
      </c>
      <c r="N1188" s="9">
        <v>0</v>
      </c>
      <c r="O1188" s="9">
        <v>0</v>
      </c>
      <c r="P1188" s="9">
        <v>1</v>
      </c>
      <c r="Q1188" s="9">
        <f>MAX(-20,MIN(10,$A1188-VLOOKUP(YEAR($A1188),'Festive dates'!$A$2:$J$5,8,FALSE)))</f>
        <v>-20</v>
      </c>
      <c r="R1188" s="9">
        <f>IF(AND($A1188&gt;VLOOKUP(YEAR($A1188),'Festive dates'!$A$2:$J$5,2,FALSE),$A1188&lt;VLOOKUP(YEAR($A1188),'Festive dates'!$A$2:$J$5,3,FALSE)),1,0)</f>
        <v>0</v>
      </c>
      <c r="S1188" s="9">
        <f>IF($A1188=VLOOKUP(YEAR($A1188),'Festive dates'!$A$2:$J$5,2,FALSE),1,0)</f>
        <v>0</v>
      </c>
      <c r="T1188" s="9">
        <f>IF($A1188=VLOOKUP(YEAR($A1188),'Festive dates'!$A$2:$J$5,3,FALSE),1,0)</f>
        <v>0</v>
      </c>
      <c r="U1188" s="9">
        <f>IF($A1188=VLOOKUP(YEAR($A1188),'Festive dates'!$A$2:$J$5,4,FALSE),1,0)</f>
        <v>0</v>
      </c>
      <c r="V1188" s="9">
        <f>IF(AND($A1188&gt;=VLOOKUP(YEAR($A1188),'Festive dates'!$A$2:$J$5,9,FALSE),$A1188&lt;=VLOOKUP(YEAR($A1188),'Festive dates'!$A$2:$J$5,10,FALSE)),1,0)</f>
        <v>0</v>
      </c>
      <c r="W1188" s="9">
        <f>IF($A1188=VLOOKUP(YEAR($A1188),'Festive dates'!$A$2:$J$5,7,FALSE),1,0)</f>
        <v>0</v>
      </c>
      <c r="X1188" s="1"/>
      <c r="Y1188" s="1"/>
      <c r="Z1188" s="1"/>
      <c r="AA1188" s="1"/>
      <c r="AB1188" s="1"/>
      <c r="AC1188" s="1"/>
      <c r="AD1188" s="1"/>
      <c r="AE1188" s="1"/>
      <c r="AF1188" s="1"/>
      <c r="AG1188" s="1"/>
      <c r="AH1188" s="1"/>
      <c r="AI1188" s="1"/>
      <c r="AJ1188" s="1"/>
      <c r="AK1188" s="1"/>
      <c r="AL1188" s="1"/>
      <c r="AM1188" s="1"/>
      <c r="AN1188" s="1"/>
      <c r="AO1188" s="1"/>
      <c r="AP1188" s="1"/>
      <c r="AQ1188" s="1"/>
      <c r="AR1188" s="1"/>
      <c r="AS1188" s="1"/>
      <c r="AT1188" s="1"/>
      <c r="AU1188" s="1"/>
      <c r="AV1188" s="1"/>
      <c r="AW1188" s="1"/>
      <c r="AX1188" s="1"/>
      <c r="AY1188" s="1"/>
    </row>
    <row r="1189" spans="1:51">
      <c r="A1189" s="8">
        <v>46204</v>
      </c>
      <c r="B1189" s="9">
        <v>0</v>
      </c>
      <c r="C1189" s="9">
        <v>0</v>
      </c>
      <c r="D1189" s="9">
        <v>0</v>
      </c>
      <c r="E1189" s="9">
        <v>0</v>
      </c>
      <c r="F1189" s="9">
        <v>0</v>
      </c>
      <c r="G1189" s="9">
        <v>0</v>
      </c>
      <c r="H1189" s="9">
        <v>0</v>
      </c>
      <c r="I1189" s="9">
        <v>0</v>
      </c>
      <c r="J1189" s="9">
        <v>0</v>
      </c>
      <c r="K1189" s="9">
        <v>0</v>
      </c>
      <c r="L1189" s="9">
        <v>0</v>
      </c>
      <c r="M1189" s="9">
        <v>0</v>
      </c>
      <c r="N1189" s="9">
        <v>0</v>
      </c>
      <c r="O1189" s="9">
        <v>0</v>
      </c>
      <c r="P1189" s="9">
        <v>0</v>
      </c>
      <c r="Q1189" s="9">
        <f>MAX(-20,MIN(10,$A1189-VLOOKUP(YEAR($A1189),'Festive dates'!$A$2:$J$5,8,FALSE)))</f>
        <v>-20</v>
      </c>
      <c r="R1189" s="9">
        <f>IF(AND($A1189&gt;VLOOKUP(YEAR($A1189),'Festive dates'!$A$2:$J$5,2,FALSE),$A1189&lt;VLOOKUP(YEAR($A1189),'Festive dates'!$A$2:$J$5,3,FALSE)),1,0)</f>
        <v>0</v>
      </c>
      <c r="S1189" s="9">
        <f>IF($A1189=VLOOKUP(YEAR($A1189),'Festive dates'!$A$2:$J$5,2,FALSE),1,0)</f>
        <v>0</v>
      </c>
      <c r="T1189" s="9">
        <f>IF($A1189=VLOOKUP(YEAR($A1189),'Festive dates'!$A$2:$J$5,3,FALSE),1,0)</f>
        <v>0</v>
      </c>
      <c r="U1189" s="9">
        <f>IF($A1189=VLOOKUP(YEAR($A1189),'Festive dates'!$A$2:$J$5,4,FALSE),1,0)</f>
        <v>0</v>
      </c>
      <c r="V1189" s="9">
        <f>IF(AND($A1189&gt;=VLOOKUP(YEAR($A1189),'Festive dates'!$A$2:$J$5,9,FALSE),$A1189&lt;=VLOOKUP(YEAR($A1189),'Festive dates'!$A$2:$J$5,10,FALSE)),1,0)</f>
        <v>0</v>
      </c>
      <c r="W1189" s="9">
        <f>IF($A1189=VLOOKUP(YEAR($A1189),'Festive dates'!$A$2:$J$5,7,FALSE),1,0)</f>
        <v>0</v>
      </c>
      <c r="X1189" s="1"/>
      <c r="Y1189" s="1"/>
      <c r="Z1189" s="1"/>
      <c r="AA1189" s="1"/>
      <c r="AB1189" s="1"/>
      <c r="AC1189" s="1"/>
      <c r="AD1189" s="1"/>
      <c r="AE1189" s="1"/>
      <c r="AF1189" s="1"/>
      <c r="AG1189" s="1"/>
      <c r="AH1189" s="1"/>
      <c r="AI1189" s="1"/>
      <c r="AJ1189" s="1"/>
      <c r="AK1189" s="1"/>
      <c r="AL1189" s="1"/>
      <c r="AM1189" s="1"/>
      <c r="AN1189" s="1"/>
      <c r="AO1189" s="1"/>
      <c r="AP1189" s="1"/>
      <c r="AQ1189" s="1"/>
      <c r="AR1189" s="1"/>
      <c r="AS1189" s="1"/>
      <c r="AT1189" s="1"/>
      <c r="AU1189" s="1"/>
      <c r="AV1189" s="1"/>
      <c r="AW1189" s="1"/>
      <c r="AX1189" s="1"/>
      <c r="AY1189" s="1"/>
    </row>
    <row r="1190" spans="1:51">
      <c r="A1190" s="8">
        <v>46205</v>
      </c>
      <c r="B1190" s="9">
        <v>0</v>
      </c>
      <c r="C1190" s="9">
        <v>0</v>
      </c>
      <c r="D1190" s="9">
        <v>0</v>
      </c>
      <c r="E1190" s="9">
        <v>0</v>
      </c>
      <c r="F1190" s="9">
        <v>0</v>
      </c>
      <c r="G1190" s="9">
        <v>0</v>
      </c>
      <c r="H1190" s="9">
        <v>0</v>
      </c>
      <c r="I1190" s="9">
        <v>0</v>
      </c>
      <c r="J1190" s="9">
        <v>0</v>
      </c>
      <c r="K1190" s="9">
        <v>0</v>
      </c>
      <c r="L1190" s="9">
        <v>0</v>
      </c>
      <c r="M1190" s="9">
        <v>0</v>
      </c>
      <c r="N1190" s="9">
        <v>0</v>
      </c>
      <c r="O1190" s="9">
        <v>0</v>
      </c>
      <c r="P1190" s="9">
        <v>0</v>
      </c>
      <c r="Q1190" s="9">
        <f>MAX(-20,MIN(10,$A1190-VLOOKUP(YEAR($A1190),'Festive dates'!$A$2:$J$5,8,FALSE)))</f>
        <v>-20</v>
      </c>
      <c r="R1190" s="9">
        <f>IF(AND($A1190&gt;VLOOKUP(YEAR($A1190),'Festive dates'!$A$2:$J$5,2,FALSE),$A1190&lt;VLOOKUP(YEAR($A1190),'Festive dates'!$A$2:$J$5,3,FALSE)),1,0)</f>
        <v>0</v>
      </c>
      <c r="S1190" s="9">
        <f>IF($A1190=VLOOKUP(YEAR($A1190),'Festive dates'!$A$2:$J$5,2,FALSE),1,0)</f>
        <v>0</v>
      </c>
      <c r="T1190" s="9">
        <f>IF($A1190=VLOOKUP(YEAR($A1190),'Festive dates'!$A$2:$J$5,3,FALSE),1,0)</f>
        <v>0</v>
      </c>
      <c r="U1190" s="9">
        <f>IF($A1190=VLOOKUP(YEAR($A1190),'Festive dates'!$A$2:$J$5,4,FALSE),1,0)</f>
        <v>0</v>
      </c>
      <c r="V1190" s="9">
        <f>IF(AND($A1190&gt;=VLOOKUP(YEAR($A1190),'Festive dates'!$A$2:$J$5,9,FALSE),$A1190&lt;=VLOOKUP(YEAR($A1190),'Festive dates'!$A$2:$J$5,10,FALSE)),1,0)</f>
        <v>0</v>
      </c>
      <c r="W1190" s="9">
        <f>IF($A1190=VLOOKUP(YEAR($A1190),'Festive dates'!$A$2:$J$5,7,FALSE),1,0)</f>
        <v>0</v>
      </c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  <c r="AH1190" s="1"/>
      <c r="AI1190" s="1"/>
      <c r="AJ1190" s="1"/>
      <c r="AK1190" s="1"/>
      <c r="AL1190" s="1"/>
      <c r="AM1190" s="1"/>
      <c r="AN1190" s="1"/>
      <c r="AO1190" s="1"/>
      <c r="AP1190" s="1"/>
      <c r="AQ1190" s="1"/>
      <c r="AR1190" s="1"/>
      <c r="AS1190" s="1"/>
      <c r="AT1190" s="1"/>
      <c r="AU1190" s="1"/>
      <c r="AV1190" s="1"/>
      <c r="AW1190" s="1"/>
      <c r="AX1190" s="1"/>
      <c r="AY1190" s="1"/>
    </row>
    <row r="1191" spans="1:51">
      <c r="A1191" s="8">
        <v>46206</v>
      </c>
      <c r="B1191" s="9">
        <v>0</v>
      </c>
      <c r="C1191" s="9">
        <v>0</v>
      </c>
      <c r="D1191" s="9">
        <v>0</v>
      </c>
      <c r="E1191" s="9">
        <v>0</v>
      </c>
      <c r="F1191" s="9">
        <v>0</v>
      </c>
      <c r="G1191" s="9">
        <v>0</v>
      </c>
      <c r="H1191" s="9">
        <v>0</v>
      </c>
      <c r="I1191" s="9">
        <v>0</v>
      </c>
      <c r="J1191" s="9">
        <v>0</v>
      </c>
      <c r="K1191" s="9">
        <v>0</v>
      </c>
      <c r="L1191" s="9">
        <v>0</v>
      </c>
      <c r="M1191" s="9">
        <v>0</v>
      </c>
      <c r="N1191" s="9">
        <v>0</v>
      </c>
      <c r="O1191" s="9">
        <v>0</v>
      </c>
      <c r="P1191" s="9">
        <v>0</v>
      </c>
      <c r="Q1191" s="9">
        <f>MAX(-20,MIN(10,$A1191-VLOOKUP(YEAR($A1191),'Festive dates'!$A$2:$J$5,8,FALSE)))</f>
        <v>-20</v>
      </c>
      <c r="R1191" s="9">
        <f>IF(AND($A1191&gt;VLOOKUP(YEAR($A1191),'Festive dates'!$A$2:$J$5,2,FALSE),$A1191&lt;VLOOKUP(YEAR($A1191),'Festive dates'!$A$2:$J$5,3,FALSE)),1,0)</f>
        <v>0</v>
      </c>
      <c r="S1191" s="9">
        <f>IF($A1191=VLOOKUP(YEAR($A1191),'Festive dates'!$A$2:$J$5,2,FALSE),1,0)</f>
        <v>0</v>
      </c>
      <c r="T1191" s="9">
        <f>IF($A1191=VLOOKUP(YEAR($A1191),'Festive dates'!$A$2:$J$5,3,FALSE),1,0)</f>
        <v>0</v>
      </c>
      <c r="U1191" s="9">
        <f>IF($A1191=VLOOKUP(YEAR($A1191),'Festive dates'!$A$2:$J$5,4,FALSE),1,0)</f>
        <v>0</v>
      </c>
      <c r="V1191" s="9">
        <f>IF(AND($A1191&gt;=VLOOKUP(YEAR($A1191),'Festive dates'!$A$2:$J$5,9,FALSE),$A1191&lt;=VLOOKUP(YEAR($A1191),'Festive dates'!$A$2:$J$5,10,FALSE)),1,0)</f>
        <v>0</v>
      </c>
      <c r="W1191" s="9">
        <f>IF($A1191=VLOOKUP(YEAR($A1191),'Festive dates'!$A$2:$J$5,7,FALSE),1,0)</f>
        <v>0</v>
      </c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  <c r="AH1191" s="1"/>
      <c r="AI1191" s="1"/>
      <c r="AJ1191" s="1"/>
      <c r="AK1191" s="1"/>
      <c r="AL1191" s="1"/>
      <c r="AM1191" s="1"/>
      <c r="AN1191" s="1"/>
      <c r="AO1191" s="1"/>
      <c r="AP1191" s="1"/>
      <c r="AQ1191" s="1"/>
      <c r="AR1191" s="1"/>
      <c r="AS1191" s="1"/>
      <c r="AT1191" s="1"/>
      <c r="AU1191" s="1"/>
      <c r="AV1191" s="1"/>
      <c r="AW1191" s="1"/>
      <c r="AX1191" s="1"/>
      <c r="AY1191" s="1"/>
    </row>
    <row r="1192" spans="1:51">
      <c r="A1192" s="8">
        <v>46207</v>
      </c>
      <c r="B1192" s="9">
        <v>0</v>
      </c>
      <c r="C1192" s="9">
        <v>0</v>
      </c>
      <c r="D1192" s="9">
        <v>0</v>
      </c>
      <c r="E1192" s="9">
        <v>0</v>
      </c>
      <c r="F1192" s="9">
        <v>0</v>
      </c>
      <c r="G1192" s="9">
        <v>0</v>
      </c>
      <c r="H1192" s="9">
        <v>0</v>
      </c>
      <c r="I1192" s="9">
        <v>0</v>
      </c>
      <c r="J1192" s="9">
        <v>0</v>
      </c>
      <c r="K1192" s="9">
        <v>0</v>
      </c>
      <c r="L1192" s="9">
        <v>0</v>
      </c>
      <c r="M1192" s="9">
        <v>0</v>
      </c>
      <c r="N1192" s="9">
        <v>0</v>
      </c>
      <c r="O1192" s="9">
        <v>0</v>
      </c>
      <c r="P1192" s="9">
        <v>1</v>
      </c>
      <c r="Q1192" s="9">
        <f>MAX(-20,MIN(10,$A1192-VLOOKUP(YEAR($A1192),'Festive dates'!$A$2:$J$5,8,FALSE)))</f>
        <v>-20</v>
      </c>
      <c r="R1192" s="9">
        <f>IF(AND($A1192&gt;VLOOKUP(YEAR($A1192),'Festive dates'!$A$2:$J$5,2,FALSE),$A1192&lt;VLOOKUP(YEAR($A1192),'Festive dates'!$A$2:$J$5,3,FALSE)),1,0)</f>
        <v>0</v>
      </c>
      <c r="S1192" s="9">
        <f>IF($A1192=VLOOKUP(YEAR($A1192),'Festive dates'!$A$2:$J$5,2,FALSE),1,0)</f>
        <v>0</v>
      </c>
      <c r="T1192" s="9">
        <f>IF($A1192=VLOOKUP(YEAR($A1192),'Festive dates'!$A$2:$J$5,3,FALSE),1,0)</f>
        <v>0</v>
      </c>
      <c r="U1192" s="9">
        <f>IF($A1192=VLOOKUP(YEAR($A1192),'Festive dates'!$A$2:$J$5,4,FALSE),1,0)</f>
        <v>0</v>
      </c>
      <c r="V1192" s="9">
        <f>IF(AND($A1192&gt;=VLOOKUP(YEAR($A1192),'Festive dates'!$A$2:$J$5,9,FALSE),$A1192&lt;=VLOOKUP(YEAR($A1192),'Festive dates'!$A$2:$J$5,10,FALSE)),1,0)</f>
        <v>0</v>
      </c>
      <c r="W1192" s="9">
        <f>IF($A1192=VLOOKUP(YEAR($A1192),'Festive dates'!$A$2:$J$5,7,FALSE),1,0)</f>
        <v>0</v>
      </c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  <c r="AH1192" s="1"/>
      <c r="AI1192" s="1"/>
      <c r="AJ1192" s="1"/>
      <c r="AK1192" s="1"/>
      <c r="AL1192" s="1"/>
      <c r="AM1192" s="1"/>
      <c r="AN1192" s="1"/>
      <c r="AO1192" s="1"/>
      <c r="AP1192" s="1"/>
      <c r="AQ1192" s="1"/>
      <c r="AR1192" s="1"/>
      <c r="AS1192" s="1"/>
      <c r="AT1192" s="1"/>
      <c r="AU1192" s="1"/>
      <c r="AV1192" s="1"/>
      <c r="AW1192" s="1"/>
      <c r="AX1192" s="1"/>
      <c r="AY1192" s="1"/>
    </row>
    <row r="1193" spans="1:51">
      <c r="A1193" s="8">
        <v>46208</v>
      </c>
      <c r="B1193" s="9">
        <v>0</v>
      </c>
      <c r="C1193" s="9">
        <v>0</v>
      </c>
      <c r="D1193" s="9">
        <v>0</v>
      </c>
      <c r="E1193" s="9">
        <v>0</v>
      </c>
      <c r="F1193" s="9">
        <v>0</v>
      </c>
      <c r="G1193" s="9">
        <v>0</v>
      </c>
      <c r="H1193" s="9">
        <v>0</v>
      </c>
      <c r="I1193" s="9">
        <v>0</v>
      </c>
      <c r="J1193" s="9">
        <v>0</v>
      </c>
      <c r="K1193" s="9">
        <v>0</v>
      </c>
      <c r="L1193" s="9">
        <v>0</v>
      </c>
      <c r="M1193" s="9">
        <v>0</v>
      </c>
      <c r="N1193" s="9">
        <v>0</v>
      </c>
      <c r="O1193" s="9">
        <v>0</v>
      </c>
      <c r="P1193" s="9">
        <v>1</v>
      </c>
      <c r="Q1193" s="9">
        <f>MAX(-20,MIN(10,$A1193-VLOOKUP(YEAR($A1193),'Festive dates'!$A$2:$J$5,8,FALSE)))</f>
        <v>-20</v>
      </c>
      <c r="R1193" s="9">
        <f>IF(AND($A1193&gt;VLOOKUP(YEAR($A1193),'Festive dates'!$A$2:$J$5,2,FALSE),$A1193&lt;VLOOKUP(YEAR($A1193),'Festive dates'!$A$2:$J$5,3,FALSE)),1,0)</f>
        <v>0</v>
      </c>
      <c r="S1193" s="9">
        <f>IF($A1193=VLOOKUP(YEAR($A1193),'Festive dates'!$A$2:$J$5,2,FALSE),1,0)</f>
        <v>0</v>
      </c>
      <c r="T1193" s="9">
        <f>IF($A1193=VLOOKUP(YEAR($A1193),'Festive dates'!$A$2:$J$5,3,FALSE),1,0)</f>
        <v>0</v>
      </c>
      <c r="U1193" s="9">
        <f>IF($A1193=VLOOKUP(YEAR($A1193),'Festive dates'!$A$2:$J$5,4,FALSE),1,0)</f>
        <v>0</v>
      </c>
      <c r="V1193" s="9">
        <f>IF(AND($A1193&gt;=VLOOKUP(YEAR($A1193),'Festive dates'!$A$2:$J$5,9,FALSE),$A1193&lt;=VLOOKUP(YEAR($A1193),'Festive dates'!$A$2:$J$5,10,FALSE)),1,0)</f>
        <v>0</v>
      </c>
      <c r="W1193" s="9">
        <f>IF($A1193=VLOOKUP(YEAR($A1193),'Festive dates'!$A$2:$J$5,7,FALSE),1,0)</f>
        <v>0</v>
      </c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  <c r="AH1193" s="1"/>
      <c r="AI1193" s="1"/>
      <c r="AJ1193" s="1"/>
      <c r="AK1193" s="1"/>
      <c r="AL1193" s="1"/>
      <c r="AM1193" s="1"/>
      <c r="AN1193" s="1"/>
      <c r="AO1193" s="1"/>
      <c r="AP1193" s="1"/>
      <c r="AQ1193" s="1"/>
      <c r="AR1193" s="1"/>
      <c r="AS1193" s="1"/>
      <c r="AT1193" s="1"/>
      <c r="AU1193" s="1"/>
      <c r="AV1193" s="1"/>
      <c r="AW1193" s="1"/>
      <c r="AX1193" s="1"/>
      <c r="AY1193" s="1"/>
    </row>
    <row r="1194" spans="1:51">
      <c r="A1194" s="8">
        <v>46209</v>
      </c>
      <c r="B1194" s="9">
        <v>0</v>
      </c>
      <c r="C1194" s="9">
        <v>0</v>
      </c>
      <c r="D1194" s="9">
        <v>0</v>
      </c>
      <c r="E1194" s="9">
        <v>0</v>
      </c>
      <c r="F1194" s="9">
        <v>0</v>
      </c>
      <c r="G1194" s="9">
        <v>0</v>
      </c>
      <c r="H1194" s="9">
        <v>0</v>
      </c>
      <c r="I1194" s="9">
        <v>0</v>
      </c>
      <c r="J1194" s="9">
        <v>0</v>
      </c>
      <c r="K1194" s="9">
        <v>0</v>
      </c>
      <c r="L1194" s="9">
        <v>0</v>
      </c>
      <c r="M1194" s="9">
        <v>0</v>
      </c>
      <c r="N1194" s="9">
        <v>0</v>
      </c>
      <c r="O1194" s="9">
        <v>0</v>
      </c>
      <c r="P1194" s="9">
        <v>0</v>
      </c>
      <c r="Q1194" s="9">
        <f>MAX(-20,MIN(10,$A1194-VLOOKUP(YEAR($A1194),'Festive dates'!$A$2:$J$5,8,FALSE)))</f>
        <v>-20</v>
      </c>
      <c r="R1194" s="9">
        <f>IF(AND($A1194&gt;VLOOKUP(YEAR($A1194),'Festive dates'!$A$2:$J$5,2,FALSE),$A1194&lt;VLOOKUP(YEAR($A1194),'Festive dates'!$A$2:$J$5,3,FALSE)),1,0)</f>
        <v>0</v>
      </c>
      <c r="S1194" s="9">
        <f>IF($A1194=VLOOKUP(YEAR($A1194),'Festive dates'!$A$2:$J$5,2,FALSE),1,0)</f>
        <v>0</v>
      </c>
      <c r="T1194" s="9">
        <f>IF($A1194=VLOOKUP(YEAR($A1194),'Festive dates'!$A$2:$J$5,3,FALSE),1,0)</f>
        <v>0</v>
      </c>
      <c r="U1194" s="9">
        <f>IF($A1194=VLOOKUP(YEAR($A1194),'Festive dates'!$A$2:$J$5,4,FALSE),1,0)</f>
        <v>0</v>
      </c>
      <c r="V1194" s="9">
        <f>IF(AND($A1194&gt;=VLOOKUP(YEAR($A1194),'Festive dates'!$A$2:$J$5,9,FALSE),$A1194&lt;=VLOOKUP(YEAR($A1194),'Festive dates'!$A$2:$J$5,10,FALSE)),1,0)</f>
        <v>0</v>
      </c>
      <c r="W1194" s="9">
        <f>IF($A1194=VLOOKUP(YEAR($A1194),'Festive dates'!$A$2:$J$5,7,FALSE),1,0)</f>
        <v>0</v>
      </c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  <c r="AH1194" s="1"/>
      <c r="AI1194" s="1"/>
      <c r="AJ1194" s="1"/>
      <c r="AK1194" s="1"/>
      <c r="AL1194" s="1"/>
      <c r="AM1194" s="1"/>
      <c r="AN1194" s="1"/>
      <c r="AO1194" s="1"/>
      <c r="AP1194" s="1"/>
      <c r="AQ1194" s="1"/>
      <c r="AR1194" s="1"/>
      <c r="AS1194" s="1"/>
      <c r="AT1194" s="1"/>
      <c r="AU1194" s="1"/>
      <c r="AV1194" s="1"/>
      <c r="AW1194" s="1"/>
      <c r="AX1194" s="1"/>
      <c r="AY1194" s="1"/>
    </row>
    <row r="1195" spans="1:51">
      <c r="A1195" s="8">
        <v>46210</v>
      </c>
      <c r="B1195" s="9">
        <v>0</v>
      </c>
      <c r="C1195" s="9">
        <v>0</v>
      </c>
      <c r="D1195" s="9">
        <v>0</v>
      </c>
      <c r="E1195" s="9">
        <v>0</v>
      </c>
      <c r="F1195" s="9">
        <v>0</v>
      </c>
      <c r="G1195" s="9">
        <v>0</v>
      </c>
      <c r="H1195" s="9">
        <v>0</v>
      </c>
      <c r="I1195" s="9">
        <v>0</v>
      </c>
      <c r="J1195" s="9">
        <v>0</v>
      </c>
      <c r="K1195" s="9">
        <v>0</v>
      </c>
      <c r="L1195" s="9">
        <v>0</v>
      </c>
      <c r="M1195" s="9">
        <v>0</v>
      </c>
      <c r="N1195" s="9">
        <v>0</v>
      </c>
      <c r="O1195" s="9">
        <v>0</v>
      </c>
      <c r="P1195" s="9">
        <v>0</v>
      </c>
      <c r="Q1195" s="9">
        <f>MAX(-20,MIN(10,$A1195-VLOOKUP(YEAR($A1195),'Festive dates'!$A$2:$J$5,8,FALSE)))</f>
        <v>-20</v>
      </c>
      <c r="R1195" s="9">
        <f>IF(AND($A1195&gt;VLOOKUP(YEAR($A1195),'Festive dates'!$A$2:$J$5,2,FALSE),$A1195&lt;VLOOKUP(YEAR($A1195),'Festive dates'!$A$2:$J$5,3,FALSE)),1,0)</f>
        <v>0</v>
      </c>
      <c r="S1195" s="9">
        <f>IF($A1195=VLOOKUP(YEAR($A1195),'Festive dates'!$A$2:$J$5,2,FALSE),1,0)</f>
        <v>0</v>
      </c>
      <c r="T1195" s="9">
        <f>IF($A1195=VLOOKUP(YEAR($A1195),'Festive dates'!$A$2:$J$5,3,FALSE),1,0)</f>
        <v>0</v>
      </c>
      <c r="U1195" s="9">
        <f>IF($A1195=VLOOKUP(YEAR($A1195),'Festive dates'!$A$2:$J$5,4,FALSE),1,0)</f>
        <v>0</v>
      </c>
      <c r="V1195" s="9">
        <f>IF(AND($A1195&gt;=VLOOKUP(YEAR($A1195),'Festive dates'!$A$2:$J$5,9,FALSE),$A1195&lt;=VLOOKUP(YEAR($A1195),'Festive dates'!$A$2:$J$5,10,FALSE)),1,0)</f>
        <v>0</v>
      </c>
      <c r="W1195" s="9">
        <f>IF($A1195=VLOOKUP(YEAR($A1195),'Festive dates'!$A$2:$J$5,7,FALSE),1,0)</f>
        <v>0</v>
      </c>
      <c r="X1195" s="1"/>
      <c r="Y1195" s="1"/>
      <c r="Z1195" s="1"/>
      <c r="AA1195" s="1"/>
      <c r="AB1195" s="1"/>
      <c r="AC1195" s="1"/>
      <c r="AD1195" s="1"/>
      <c r="AE1195" s="1"/>
      <c r="AF1195" s="1"/>
      <c r="AG1195" s="1"/>
      <c r="AH1195" s="1"/>
      <c r="AI1195" s="1"/>
      <c r="AJ1195" s="1"/>
      <c r="AK1195" s="1"/>
      <c r="AL1195" s="1"/>
      <c r="AM1195" s="1"/>
      <c r="AN1195" s="1"/>
      <c r="AO1195" s="1"/>
      <c r="AP1195" s="1"/>
      <c r="AQ1195" s="1"/>
      <c r="AR1195" s="1"/>
      <c r="AS1195" s="1"/>
      <c r="AT1195" s="1"/>
      <c r="AU1195" s="1"/>
      <c r="AV1195" s="1"/>
      <c r="AW1195" s="1"/>
      <c r="AX1195" s="1"/>
      <c r="AY1195" s="1"/>
    </row>
    <row r="1196" spans="1:51">
      <c r="A1196" s="8">
        <v>46211</v>
      </c>
      <c r="B1196" s="9">
        <v>0</v>
      </c>
      <c r="C1196" s="9">
        <v>0</v>
      </c>
      <c r="D1196" s="9">
        <v>0</v>
      </c>
      <c r="E1196" s="9">
        <v>0</v>
      </c>
      <c r="F1196" s="9">
        <v>0</v>
      </c>
      <c r="G1196" s="9">
        <v>0</v>
      </c>
      <c r="H1196" s="9">
        <v>0</v>
      </c>
      <c r="I1196" s="9">
        <v>0</v>
      </c>
      <c r="J1196" s="9">
        <v>0</v>
      </c>
      <c r="K1196" s="9">
        <v>0</v>
      </c>
      <c r="L1196" s="9">
        <v>0</v>
      </c>
      <c r="M1196" s="9">
        <v>0</v>
      </c>
      <c r="N1196" s="9">
        <v>0</v>
      </c>
      <c r="O1196" s="9">
        <v>0</v>
      </c>
      <c r="P1196" s="9">
        <v>0</v>
      </c>
      <c r="Q1196" s="9">
        <f>MAX(-20,MIN(10,$A1196-VLOOKUP(YEAR($A1196),'Festive dates'!$A$2:$J$5,8,FALSE)))</f>
        <v>-20</v>
      </c>
      <c r="R1196" s="9">
        <f>IF(AND($A1196&gt;VLOOKUP(YEAR($A1196),'Festive dates'!$A$2:$J$5,2,FALSE),$A1196&lt;VLOOKUP(YEAR($A1196),'Festive dates'!$A$2:$J$5,3,FALSE)),1,0)</f>
        <v>0</v>
      </c>
      <c r="S1196" s="9">
        <f>IF($A1196=VLOOKUP(YEAR($A1196),'Festive dates'!$A$2:$J$5,2,FALSE),1,0)</f>
        <v>0</v>
      </c>
      <c r="T1196" s="9">
        <f>IF($A1196=VLOOKUP(YEAR($A1196),'Festive dates'!$A$2:$J$5,3,FALSE),1,0)</f>
        <v>0</v>
      </c>
      <c r="U1196" s="9">
        <f>IF($A1196=VLOOKUP(YEAR($A1196),'Festive dates'!$A$2:$J$5,4,FALSE),1,0)</f>
        <v>0</v>
      </c>
      <c r="V1196" s="9">
        <f>IF(AND($A1196&gt;=VLOOKUP(YEAR($A1196),'Festive dates'!$A$2:$J$5,9,FALSE),$A1196&lt;=VLOOKUP(YEAR($A1196),'Festive dates'!$A$2:$J$5,10,FALSE)),1,0)</f>
        <v>0</v>
      </c>
      <c r="W1196" s="9">
        <f>IF($A1196=VLOOKUP(YEAR($A1196),'Festive dates'!$A$2:$J$5,7,FALSE),1,0)</f>
        <v>0</v>
      </c>
      <c r="X1196" s="1"/>
      <c r="Y1196" s="1"/>
      <c r="Z1196" s="1"/>
      <c r="AA1196" s="1"/>
      <c r="AB1196" s="1"/>
      <c r="AC1196" s="1"/>
      <c r="AD1196" s="1"/>
      <c r="AE1196" s="1"/>
      <c r="AF1196" s="1"/>
      <c r="AG1196" s="1"/>
      <c r="AH1196" s="1"/>
      <c r="AI1196" s="1"/>
      <c r="AJ1196" s="1"/>
      <c r="AK1196" s="1"/>
      <c r="AL1196" s="1"/>
      <c r="AM1196" s="1"/>
      <c r="AN1196" s="1"/>
      <c r="AO1196" s="1"/>
      <c r="AP1196" s="1"/>
      <c r="AQ1196" s="1"/>
      <c r="AR1196" s="1"/>
      <c r="AS1196" s="1"/>
      <c r="AT1196" s="1"/>
      <c r="AU1196" s="1"/>
      <c r="AV1196" s="1"/>
      <c r="AW1196" s="1"/>
      <c r="AX1196" s="1"/>
      <c r="AY1196" s="1"/>
    </row>
    <row r="1197" spans="1:51">
      <c r="A1197" s="8">
        <v>46212</v>
      </c>
      <c r="B1197" s="9">
        <v>0</v>
      </c>
      <c r="C1197" s="9">
        <v>0</v>
      </c>
      <c r="D1197" s="9">
        <v>0</v>
      </c>
      <c r="E1197" s="9">
        <v>0</v>
      </c>
      <c r="F1197" s="9">
        <v>0</v>
      </c>
      <c r="G1197" s="9">
        <v>0</v>
      </c>
      <c r="H1197" s="9">
        <v>0</v>
      </c>
      <c r="I1197" s="9">
        <v>0</v>
      </c>
      <c r="J1197" s="9">
        <v>0</v>
      </c>
      <c r="K1197" s="9">
        <v>0</v>
      </c>
      <c r="L1197" s="9">
        <v>0</v>
      </c>
      <c r="M1197" s="9">
        <v>0</v>
      </c>
      <c r="N1197" s="9">
        <v>0</v>
      </c>
      <c r="O1197" s="9">
        <v>0</v>
      </c>
      <c r="P1197" s="9">
        <v>0</v>
      </c>
      <c r="Q1197" s="9">
        <f>MAX(-20,MIN(10,$A1197-VLOOKUP(YEAR($A1197),'Festive dates'!$A$2:$J$5,8,FALSE)))</f>
        <v>-20</v>
      </c>
      <c r="R1197" s="9">
        <f>IF(AND($A1197&gt;VLOOKUP(YEAR($A1197),'Festive dates'!$A$2:$J$5,2,FALSE),$A1197&lt;VLOOKUP(YEAR($A1197),'Festive dates'!$A$2:$J$5,3,FALSE)),1,0)</f>
        <v>0</v>
      </c>
      <c r="S1197" s="9">
        <f>IF($A1197=VLOOKUP(YEAR($A1197),'Festive dates'!$A$2:$J$5,2,FALSE),1,0)</f>
        <v>0</v>
      </c>
      <c r="T1197" s="9">
        <f>IF($A1197=VLOOKUP(YEAR($A1197),'Festive dates'!$A$2:$J$5,3,FALSE),1,0)</f>
        <v>0</v>
      </c>
      <c r="U1197" s="9">
        <f>IF($A1197=VLOOKUP(YEAR($A1197),'Festive dates'!$A$2:$J$5,4,FALSE),1,0)</f>
        <v>0</v>
      </c>
      <c r="V1197" s="9">
        <f>IF(AND($A1197&gt;=VLOOKUP(YEAR($A1197),'Festive dates'!$A$2:$J$5,9,FALSE),$A1197&lt;=VLOOKUP(YEAR($A1197),'Festive dates'!$A$2:$J$5,10,FALSE)),1,0)</f>
        <v>0</v>
      </c>
      <c r="W1197" s="9">
        <f>IF($A1197=VLOOKUP(YEAR($A1197),'Festive dates'!$A$2:$J$5,7,FALSE),1,0)</f>
        <v>0</v>
      </c>
      <c r="X1197" s="1"/>
      <c r="Y1197" s="1"/>
      <c r="Z1197" s="1"/>
      <c r="AA1197" s="1"/>
      <c r="AB1197" s="1"/>
      <c r="AC1197" s="1"/>
      <c r="AD1197" s="1"/>
      <c r="AE1197" s="1"/>
      <c r="AF1197" s="1"/>
      <c r="AG1197" s="1"/>
      <c r="AH1197" s="1"/>
      <c r="AI1197" s="1"/>
      <c r="AJ1197" s="1"/>
      <c r="AK1197" s="1"/>
      <c r="AL1197" s="1"/>
      <c r="AM1197" s="1"/>
      <c r="AN1197" s="1"/>
      <c r="AO1197" s="1"/>
      <c r="AP1197" s="1"/>
      <c r="AQ1197" s="1"/>
      <c r="AR1197" s="1"/>
      <c r="AS1197" s="1"/>
      <c r="AT1197" s="1"/>
      <c r="AU1197" s="1"/>
      <c r="AV1197" s="1"/>
      <c r="AW1197" s="1"/>
      <c r="AX1197" s="1"/>
      <c r="AY1197" s="1"/>
    </row>
    <row r="1198" spans="1:51">
      <c r="A1198" s="8">
        <v>46213</v>
      </c>
      <c r="B1198" s="9">
        <v>0</v>
      </c>
      <c r="C1198" s="9">
        <v>0</v>
      </c>
      <c r="D1198" s="9">
        <v>0</v>
      </c>
      <c r="E1198" s="9">
        <v>0</v>
      </c>
      <c r="F1198" s="9">
        <v>0</v>
      </c>
      <c r="G1198" s="9">
        <v>0</v>
      </c>
      <c r="H1198" s="9">
        <v>0</v>
      </c>
      <c r="I1198" s="9">
        <v>0</v>
      </c>
      <c r="J1198" s="9">
        <v>0</v>
      </c>
      <c r="K1198" s="9">
        <v>0</v>
      </c>
      <c r="L1198" s="9">
        <v>0</v>
      </c>
      <c r="M1198" s="9">
        <v>0</v>
      </c>
      <c r="N1198" s="9">
        <v>0</v>
      </c>
      <c r="O1198" s="9">
        <v>0</v>
      </c>
      <c r="P1198" s="9">
        <v>0</v>
      </c>
      <c r="Q1198" s="9">
        <f>MAX(-20,MIN(10,$A1198-VLOOKUP(YEAR($A1198),'Festive dates'!$A$2:$J$5,8,FALSE)))</f>
        <v>-20</v>
      </c>
      <c r="R1198" s="9">
        <f>IF(AND($A1198&gt;VLOOKUP(YEAR($A1198),'Festive dates'!$A$2:$J$5,2,FALSE),$A1198&lt;VLOOKUP(YEAR($A1198),'Festive dates'!$A$2:$J$5,3,FALSE)),1,0)</f>
        <v>0</v>
      </c>
      <c r="S1198" s="9">
        <f>IF($A1198=VLOOKUP(YEAR($A1198),'Festive dates'!$A$2:$J$5,2,FALSE),1,0)</f>
        <v>0</v>
      </c>
      <c r="T1198" s="9">
        <f>IF($A1198=VLOOKUP(YEAR($A1198),'Festive dates'!$A$2:$J$5,3,FALSE),1,0)</f>
        <v>0</v>
      </c>
      <c r="U1198" s="9">
        <f>IF($A1198=VLOOKUP(YEAR($A1198),'Festive dates'!$A$2:$J$5,4,FALSE),1,0)</f>
        <v>0</v>
      </c>
      <c r="V1198" s="9">
        <f>IF(AND($A1198&gt;=VLOOKUP(YEAR($A1198),'Festive dates'!$A$2:$J$5,9,FALSE),$A1198&lt;=VLOOKUP(YEAR($A1198),'Festive dates'!$A$2:$J$5,10,FALSE)),1,0)</f>
        <v>0</v>
      </c>
      <c r="W1198" s="9">
        <f>IF($A1198=VLOOKUP(YEAR($A1198),'Festive dates'!$A$2:$J$5,7,FALSE),1,0)</f>
        <v>0</v>
      </c>
      <c r="X1198" s="1"/>
      <c r="Y1198" s="1"/>
      <c r="Z1198" s="1"/>
      <c r="AA1198" s="1"/>
      <c r="AB1198" s="1"/>
      <c r="AC1198" s="1"/>
      <c r="AD1198" s="1"/>
      <c r="AE1198" s="1"/>
      <c r="AF1198" s="1"/>
      <c r="AG1198" s="1"/>
      <c r="AH1198" s="1"/>
      <c r="AI1198" s="1"/>
      <c r="AJ1198" s="1"/>
      <c r="AK1198" s="1"/>
      <c r="AL1198" s="1"/>
      <c r="AM1198" s="1"/>
      <c r="AN1198" s="1"/>
      <c r="AO1198" s="1"/>
      <c r="AP1198" s="1"/>
      <c r="AQ1198" s="1"/>
      <c r="AR1198" s="1"/>
      <c r="AS1198" s="1"/>
      <c r="AT1198" s="1"/>
      <c r="AU1198" s="1"/>
      <c r="AV1198" s="1"/>
      <c r="AW1198" s="1"/>
      <c r="AX1198" s="1"/>
      <c r="AY1198" s="1"/>
    </row>
    <row r="1199" spans="1:51">
      <c r="A1199" s="8">
        <v>46214</v>
      </c>
      <c r="B1199" s="9">
        <v>0</v>
      </c>
      <c r="C1199" s="9">
        <v>0</v>
      </c>
      <c r="D1199" s="9">
        <v>0</v>
      </c>
      <c r="E1199" s="9">
        <v>0</v>
      </c>
      <c r="F1199" s="9">
        <v>0</v>
      </c>
      <c r="G1199" s="9">
        <v>0</v>
      </c>
      <c r="H1199" s="9">
        <v>0</v>
      </c>
      <c r="I1199" s="9">
        <v>0</v>
      </c>
      <c r="J1199" s="9">
        <v>0</v>
      </c>
      <c r="K1199" s="9">
        <v>0</v>
      </c>
      <c r="L1199" s="9">
        <v>0</v>
      </c>
      <c r="M1199" s="9">
        <v>0</v>
      </c>
      <c r="N1199" s="9">
        <v>0</v>
      </c>
      <c r="O1199" s="9">
        <v>0</v>
      </c>
      <c r="P1199" s="9">
        <v>0</v>
      </c>
      <c r="Q1199" s="9">
        <f>MAX(-20,MIN(10,$A1199-VLOOKUP(YEAR($A1199),'Festive dates'!$A$2:$J$5,8,FALSE)))</f>
        <v>-20</v>
      </c>
      <c r="R1199" s="9">
        <f>IF(AND($A1199&gt;VLOOKUP(YEAR($A1199),'Festive dates'!$A$2:$J$5,2,FALSE),$A1199&lt;VLOOKUP(YEAR($A1199),'Festive dates'!$A$2:$J$5,3,FALSE)),1,0)</f>
        <v>0</v>
      </c>
      <c r="S1199" s="9">
        <f>IF($A1199=VLOOKUP(YEAR($A1199),'Festive dates'!$A$2:$J$5,2,FALSE),1,0)</f>
        <v>0</v>
      </c>
      <c r="T1199" s="9">
        <f>IF($A1199=VLOOKUP(YEAR($A1199),'Festive dates'!$A$2:$J$5,3,FALSE),1,0)</f>
        <v>0</v>
      </c>
      <c r="U1199" s="9">
        <f>IF($A1199=VLOOKUP(YEAR($A1199),'Festive dates'!$A$2:$J$5,4,FALSE),1,0)</f>
        <v>0</v>
      </c>
      <c r="V1199" s="9">
        <f>IF(AND($A1199&gt;=VLOOKUP(YEAR($A1199),'Festive dates'!$A$2:$J$5,9,FALSE),$A1199&lt;=VLOOKUP(YEAR($A1199),'Festive dates'!$A$2:$J$5,10,FALSE)),1,0)</f>
        <v>0</v>
      </c>
      <c r="W1199" s="9">
        <f>IF($A1199=VLOOKUP(YEAR($A1199),'Festive dates'!$A$2:$J$5,7,FALSE),1,0)</f>
        <v>0</v>
      </c>
      <c r="X1199" s="1"/>
      <c r="Y1199" s="1"/>
      <c r="Z1199" s="1"/>
      <c r="AA1199" s="1"/>
      <c r="AB1199" s="1"/>
      <c r="AC1199" s="1"/>
      <c r="AD1199" s="1"/>
      <c r="AE1199" s="1"/>
      <c r="AF1199" s="1"/>
      <c r="AG1199" s="1"/>
      <c r="AH1199" s="1"/>
      <c r="AI1199" s="1"/>
      <c r="AJ1199" s="1"/>
      <c r="AK1199" s="1"/>
      <c r="AL1199" s="1"/>
      <c r="AM1199" s="1"/>
      <c r="AN1199" s="1"/>
      <c r="AO1199" s="1"/>
      <c r="AP1199" s="1"/>
      <c r="AQ1199" s="1"/>
      <c r="AR1199" s="1"/>
      <c r="AS1199" s="1"/>
      <c r="AT1199" s="1"/>
      <c r="AU1199" s="1"/>
      <c r="AV1199" s="1"/>
      <c r="AW1199" s="1"/>
      <c r="AX1199" s="1"/>
      <c r="AY1199" s="1"/>
    </row>
    <row r="1200" spans="1:51">
      <c r="A1200" s="8">
        <v>46215</v>
      </c>
      <c r="B1200" s="9">
        <v>0</v>
      </c>
      <c r="C1200" s="9">
        <v>0</v>
      </c>
      <c r="D1200" s="9">
        <v>0</v>
      </c>
      <c r="E1200" s="9">
        <v>0</v>
      </c>
      <c r="F1200" s="9">
        <v>0</v>
      </c>
      <c r="G1200" s="9">
        <v>0</v>
      </c>
      <c r="H1200" s="9">
        <v>0</v>
      </c>
      <c r="I1200" s="9">
        <v>0</v>
      </c>
      <c r="J1200" s="9">
        <v>0</v>
      </c>
      <c r="K1200" s="9">
        <v>0</v>
      </c>
      <c r="L1200" s="9">
        <v>0</v>
      </c>
      <c r="M1200" s="9">
        <v>0</v>
      </c>
      <c r="N1200" s="9">
        <v>0</v>
      </c>
      <c r="O1200" s="9">
        <v>0</v>
      </c>
      <c r="P1200" s="9">
        <v>0</v>
      </c>
      <c r="Q1200" s="9">
        <f>MAX(-20,MIN(10,$A1200-VLOOKUP(YEAR($A1200),'Festive dates'!$A$2:$J$5,8,FALSE)))</f>
        <v>-20</v>
      </c>
      <c r="R1200" s="9">
        <f>IF(AND($A1200&gt;VLOOKUP(YEAR($A1200),'Festive dates'!$A$2:$J$5,2,FALSE),$A1200&lt;VLOOKUP(YEAR($A1200),'Festive dates'!$A$2:$J$5,3,FALSE)),1,0)</f>
        <v>0</v>
      </c>
      <c r="S1200" s="9">
        <f>IF($A1200=VLOOKUP(YEAR($A1200),'Festive dates'!$A$2:$J$5,2,FALSE),1,0)</f>
        <v>0</v>
      </c>
      <c r="T1200" s="9">
        <f>IF($A1200=VLOOKUP(YEAR($A1200),'Festive dates'!$A$2:$J$5,3,FALSE),1,0)</f>
        <v>0</v>
      </c>
      <c r="U1200" s="9">
        <f>IF($A1200=VLOOKUP(YEAR($A1200),'Festive dates'!$A$2:$J$5,4,FALSE),1,0)</f>
        <v>0</v>
      </c>
      <c r="V1200" s="9">
        <f>IF(AND($A1200&gt;=VLOOKUP(YEAR($A1200),'Festive dates'!$A$2:$J$5,9,FALSE),$A1200&lt;=VLOOKUP(YEAR($A1200),'Festive dates'!$A$2:$J$5,10,FALSE)),1,0)</f>
        <v>0</v>
      </c>
      <c r="W1200" s="9">
        <f>IF($A1200=VLOOKUP(YEAR($A1200),'Festive dates'!$A$2:$J$5,7,FALSE),1,0)</f>
        <v>0</v>
      </c>
      <c r="X1200" s="1"/>
      <c r="Y1200" s="1"/>
      <c r="Z1200" s="1"/>
      <c r="AA1200" s="1"/>
      <c r="AB1200" s="1"/>
      <c r="AC1200" s="1"/>
      <c r="AD1200" s="1"/>
      <c r="AE1200" s="1"/>
      <c r="AF1200" s="1"/>
      <c r="AG1200" s="1"/>
      <c r="AH1200" s="1"/>
      <c r="AI1200" s="1"/>
      <c r="AJ1200" s="1"/>
      <c r="AK1200" s="1"/>
      <c r="AL1200" s="1"/>
      <c r="AM1200" s="1"/>
      <c r="AN1200" s="1"/>
      <c r="AO1200" s="1"/>
      <c r="AP1200" s="1"/>
      <c r="AQ1200" s="1"/>
      <c r="AR1200" s="1"/>
      <c r="AS1200" s="1"/>
      <c r="AT1200" s="1"/>
      <c r="AU1200" s="1"/>
      <c r="AV1200" s="1"/>
      <c r="AW1200" s="1"/>
      <c r="AX1200" s="1"/>
      <c r="AY1200" s="1"/>
    </row>
    <row r="1201" spans="1:51">
      <c r="A1201" s="8">
        <v>46216</v>
      </c>
      <c r="B1201" s="9">
        <v>0</v>
      </c>
      <c r="C1201" s="9">
        <v>0</v>
      </c>
      <c r="D1201" s="9">
        <v>0</v>
      </c>
      <c r="E1201" s="9">
        <v>0</v>
      </c>
      <c r="F1201" s="9">
        <v>0</v>
      </c>
      <c r="G1201" s="9">
        <v>0</v>
      </c>
      <c r="H1201" s="9">
        <v>0</v>
      </c>
      <c r="I1201" s="9">
        <v>0</v>
      </c>
      <c r="J1201" s="9">
        <v>0</v>
      </c>
      <c r="K1201" s="9">
        <v>0</v>
      </c>
      <c r="L1201" s="9">
        <v>0</v>
      </c>
      <c r="M1201" s="9">
        <v>0</v>
      </c>
      <c r="N1201" s="9">
        <v>0</v>
      </c>
      <c r="O1201" s="9">
        <v>0</v>
      </c>
      <c r="P1201" s="9">
        <v>0</v>
      </c>
      <c r="Q1201" s="9">
        <f>MAX(-20,MIN(10,$A1201-VLOOKUP(YEAR($A1201),'Festive dates'!$A$2:$J$5,8,FALSE)))</f>
        <v>-20</v>
      </c>
      <c r="R1201" s="9">
        <f>IF(AND($A1201&gt;VLOOKUP(YEAR($A1201),'Festive dates'!$A$2:$J$5,2,FALSE),$A1201&lt;VLOOKUP(YEAR($A1201),'Festive dates'!$A$2:$J$5,3,FALSE)),1,0)</f>
        <v>0</v>
      </c>
      <c r="S1201" s="9">
        <f>IF($A1201=VLOOKUP(YEAR($A1201),'Festive dates'!$A$2:$J$5,2,FALSE),1,0)</f>
        <v>0</v>
      </c>
      <c r="T1201" s="9">
        <f>IF($A1201=VLOOKUP(YEAR($A1201),'Festive dates'!$A$2:$J$5,3,FALSE),1,0)</f>
        <v>0</v>
      </c>
      <c r="U1201" s="9">
        <f>IF($A1201=VLOOKUP(YEAR($A1201),'Festive dates'!$A$2:$J$5,4,FALSE),1,0)</f>
        <v>0</v>
      </c>
      <c r="V1201" s="9">
        <f>IF(AND($A1201&gt;=VLOOKUP(YEAR($A1201),'Festive dates'!$A$2:$J$5,9,FALSE),$A1201&lt;=VLOOKUP(YEAR($A1201),'Festive dates'!$A$2:$J$5,10,FALSE)),1,0)</f>
        <v>0</v>
      </c>
      <c r="W1201" s="9">
        <f>IF($A1201=VLOOKUP(YEAR($A1201),'Festive dates'!$A$2:$J$5,7,FALSE),1,0)</f>
        <v>0</v>
      </c>
      <c r="X1201" s="1"/>
      <c r="Y1201" s="1"/>
      <c r="Z1201" s="1"/>
      <c r="AA1201" s="1"/>
      <c r="AB1201" s="1"/>
      <c r="AC1201" s="1"/>
      <c r="AD1201" s="1"/>
      <c r="AE1201" s="1"/>
      <c r="AF1201" s="1"/>
      <c r="AG1201" s="1"/>
      <c r="AH1201" s="1"/>
      <c r="AI1201" s="1"/>
      <c r="AJ1201" s="1"/>
      <c r="AK1201" s="1"/>
      <c r="AL1201" s="1"/>
      <c r="AM1201" s="1"/>
      <c r="AN1201" s="1"/>
      <c r="AO1201" s="1"/>
      <c r="AP1201" s="1"/>
      <c r="AQ1201" s="1"/>
      <c r="AR1201" s="1"/>
      <c r="AS1201" s="1"/>
      <c r="AT1201" s="1"/>
      <c r="AU1201" s="1"/>
      <c r="AV1201" s="1"/>
      <c r="AW1201" s="1"/>
      <c r="AX1201" s="1"/>
      <c r="AY1201" s="1"/>
    </row>
    <row r="1202" spans="1:51">
      <c r="A1202" s="8">
        <v>46217</v>
      </c>
      <c r="B1202" s="9">
        <v>0</v>
      </c>
      <c r="C1202" s="9">
        <v>0</v>
      </c>
      <c r="D1202" s="9">
        <v>0</v>
      </c>
      <c r="E1202" s="9">
        <v>0</v>
      </c>
      <c r="F1202" s="9">
        <v>0</v>
      </c>
      <c r="G1202" s="9">
        <v>0</v>
      </c>
      <c r="H1202" s="9">
        <v>0</v>
      </c>
      <c r="I1202" s="9">
        <v>0</v>
      </c>
      <c r="J1202" s="9">
        <v>0</v>
      </c>
      <c r="K1202" s="9">
        <v>0</v>
      </c>
      <c r="L1202" s="9">
        <v>0</v>
      </c>
      <c r="M1202" s="9">
        <v>0</v>
      </c>
      <c r="N1202" s="9">
        <v>0</v>
      </c>
      <c r="O1202" s="9">
        <v>0</v>
      </c>
      <c r="P1202" s="9">
        <v>0</v>
      </c>
      <c r="Q1202" s="9">
        <f>MAX(-20,MIN(10,$A1202-VLOOKUP(YEAR($A1202),'Festive dates'!$A$2:$J$5,8,FALSE)))</f>
        <v>-20</v>
      </c>
      <c r="R1202" s="9">
        <f>IF(AND($A1202&gt;VLOOKUP(YEAR($A1202),'Festive dates'!$A$2:$J$5,2,FALSE),$A1202&lt;VLOOKUP(YEAR($A1202),'Festive dates'!$A$2:$J$5,3,FALSE)),1,0)</f>
        <v>0</v>
      </c>
      <c r="S1202" s="9">
        <f>IF($A1202=VLOOKUP(YEAR($A1202),'Festive dates'!$A$2:$J$5,2,FALSE),1,0)</f>
        <v>0</v>
      </c>
      <c r="T1202" s="9">
        <f>IF($A1202=VLOOKUP(YEAR($A1202),'Festive dates'!$A$2:$J$5,3,FALSE),1,0)</f>
        <v>0</v>
      </c>
      <c r="U1202" s="9">
        <f>IF($A1202=VLOOKUP(YEAR($A1202),'Festive dates'!$A$2:$J$5,4,FALSE),1,0)</f>
        <v>0</v>
      </c>
      <c r="V1202" s="9">
        <f>IF(AND($A1202&gt;=VLOOKUP(YEAR($A1202),'Festive dates'!$A$2:$J$5,9,FALSE),$A1202&lt;=VLOOKUP(YEAR($A1202),'Festive dates'!$A$2:$J$5,10,FALSE)),1,0)</f>
        <v>0</v>
      </c>
      <c r="W1202" s="9">
        <f>IF($A1202=VLOOKUP(YEAR($A1202),'Festive dates'!$A$2:$J$5,7,FALSE),1,0)</f>
        <v>0</v>
      </c>
      <c r="X1202" s="1"/>
      <c r="Y1202" s="1"/>
      <c r="Z1202" s="1"/>
      <c r="AA1202" s="1"/>
      <c r="AB1202" s="1"/>
      <c r="AC1202" s="1"/>
      <c r="AD1202" s="1"/>
      <c r="AE1202" s="1"/>
      <c r="AF1202" s="1"/>
      <c r="AG1202" s="1"/>
      <c r="AH1202" s="1"/>
      <c r="AI1202" s="1"/>
      <c r="AJ1202" s="1"/>
      <c r="AK1202" s="1"/>
      <c r="AL1202" s="1"/>
      <c r="AM1202" s="1"/>
      <c r="AN1202" s="1"/>
      <c r="AO1202" s="1"/>
      <c r="AP1202" s="1"/>
      <c r="AQ1202" s="1"/>
      <c r="AR1202" s="1"/>
      <c r="AS1202" s="1"/>
      <c r="AT1202" s="1"/>
      <c r="AU1202" s="1"/>
      <c r="AV1202" s="1"/>
      <c r="AW1202" s="1"/>
      <c r="AX1202" s="1"/>
      <c r="AY1202" s="1"/>
    </row>
    <row r="1203" spans="1:51">
      <c r="A1203" s="8">
        <v>46218</v>
      </c>
      <c r="B1203" s="9">
        <v>0</v>
      </c>
      <c r="C1203" s="9">
        <v>0</v>
      </c>
      <c r="D1203" s="9">
        <v>0</v>
      </c>
      <c r="E1203" s="9">
        <v>0</v>
      </c>
      <c r="F1203" s="9">
        <v>0</v>
      </c>
      <c r="G1203" s="9">
        <v>0</v>
      </c>
      <c r="H1203" s="9">
        <v>0</v>
      </c>
      <c r="I1203" s="9">
        <v>0</v>
      </c>
      <c r="J1203" s="9">
        <v>0</v>
      </c>
      <c r="K1203" s="9">
        <v>0</v>
      </c>
      <c r="L1203" s="9">
        <v>0</v>
      </c>
      <c r="M1203" s="9">
        <v>0</v>
      </c>
      <c r="N1203" s="9">
        <v>0</v>
      </c>
      <c r="O1203" s="9">
        <v>0</v>
      </c>
      <c r="P1203" s="9">
        <v>0</v>
      </c>
      <c r="Q1203" s="9">
        <f>MAX(-20,MIN(10,$A1203-VLOOKUP(YEAR($A1203),'Festive dates'!$A$2:$J$5,8,FALSE)))</f>
        <v>-20</v>
      </c>
      <c r="R1203" s="9">
        <f>IF(AND($A1203&gt;VLOOKUP(YEAR($A1203),'Festive dates'!$A$2:$J$5,2,FALSE),$A1203&lt;VLOOKUP(YEAR($A1203),'Festive dates'!$A$2:$J$5,3,FALSE)),1,0)</f>
        <v>0</v>
      </c>
      <c r="S1203" s="9">
        <f>IF($A1203=VLOOKUP(YEAR($A1203),'Festive dates'!$A$2:$J$5,2,FALSE),1,0)</f>
        <v>0</v>
      </c>
      <c r="T1203" s="9">
        <f>IF($A1203=VLOOKUP(YEAR($A1203),'Festive dates'!$A$2:$J$5,3,FALSE),1,0)</f>
        <v>0</v>
      </c>
      <c r="U1203" s="9">
        <f>IF($A1203=VLOOKUP(YEAR($A1203),'Festive dates'!$A$2:$J$5,4,FALSE),1,0)</f>
        <v>0</v>
      </c>
      <c r="V1203" s="9">
        <f>IF(AND($A1203&gt;=VLOOKUP(YEAR($A1203),'Festive dates'!$A$2:$J$5,9,FALSE),$A1203&lt;=VLOOKUP(YEAR($A1203),'Festive dates'!$A$2:$J$5,10,FALSE)),1,0)</f>
        <v>0</v>
      </c>
      <c r="W1203" s="9">
        <f>IF($A1203=VLOOKUP(YEAR($A1203),'Festive dates'!$A$2:$J$5,7,FALSE),1,0)</f>
        <v>0</v>
      </c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  <c r="AH1203" s="1"/>
      <c r="AI1203" s="1"/>
      <c r="AJ1203" s="1"/>
      <c r="AK1203" s="1"/>
      <c r="AL1203" s="1"/>
      <c r="AM1203" s="1"/>
      <c r="AN1203" s="1"/>
      <c r="AO1203" s="1"/>
      <c r="AP1203" s="1"/>
      <c r="AQ1203" s="1"/>
      <c r="AR1203" s="1"/>
      <c r="AS1203" s="1"/>
      <c r="AT1203" s="1"/>
      <c r="AU1203" s="1"/>
      <c r="AV1203" s="1"/>
      <c r="AW1203" s="1"/>
      <c r="AX1203" s="1"/>
      <c r="AY1203" s="1"/>
    </row>
    <row r="1204" spans="1:51">
      <c r="A1204" s="8">
        <v>46219</v>
      </c>
      <c r="B1204" s="9">
        <v>0</v>
      </c>
      <c r="C1204" s="9">
        <v>0</v>
      </c>
      <c r="D1204" s="9">
        <v>0</v>
      </c>
      <c r="E1204" s="9">
        <v>0</v>
      </c>
      <c r="F1204" s="9">
        <v>0</v>
      </c>
      <c r="G1204" s="9">
        <v>0</v>
      </c>
      <c r="H1204" s="9">
        <v>0</v>
      </c>
      <c r="I1204" s="9">
        <v>0</v>
      </c>
      <c r="J1204" s="9">
        <v>0</v>
      </c>
      <c r="K1204" s="9">
        <v>0</v>
      </c>
      <c r="L1204" s="9">
        <v>1</v>
      </c>
      <c r="M1204" s="9">
        <v>0</v>
      </c>
      <c r="N1204" s="9">
        <v>0</v>
      </c>
      <c r="O1204" s="9">
        <v>0</v>
      </c>
      <c r="P1204" s="9">
        <v>0</v>
      </c>
      <c r="Q1204" s="9">
        <f>MAX(-20,MIN(10,$A1204-VLOOKUP(YEAR($A1204),'Festive dates'!$A$2:$J$5,8,FALSE)))</f>
        <v>-20</v>
      </c>
      <c r="R1204" s="9">
        <f>IF(AND($A1204&gt;VLOOKUP(YEAR($A1204),'Festive dates'!$A$2:$J$5,2,FALSE),$A1204&lt;VLOOKUP(YEAR($A1204),'Festive dates'!$A$2:$J$5,3,FALSE)),1,0)</f>
        <v>0</v>
      </c>
      <c r="S1204" s="9">
        <f>IF($A1204=VLOOKUP(YEAR($A1204),'Festive dates'!$A$2:$J$5,2,FALSE),1,0)</f>
        <v>0</v>
      </c>
      <c r="T1204" s="9">
        <f>IF($A1204=VLOOKUP(YEAR($A1204),'Festive dates'!$A$2:$J$5,3,FALSE),1,0)</f>
        <v>0</v>
      </c>
      <c r="U1204" s="9">
        <f>IF($A1204=VLOOKUP(YEAR($A1204),'Festive dates'!$A$2:$J$5,4,FALSE),1,0)</f>
        <v>0</v>
      </c>
      <c r="V1204" s="9">
        <f>IF(AND($A1204&gt;=VLOOKUP(YEAR($A1204),'Festive dates'!$A$2:$J$5,9,FALSE),$A1204&lt;=VLOOKUP(YEAR($A1204),'Festive dates'!$A$2:$J$5,10,FALSE)),1,0)</f>
        <v>0</v>
      </c>
      <c r="W1204" s="9">
        <f>IF($A1204=VLOOKUP(YEAR($A1204),'Festive dates'!$A$2:$J$5,7,FALSE),1,0)</f>
        <v>0</v>
      </c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  <c r="AH1204" s="1"/>
      <c r="AI1204" s="1"/>
      <c r="AJ1204" s="1"/>
      <c r="AK1204" s="1"/>
      <c r="AL1204" s="1"/>
      <c r="AM1204" s="1"/>
      <c r="AN1204" s="1"/>
      <c r="AO1204" s="1"/>
      <c r="AP1204" s="1"/>
      <c r="AQ1204" s="1"/>
      <c r="AR1204" s="1"/>
      <c r="AS1204" s="1"/>
      <c r="AT1204" s="1"/>
      <c r="AU1204" s="1"/>
      <c r="AV1204" s="1"/>
      <c r="AW1204" s="1"/>
      <c r="AX1204" s="1"/>
      <c r="AY1204" s="1"/>
    </row>
    <row r="1205" spans="1:51">
      <c r="A1205" s="8">
        <v>46220</v>
      </c>
      <c r="B1205" s="9">
        <v>0</v>
      </c>
      <c r="C1205" s="9">
        <v>0</v>
      </c>
      <c r="D1205" s="9">
        <v>0</v>
      </c>
      <c r="E1205" s="9">
        <v>0</v>
      </c>
      <c r="F1205" s="9">
        <v>0</v>
      </c>
      <c r="G1205" s="9">
        <v>0</v>
      </c>
      <c r="H1205" s="9">
        <v>0</v>
      </c>
      <c r="I1205" s="9">
        <v>0</v>
      </c>
      <c r="J1205" s="9">
        <v>0</v>
      </c>
      <c r="K1205" s="9">
        <v>0</v>
      </c>
      <c r="L1205" s="9">
        <v>0</v>
      </c>
      <c r="M1205" s="9">
        <v>0</v>
      </c>
      <c r="N1205" s="9">
        <v>0</v>
      </c>
      <c r="O1205" s="9">
        <v>0</v>
      </c>
      <c r="P1205" s="9">
        <v>0</v>
      </c>
      <c r="Q1205" s="9">
        <f>MAX(-20,MIN(10,$A1205-VLOOKUP(YEAR($A1205),'Festive dates'!$A$2:$J$5,8,FALSE)))</f>
        <v>-20</v>
      </c>
      <c r="R1205" s="9">
        <f>IF(AND($A1205&gt;VLOOKUP(YEAR($A1205),'Festive dates'!$A$2:$J$5,2,FALSE),$A1205&lt;VLOOKUP(YEAR($A1205),'Festive dates'!$A$2:$J$5,3,FALSE)),1,0)</f>
        <v>0</v>
      </c>
      <c r="S1205" s="9">
        <f>IF($A1205=VLOOKUP(YEAR($A1205),'Festive dates'!$A$2:$J$5,2,FALSE),1,0)</f>
        <v>0</v>
      </c>
      <c r="T1205" s="9">
        <f>IF($A1205=VLOOKUP(YEAR($A1205),'Festive dates'!$A$2:$J$5,3,FALSE),1,0)</f>
        <v>0</v>
      </c>
      <c r="U1205" s="9">
        <f>IF($A1205=VLOOKUP(YEAR($A1205),'Festive dates'!$A$2:$J$5,4,FALSE),1,0)</f>
        <v>0</v>
      </c>
      <c r="V1205" s="9">
        <f>IF(AND($A1205&gt;=VLOOKUP(YEAR($A1205),'Festive dates'!$A$2:$J$5,9,FALSE),$A1205&lt;=VLOOKUP(YEAR($A1205),'Festive dates'!$A$2:$J$5,10,FALSE)),1,0)</f>
        <v>0</v>
      </c>
      <c r="W1205" s="9">
        <f>IF($A1205=VLOOKUP(YEAR($A1205),'Festive dates'!$A$2:$J$5,7,FALSE),1,0)</f>
        <v>0</v>
      </c>
      <c r="X1205" s="1"/>
      <c r="Y1205" s="1"/>
      <c r="Z1205" s="1"/>
      <c r="AA1205" s="1"/>
      <c r="AB1205" s="1"/>
      <c r="AC1205" s="1"/>
      <c r="AD1205" s="1"/>
      <c r="AE1205" s="1"/>
      <c r="AF1205" s="1"/>
      <c r="AG1205" s="1"/>
      <c r="AH1205" s="1"/>
      <c r="AI1205" s="1"/>
      <c r="AJ1205" s="1"/>
      <c r="AK1205" s="1"/>
      <c r="AL1205" s="1"/>
      <c r="AM1205" s="1"/>
      <c r="AN1205" s="1"/>
      <c r="AO1205" s="1"/>
      <c r="AP1205" s="1"/>
      <c r="AQ1205" s="1"/>
      <c r="AR1205" s="1"/>
      <c r="AS1205" s="1"/>
      <c r="AT1205" s="1"/>
      <c r="AU1205" s="1"/>
      <c r="AV1205" s="1"/>
      <c r="AW1205" s="1"/>
      <c r="AX1205" s="1"/>
      <c r="AY1205" s="1"/>
    </row>
    <row r="1206" spans="1:51">
      <c r="A1206" s="8">
        <v>46221</v>
      </c>
      <c r="B1206" s="9">
        <v>0</v>
      </c>
      <c r="C1206" s="9">
        <v>0</v>
      </c>
      <c r="D1206" s="9">
        <v>0</v>
      </c>
      <c r="E1206" s="9">
        <v>0</v>
      </c>
      <c r="F1206" s="9">
        <v>0</v>
      </c>
      <c r="G1206" s="9">
        <v>0</v>
      </c>
      <c r="H1206" s="9">
        <v>0</v>
      </c>
      <c r="I1206" s="9">
        <v>0</v>
      </c>
      <c r="J1206" s="9">
        <v>0</v>
      </c>
      <c r="K1206" s="9">
        <v>0</v>
      </c>
      <c r="L1206" s="9">
        <v>0</v>
      </c>
      <c r="M1206" s="9">
        <v>0</v>
      </c>
      <c r="N1206" s="9">
        <v>0</v>
      </c>
      <c r="O1206" s="9">
        <v>0</v>
      </c>
      <c r="P1206" s="9">
        <v>0</v>
      </c>
      <c r="Q1206" s="9">
        <f>MAX(-20,MIN(10,$A1206-VLOOKUP(YEAR($A1206),'Festive dates'!$A$2:$J$5,8,FALSE)))</f>
        <v>-20</v>
      </c>
      <c r="R1206" s="9">
        <f>IF(AND($A1206&gt;VLOOKUP(YEAR($A1206),'Festive dates'!$A$2:$J$5,2,FALSE),$A1206&lt;VLOOKUP(YEAR($A1206),'Festive dates'!$A$2:$J$5,3,FALSE)),1,0)</f>
        <v>0</v>
      </c>
      <c r="S1206" s="9">
        <f>IF($A1206=VLOOKUP(YEAR($A1206),'Festive dates'!$A$2:$J$5,2,FALSE),1,0)</f>
        <v>0</v>
      </c>
      <c r="T1206" s="9">
        <f>IF($A1206=VLOOKUP(YEAR($A1206),'Festive dates'!$A$2:$J$5,3,FALSE),1,0)</f>
        <v>0</v>
      </c>
      <c r="U1206" s="9">
        <f>IF($A1206=VLOOKUP(YEAR($A1206),'Festive dates'!$A$2:$J$5,4,FALSE),1,0)</f>
        <v>0</v>
      </c>
      <c r="V1206" s="9">
        <f>IF(AND($A1206&gt;=VLOOKUP(YEAR($A1206),'Festive dates'!$A$2:$J$5,9,FALSE),$A1206&lt;=VLOOKUP(YEAR($A1206),'Festive dates'!$A$2:$J$5,10,FALSE)),1,0)</f>
        <v>0</v>
      </c>
      <c r="W1206" s="9">
        <f>IF($A1206=VLOOKUP(YEAR($A1206),'Festive dates'!$A$2:$J$5,7,FALSE),1,0)</f>
        <v>0</v>
      </c>
      <c r="X1206" s="1"/>
      <c r="Y1206" s="1"/>
      <c r="Z1206" s="1"/>
      <c r="AA1206" s="1"/>
      <c r="AB1206" s="1"/>
      <c r="AC1206" s="1"/>
      <c r="AD1206" s="1"/>
      <c r="AE1206" s="1"/>
      <c r="AF1206" s="1"/>
      <c r="AG1206" s="1"/>
      <c r="AH1206" s="1"/>
      <c r="AI1206" s="1"/>
      <c r="AJ1206" s="1"/>
      <c r="AK1206" s="1"/>
      <c r="AL1206" s="1"/>
      <c r="AM1206" s="1"/>
      <c r="AN1206" s="1"/>
      <c r="AO1206" s="1"/>
      <c r="AP1206" s="1"/>
      <c r="AQ1206" s="1"/>
      <c r="AR1206" s="1"/>
      <c r="AS1206" s="1"/>
      <c r="AT1206" s="1"/>
      <c r="AU1206" s="1"/>
      <c r="AV1206" s="1"/>
      <c r="AW1206" s="1"/>
      <c r="AX1206" s="1"/>
      <c r="AY1206" s="1"/>
    </row>
    <row r="1207" spans="1:51">
      <c r="A1207" s="8">
        <v>46222</v>
      </c>
      <c r="B1207" s="9">
        <v>0</v>
      </c>
      <c r="C1207" s="9">
        <v>0</v>
      </c>
      <c r="D1207" s="9">
        <v>0</v>
      </c>
      <c r="E1207" s="9">
        <v>0</v>
      </c>
      <c r="F1207" s="9">
        <v>0</v>
      </c>
      <c r="G1207" s="9">
        <v>0</v>
      </c>
      <c r="H1207" s="9">
        <v>0</v>
      </c>
      <c r="I1207" s="9">
        <v>0</v>
      </c>
      <c r="J1207" s="9">
        <v>0</v>
      </c>
      <c r="K1207" s="9">
        <v>0</v>
      </c>
      <c r="L1207" s="9">
        <v>0</v>
      </c>
      <c r="M1207" s="9">
        <v>0</v>
      </c>
      <c r="N1207" s="9">
        <v>0</v>
      </c>
      <c r="O1207" s="9">
        <v>0</v>
      </c>
      <c r="P1207" s="9">
        <v>0</v>
      </c>
      <c r="Q1207" s="9">
        <f>MAX(-20,MIN(10,$A1207-VLOOKUP(YEAR($A1207),'Festive dates'!$A$2:$J$5,8,FALSE)))</f>
        <v>-20</v>
      </c>
      <c r="R1207" s="9">
        <f>IF(AND($A1207&gt;VLOOKUP(YEAR($A1207),'Festive dates'!$A$2:$J$5,2,FALSE),$A1207&lt;VLOOKUP(YEAR($A1207),'Festive dates'!$A$2:$J$5,3,FALSE)),1,0)</f>
        <v>0</v>
      </c>
      <c r="S1207" s="9">
        <f>IF($A1207=VLOOKUP(YEAR($A1207),'Festive dates'!$A$2:$J$5,2,FALSE),1,0)</f>
        <v>0</v>
      </c>
      <c r="T1207" s="9">
        <f>IF($A1207=VLOOKUP(YEAR($A1207),'Festive dates'!$A$2:$J$5,3,FALSE),1,0)</f>
        <v>0</v>
      </c>
      <c r="U1207" s="9">
        <f>IF($A1207=VLOOKUP(YEAR($A1207),'Festive dates'!$A$2:$J$5,4,FALSE),1,0)</f>
        <v>0</v>
      </c>
      <c r="V1207" s="9">
        <f>IF(AND($A1207&gt;=VLOOKUP(YEAR($A1207),'Festive dates'!$A$2:$J$5,9,FALSE),$A1207&lt;=VLOOKUP(YEAR($A1207),'Festive dates'!$A$2:$J$5,10,FALSE)),1,0)</f>
        <v>0</v>
      </c>
      <c r="W1207" s="9">
        <f>IF($A1207=VLOOKUP(YEAR($A1207),'Festive dates'!$A$2:$J$5,7,FALSE),1,0)</f>
        <v>0</v>
      </c>
      <c r="X1207" s="1"/>
      <c r="Y1207" s="1"/>
      <c r="Z1207" s="1"/>
      <c r="AA1207" s="1"/>
      <c r="AB1207" s="1"/>
      <c r="AC1207" s="1"/>
      <c r="AD1207" s="1"/>
      <c r="AE1207" s="1"/>
      <c r="AF1207" s="1"/>
      <c r="AG1207" s="1"/>
      <c r="AH1207" s="1"/>
      <c r="AI1207" s="1"/>
      <c r="AJ1207" s="1"/>
      <c r="AK1207" s="1"/>
      <c r="AL1207" s="1"/>
      <c r="AM1207" s="1"/>
      <c r="AN1207" s="1"/>
      <c r="AO1207" s="1"/>
      <c r="AP1207" s="1"/>
      <c r="AQ1207" s="1"/>
      <c r="AR1207" s="1"/>
      <c r="AS1207" s="1"/>
      <c r="AT1207" s="1"/>
      <c r="AU1207" s="1"/>
      <c r="AV1207" s="1"/>
      <c r="AW1207" s="1"/>
      <c r="AX1207" s="1"/>
      <c r="AY1207" s="1"/>
    </row>
    <row r="1208" spans="1:51">
      <c r="A1208" s="8">
        <v>46223</v>
      </c>
      <c r="B1208" s="9">
        <v>0</v>
      </c>
      <c r="C1208" s="9">
        <v>0</v>
      </c>
      <c r="D1208" s="9">
        <v>0</v>
      </c>
      <c r="E1208" s="9">
        <v>0</v>
      </c>
      <c r="F1208" s="9">
        <v>0</v>
      </c>
      <c r="G1208" s="9">
        <v>0</v>
      </c>
      <c r="H1208" s="9">
        <v>0</v>
      </c>
      <c r="I1208" s="9">
        <v>0</v>
      </c>
      <c r="J1208" s="9">
        <v>0</v>
      </c>
      <c r="K1208" s="9">
        <v>0</v>
      </c>
      <c r="L1208" s="9">
        <v>0</v>
      </c>
      <c r="M1208" s="9">
        <v>0</v>
      </c>
      <c r="N1208" s="9">
        <v>0</v>
      </c>
      <c r="O1208" s="9">
        <v>0</v>
      </c>
      <c r="P1208" s="9">
        <v>0</v>
      </c>
      <c r="Q1208" s="9">
        <f>MAX(-20,MIN(10,$A1208-VLOOKUP(YEAR($A1208),'Festive dates'!$A$2:$J$5,8,FALSE)))</f>
        <v>-20</v>
      </c>
      <c r="R1208" s="9">
        <f>IF(AND($A1208&gt;VLOOKUP(YEAR($A1208),'Festive dates'!$A$2:$J$5,2,FALSE),$A1208&lt;VLOOKUP(YEAR($A1208),'Festive dates'!$A$2:$J$5,3,FALSE)),1,0)</f>
        <v>0</v>
      </c>
      <c r="S1208" s="9">
        <f>IF($A1208=VLOOKUP(YEAR($A1208),'Festive dates'!$A$2:$J$5,2,FALSE),1,0)</f>
        <v>0</v>
      </c>
      <c r="T1208" s="9">
        <f>IF($A1208=VLOOKUP(YEAR($A1208),'Festive dates'!$A$2:$J$5,3,FALSE),1,0)</f>
        <v>0</v>
      </c>
      <c r="U1208" s="9">
        <f>IF($A1208=VLOOKUP(YEAR($A1208),'Festive dates'!$A$2:$J$5,4,FALSE),1,0)</f>
        <v>0</v>
      </c>
      <c r="V1208" s="9">
        <f>IF(AND($A1208&gt;=VLOOKUP(YEAR($A1208),'Festive dates'!$A$2:$J$5,9,FALSE),$A1208&lt;=VLOOKUP(YEAR($A1208),'Festive dates'!$A$2:$J$5,10,FALSE)),1,0)</f>
        <v>0</v>
      </c>
      <c r="W1208" s="9">
        <f>IF($A1208=VLOOKUP(YEAR($A1208),'Festive dates'!$A$2:$J$5,7,FALSE),1,0)</f>
        <v>0</v>
      </c>
      <c r="X1208" s="1"/>
      <c r="Y1208" s="1"/>
      <c r="Z1208" s="1"/>
      <c r="AA1208" s="1"/>
      <c r="AB1208" s="1"/>
      <c r="AC1208" s="1"/>
      <c r="AD1208" s="1"/>
      <c r="AE1208" s="1"/>
      <c r="AF1208" s="1"/>
      <c r="AG1208" s="1"/>
      <c r="AH1208" s="1"/>
      <c r="AI1208" s="1"/>
      <c r="AJ1208" s="1"/>
      <c r="AK1208" s="1"/>
      <c r="AL1208" s="1"/>
      <c r="AM1208" s="1"/>
      <c r="AN1208" s="1"/>
      <c r="AO1208" s="1"/>
      <c r="AP1208" s="1"/>
      <c r="AQ1208" s="1"/>
      <c r="AR1208" s="1"/>
      <c r="AS1208" s="1"/>
      <c r="AT1208" s="1"/>
      <c r="AU1208" s="1"/>
      <c r="AV1208" s="1"/>
      <c r="AW1208" s="1"/>
      <c r="AX1208" s="1"/>
      <c r="AY1208" s="1"/>
    </row>
    <row r="1209" spans="1:51">
      <c r="A1209" s="8">
        <v>46224</v>
      </c>
      <c r="B1209" s="9">
        <v>0</v>
      </c>
      <c r="C1209" s="9">
        <v>0</v>
      </c>
      <c r="D1209" s="9">
        <v>0</v>
      </c>
      <c r="E1209" s="9">
        <v>0</v>
      </c>
      <c r="F1209" s="9">
        <v>0</v>
      </c>
      <c r="G1209" s="9">
        <v>0</v>
      </c>
      <c r="H1209" s="9">
        <v>0</v>
      </c>
      <c r="I1209" s="9">
        <v>0</v>
      </c>
      <c r="J1209" s="9">
        <v>0</v>
      </c>
      <c r="K1209" s="9">
        <v>0</v>
      </c>
      <c r="L1209" s="9">
        <v>0</v>
      </c>
      <c r="M1209" s="9">
        <v>0</v>
      </c>
      <c r="N1209" s="9">
        <v>0</v>
      </c>
      <c r="O1209" s="9">
        <v>0</v>
      </c>
      <c r="P1209" s="9">
        <v>0</v>
      </c>
      <c r="Q1209" s="9">
        <f>MAX(-20,MIN(10,$A1209-VLOOKUP(YEAR($A1209),'Festive dates'!$A$2:$J$5,8,FALSE)))</f>
        <v>-20</v>
      </c>
      <c r="R1209" s="9">
        <f>IF(AND($A1209&gt;VLOOKUP(YEAR($A1209),'Festive dates'!$A$2:$J$5,2,FALSE),$A1209&lt;VLOOKUP(YEAR($A1209),'Festive dates'!$A$2:$J$5,3,FALSE)),1,0)</f>
        <v>0</v>
      </c>
      <c r="S1209" s="9">
        <f>IF($A1209=VLOOKUP(YEAR($A1209),'Festive dates'!$A$2:$J$5,2,FALSE),1,0)</f>
        <v>0</v>
      </c>
      <c r="T1209" s="9">
        <f>IF($A1209=VLOOKUP(YEAR($A1209),'Festive dates'!$A$2:$J$5,3,FALSE),1,0)</f>
        <v>0</v>
      </c>
      <c r="U1209" s="9">
        <f>IF($A1209=VLOOKUP(YEAR($A1209),'Festive dates'!$A$2:$J$5,4,FALSE),1,0)</f>
        <v>0</v>
      </c>
      <c r="V1209" s="9">
        <f>IF(AND($A1209&gt;=VLOOKUP(YEAR($A1209),'Festive dates'!$A$2:$J$5,9,FALSE),$A1209&lt;=VLOOKUP(YEAR($A1209),'Festive dates'!$A$2:$J$5,10,FALSE)),1,0)</f>
        <v>0</v>
      </c>
      <c r="W1209" s="9">
        <f>IF($A1209=VLOOKUP(YEAR($A1209),'Festive dates'!$A$2:$J$5,7,FALSE),1,0)</f>
        <v>0</v>
      </c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  <c r="AH1209" s="1"/>
      <c r="AI1209" s="1"/>
      <c r="AJ1209" s="1"/>
      <c r="AK1209" s="1"/>
      <c r="AL1209" s="1"/>
      <c r="AM1209" s="1"/>
      <c r="AN1209" s="1"/>
      <c r="AO1209" s="1"/>
      <c r="AP1209" s="1"/>
      <c r="AQ1209" s="1"/>
      <c r="AR1209" s="1"/>
      <c r="AS1209" s="1"/>
      <c r="AT1209" s="1"/>
      <c r="AU1209" s="1"/>
      <c r="AV1209" s="1"/>
      <c r="AW1209" s="1"/>
      <c r="AX1209" s="1"/>
      <c r="AY1209" s="1"/>
    </row>
    <row r="1210" spans="1:51">
      <c r="A1210" s="8">
        <v>46225</v>
      </c>
      <c r="B1210" s="9">
        <v>0</v>
      </c>
      <c r="C1210" s="9">
        <v>0</v>
      </c>
      <c r="D1210" s="9">
        <v>0</v>
      </c>
      <c r="E1210" s="9">
        <v>0</v>
      </c>
      <c r="F1210" s="9">
        <v>0</v>
      </c>
      <c r="G1210" s="9">
        <v>0</v>
      </c>
      <c r="H1210" s="9">
        <v>0</v>
      </c>
      <c r="I1210" s="9">
        <v>0</v>
      </c>
      <c r="J1210" s="9">
        <v>0</v>
      </c>
      <c r="K1210" s="9">
        <v>0</v>
      </c>
      <c r="L1210" s="9">
        <v>0</v>
      </c>
      <c r="M1210" s="9">
        <v>0</v>
      </c>
      <c r="N1210" s="9">
        <v>0</v>
      </c>
      <c r="O1210" s="9">
        <v>0</v>
      </c>
      <c r="P1210" s="9">
        <v>0</v>
      </c>
      <c r="Q1210" s="9">
        <f>MAX(-20,MIN(10,$A1210-VLOOKUP(YEAR($A1210),'Festive dates'!$A$2:$J$5,8,FALSE)))</f>
        <v>-20</v>
      </c>
      <c r="R1210" s="9">
        <f>IF(AND($A1210&gt;VLOOKUP(YEAR($A1210),'Festive dates'!$A$2:$J$5,2,FALSE),$A1210&lt;VLOOKUP(YEAR($A1210),'Festive dates'!$A$2:$J$5,3,FALSE)),1,0)</f>
        <v>0</v>
      </c>
      <c r="S1210" s="9">
        <f>IF($A1210=VLOOKUP(YEAR($A1210),'Festive dates'!$A$2:$J$5,2,FALSE),1,0)</f>
        <v>0</v>
      </c>
      <c r="T1210" s="9">
        <f>IF($A1210=VLOOKUP(YEAR($A1210),'Festive dates'!$A$2:$J$5,3,FALSE),1,0)</f>
        <v>0</v>
      </c>
      <c r="U1210" s="9">
        <f>IF($A1210=VLOOKUP(YEAR($A1210),'Festive dates'!$A$2:$J$5,4,FALSE),1,0)</f>
        <v>0</v>
      </c>
      <c r="V1210" s="9">
        <f>IF(AND($A1210&gt;=VLOOKUP(YEAR($A1210),'Festive dates'!$A$2:$J$5,9,FALSE),$A1210&lt;=VLOOKUP(YEAR($A1210),'Festive dates'!$A$2:$J$5,10,FALSE)),1,0)</f>
        <v>0</v>
      </c>
      <c r="W1210" s="9">
        <f>IF($A1210=VLOOKUP(YEAR($A1210),'Festive dates'!$A$2:$J$5,7,FALSE),1,0)</f>
        <v>0</v>
      </c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  <c r="AH1210" s="1"/>
      <c r="AI1210" s="1"/>
      <c r="AJ1210" s="1"/>
      <c r="AK1210" s="1"/>
      <c r="AL1210" s="1"/>
      <c r="AM1210" s="1"/>
      <c r="AN1210" s="1"/>
      <c r="AO1210" s="1"/>
      <c r="AP1210" s="1"/>
      <c r="AQ1210" s="1"/>
      <c r="AR1210" s="1"/>
      <c r="AS1210" s="1"/>
      <c r="AT1210" s="1"/>
      <c r="AU1210" s="1"/>
      <c r="AV1210" s="1"/>
      <c r="AW1210" s="1"/>
      <c r="AX1210" s="1"/>
      <c r="AY1210" s="1"/>
    </row>
    <row r="1211" spans="1:51">
      <c r="A1211" s="8">
        <v>46226</v>
      </c>
      <c r="B1211" s="9">
        <v>0</v>
      </c>
      <c r="C1211" s="9">
        <v>0</v>
      </c>
      <c r="D1211" s="9">
        <v>0</v>
      </c>
      <c r="E1211" s="9">
        <v>0</v>
      </c>
      <c r="F1211" s="9">
        <v>0</v>
      </c>
      <c r="G1211" s="9">
        <v>0</v>
      </c>
      <c r="H1211" s="9">
        <v>0</v>
      </c>
      <c r="I1211" s="9">
        <v>0</v>
      </c>
      <c r="J1211" s="9">
        <v>0</v>
      </c>
      <c r="K1211" s="9">
        <v>0</v>
      </c>
      <c r="L1211" s="9">
        <v>0</v>
      </c>
      <c r="M1211" s="9">
        <v>0</v>
      </c>
      <c r="N1211" s="9">
        <v>0</v>
      </c>
      <c r="O1211" s="9">
        <v>0</v>
      </c>
      <c r="P1211" s="9">
        <v>0</v>
      </c>
      <c r="Q1211" s="9">
        <f>MAX(-20,MIN(10,$A1211-VLOOKUP(YEAR($A1211),'Festive dates'!$A$2:$J$5,8,FALSE)))</f>
        <v>-20</v>
      </c>
      <c r="R1211" s="9">
        <f>IF(AND($A1211&gt;VLOOKUP(YEAR($A1211),'Festive dates'!$A$2:$J$5,2,FALSE),$A1211&lt;VLOOKUP(YEAR($A1211),'Festive dates'!$A$2:$J$5,3,FALSE)),1,0)</f>
        <v>0</v>
      </c>
      <c r="S1211" s="9">
        <f>IF($A1211=VLOOKUP(YEAR($A1211),'Festive dates'!$A$2:$J$5,2,FALSE),1,0)</f>
        <v>0</v>
      </c>
      <c r="T1211" s="9">
        <f>IF($A1211=VLOOKUP(YEAR($A1211),'Festive dates'!$A$2:$J$5,3,FALSE),1,0)</f>
        <v>0</v>
      </c>
      <c r="U1211" s="9">
        <f>IF($A1211=VLOOKUP(YEAR($A1211),'Festive dates'!$A$2:$J$5,4,FALSE),1,0)</f>
        <v>0</v>
      </c>
      <c r="V1211" s="9">
        <f>IF(AND($A1211&gt;=VLOOKUP(YEAR($A1211),'Festive dates'!$A$2:$J$5,9,FALSE),$A1211&lt;=VLOOKUP(YEAR($A1211),'Festive dates'!$A$2:$J$5,10,FALSE)),1,0)</f>
        <v>0</v>
      </c>
      <c r="W1211" s="9">
        <f>IF($A1211=VLOOKUP(YEAR($A1211),'Festive dates'!$A$2:$J$5,7,FALSE),1,0)</f>
        <v>0</v>
      </c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  <c r="AH1211" s="1"/>
      <c r="AI1211" s="1"/>
      <c r="AJ1211" s="1"/>
      <c r="AK1211" s="1"/>
      <c r="AL1211" s="1"/>
      <c r="AM1211" s="1"/>
      <c r="AN1211" s="1"/>
      <c r="AO1211" s="1"/>
      <c r="AP1211" s="1"/>
      <c r="AQ1211" s="1"/>
      <c r="AR1211" s="1"/>
      <c r="AS1211" s="1"/>
      <c r="AT1211" s="1"/>
      <c r="AU1211" s="1"/>
      <c r="AV1211" s="1"/>
      <c r="AW1211" s="1"/>
      <c r="AX1211" s="1"/>
      <c r="AY1211" s="1"/>
    </row>
    <row r="1212" spans="1:51">
      <c r="A1212" s="8">
        <v>46227</v>
      </c>
      <c r="B1212" s="9">
        <v>0</v>
      </c>
      <c r="C1212" s="9">
        <v>0</v>
      </c>
      <c r="D1212" s="9">
        <v>0</v>
      </c>
      <c r="E1212" s="9">
        <v>0</v>
      </c>
      <c r="F1212" s="9">
        <v>0</v>
      </c>
      <c r="G1212" s="9">
        <v>0</v>
      </c>
      <c r="H1212" s="9">
        <v>0</v>
      </c>
      <c r="I1212" s="9">
        <v>0</v>
      </c>
      <c r="J1212" s="9">
        <v>0</v>
      </c>
      <c r="K1212" s="9">
        <v>0</v>
      </c>
      <c r="L1212" s="9">
        <v>0</v>
      </c>
      <c r="M1212" s="9">
        <v>0</v>
      </c>
      <c r="N1212" s="9">
        <v>0</v>
      </c>
      <c r="O1212" s="9">
        <v>0</v>
      </c>
      <c r="P1212" s="9">
        <v>0</v>
      </c>
      <c r="Q1212" s="9">
        <f>MAX(-20,MIN(10,$A1212-VLOOKUP(YEAR($A1212),'Festive dates'!$A$2:$J$5,8,FALSE)))</f>
        <v>-20</v>
      </c>
      <c r="R1212" s="9">
        <f>IF(AND($A1212&gt;VLOOKUP(YEAR($A1212),'Festive dates'!$A$2:$J$5,2,FALSE),$A1212&lt;VLOOKUP(YEAR($A1212),'Festive dates'!$A$2:$J$5,3,FALSE)),1,0)</f>
        <v>0</v>
      </c>
      <c r="S1212" s="9">
        <f>IF($A1212=VLOOKUP(YEAR($A1212),'Festive dates'!$A$2:$J$5,2,FALSE),1,0)</f>
        <v>0</v>
      </c>
      <c r="T1212" s="9">
        <f>IF($A1212=VLOOKUP(YEAR($A1212),'Festive dates'!$A$2:$J$5,3,FALSE),1,0)</f>
        <v>0</v>
      </c>
      <c r="U1212" s="9">
        <f>IF($A1212=VLOOKUP(YEAR($A1212),'Festive dates'!$A$2:$J$5,4,FALSE),1,0)</f>
        <v>0</v>
      </c>
      <c r="V1212" s="9">
        <f>IF(AND($A1212&gt;=VLOOKUP(YEAR($A1212),'Festive dates'!$A$2:$J$5,9,FALSE),$A1212&lt;=VLOOKUP(YEAR($A1212),'Festive dates'!$A$2:$J$5,10,FALSE)),1,0)</f>
        <v>0</v>
      </c>
      <c r="W1212" s="9">
        <f>IF($A1212=VLOOKUP(YEAR($A1212),'Festive dates'!$A$2:$J$5,7,FALSE),1,0)</f>
        <v>0</v>
      </c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  <c r="AH1212" s="1"/>
      <c r="AI1212" s="1"/>
      <c r="AJ1212" s="1"/>
      <c r="AK1212" s="1"/>
      <c r="AL1212" s="1"/>
      <c r="AM1212" s="1"/>
      <c r="AN1212" s="1"/>
      <c r="AO1212" s="1"/>
      <c r="AP1212" s="1"/>
      <c r="AQ1212" s="1"/>
      <c r="AR1212" s="1"/>
      <c r="AS1212" s="1"/>
      <c r="AT1212" s="1"/>
      <c r="AU1212" s="1"/>
      <c r="AV1212" s="1"/>
      <c r="AW1212" s="1"/>
      <c r="AX1212" s="1"/>
      <c r="AY1212" s="1"/>
    </row>
    <row r="1213" spans="1:51">
      <c r="A1213" s="8">
        <v>46228</v>
      </c>
      <c r="B1213" s="9">
        <v>0</v>
      </c>
      <c r="C1213" s="9">
        <v>0</v>
      </c>
      <c r="D1213" s="9">
        <v>0</v>
      </c>
      <c r="E1213" s="9">
        <v>0</v>
      </c>
      <c r="F1213" s="9">
        <v>0</v>
      </c>
      <c r="G1213" s="9">
        <v>0</v>
      </c>
      <c r="H1213" s="9">
        <v>0</v>
      </c>
      <c r="I1213" s="9">
        <v>0</v>
      </c>
      <c r="J1213" s="9">
        <v>0</v>
      </c>
      <c r="K1213" s="9">
        <v>0</v>
      </c>
      <c r="L1213" s="9">
        <v>0</v>
      </c>
      <c r="M1213" s="9">
        <v>0</v>
      </c>
      <c r="N1213" s="9">
        <v>0</v>
      </c>
      <c r="O1213" s="9">
        <v>0</v>
      </c>
      <c r="P1213" s="9">
        <v>0</v>
      </c>
      <c r="Q1213" s="9">
        <f>MAX(-20,MIN(10,$A1213-VLOOKUP(YEAR($A1213),'Festive dates'!$A$2:$J$5,8,FALSE)))</f>
        <v>-20</v>
      </c>
      <c r="R1213" s="9">
        <f>IF(AND($A1213&gt;VLOOKUP(YEAR($A1213),'Festive dates'!$A$2:$J$5,2,FALSE),$A1213&lt;VLOOKUP(YEAR($A1213),'Festive dates'!$A$2:$J$5,3,FALSE)),1,0)</f>
        <v>0</v>
      </c>
      <c r="S1213" s="9">
        <f>IF($A1213=VLOOKUP(YEAR($A1213),'Festive dates'!$A$2:$J$5,2,FALSE),1,0)</f>
        <v>0</v>
      </c>
      <c r="T1213" s="9">
        <f>IF($A1213=VLOOKUP(YEAR($A1213),'Festive dates'!$A$2:$J$5,3,FALSE),1,0)</f>
        <v>0</v>
      </c>
      <c r="U1213" s="9">
        <f>IF($A1213=VLOOKUP(YEAR($A1213),'Festive dates'!$A$2:$J$5,4,FALSE),1,0)</f>
        <v>0</v>
      </c>
      <c r="V1213" s="9">
        <f>IF(AND($A1213&gt;=VLOOKUP(YEAR($A1213),'Festive dates'!$A$2:$J$5,9,FALSE),$A1213&lt;=VLOOKUP(YEAR($A1213),'Festive dates'!$A$2:$J$5,10,FALSE)),1,0)</f>
        <v>0</v>
      </c>
      <c r="W1213" s="9">
        <f>IF($A1213=VLOOKUP(YEAR($A1213),'Festive dates'!$A$2:$J$5,7,FALSE),1,0)</f>
        <v>0</v>
      </c>
      <c r="X1213" s="1"/>
      <c r="Y1213" s="1"/>
      <c r="Z1213" s="1"/>
      <c r="AA1213" s="1"/>
      <c r="AB1213" s="1"/>
      <c r="AC1213" s="1"/>
      <c r="AD1213" s="1"/>
      <c r="AE1213" s="1"/>
      <c r="AF1213" s="1"/>
      <c r="AG1213" s="1"/>
      <c r="AH1213" s="1"/>
      <c r="AI1213" s="1"/>
      <c r="AJ1213" s="1"/>
      <c r="AK1213" s="1"/>
      <c r="AL1213" s="1"/>
      <c r="AM1213" s="1"/>
      <c r="AN1213" s="1"/>
      <c r="AO1213" s="1"/>
      <c r="AP1213" s="1"/>
      <c r="AQ1213" s="1"/>
      <c r="AR1213" s="1"/>
      <c r="AS1213" s="1"/>
      <c r="AT1213" s="1"/>
      <c r="AU1213" s="1"/>
      <c r="AV1213" s="1"/>
      <c r="AW1213" s="1"/>
      <c r="AX1213" s="1"/>
      <c r="AY1213" s="1"/>
    </row>
    <row r="1214" spans="1:51">
      <c r="A1214" s="8">
        <v>46229</v>
      </c>
      <c r="B1214" s="9">
        <v>0</v>
      </c>
      <c r="C1214" s="9">
        <v>0</v>
      </c>
      <c r="D1214" s="9">
        <v>0</v>
      </c>
      <c r="E1214" s="9">
        <v>0</v>
      </c>
      <c r="F1214" s="9">
        <v>0</v>
      </c>
      <c r="G1214" s="9">
        <v>0</v>
      </c>
      <c r="H1214" s="9">
        <v>0</v>
      </c>
      <c r="I1214" s="9">
        <v>0</v>
      </c>
      <c r="J1214" s="9">
        <v>0</v>
      </c>
      <c r="K1214" s="9">
        <v>0</v>
      </c>
      <c r="L1214" s="9">
        <v>0</v>
      </c>
      <c r="M1214" s="9">
        <v>0</v>
      </c>
      <c r="N1214" s="9">
        <v>0</v>
      </c>
      <c r="O1214" s="9">
        <v>0</v>
      </c>
      <c r="P1214" s="9">
        <v>0</v>
      </c>
      <c r="Q1214" s="9">
        <f>MAX(-20,MIN(10,$A1214-VLOOKUP(YEAR($A1214),'Festive dates'!$A$2:$J$5,8,FALSE)))</f>
        <v>-20</v>
      </c>
      <c r="R1214" s="9">
        <f>IF(AND($A1214&gt;VLOOKUP(YEAR($A1214),'Festive dates'!$A$2:$J$5,2,FALSE),$A1214&lt;VLOOKUP(YEAR($A1214),'Festive dates'!$A$2:$J$5,3,FALSE)),1,0)</f>
        <v>0</v>
      </c>
      <c r="S1214" s="9">
        <f>IF($A1214=VLOOKUP(YEAR($A1214),'Festive dates'!$A$2:$J$5,2,FALSE),1,0)</f>
        <v>0</v>
      </c>
      <c r="T1214" s="9">
        <f>IF($A1214=VLOOKUP(YEAR($A1214),'Festive dates'!$A$2:$J$5,3,FALSE),1,0)</f>
        <v>0</v>
      </c>
      <c r="U1214" s="9">
        <f>IF($A1214=VLOOKUP(YEAR($A1214),'Festive dates'!$A$2:$J$5,4,FALSE),1,0)</f>
        <v>0</v>
      </c>
      <c r="V1214" s="9">
        <f>IF(AND($A1214&gt;=VLOOKUP(YEAR($A1214),'Festive dates'!$A$2:$J$5,9,FALSE),$A1214&lt;=VLOOKUP(YEAR($A1214),'Festive dates'!$A$2:$J$5,10,FALSE)),1,0)</f>
        <v>0</v>
      </c>
      <c r="W1214" s="9">
        <f>IF($A1214=VLOOKUP(YEAR($A1214),'Festive dates'!$A$2:$J$5,7,FALSE),1,0)</f>
        <v>0</v>
      </c>
      <c r="X1214" s="1"/>
      <c r="Y1214" s="1"/>
      <c r="Z1214" s="1"/>
      <c r="AA1214" s="1"/>
      <c r="AB1214" s="1"/>
      <c r="AC1214" s="1"/>
      <c r="AD1214" s="1"/>
      <c r="AE1214" s="1"/>
      <c r="AF1214" s="1"/>
      <c r="AG1214" s="1"/>
      <c r="AH1214" s="1"/>
      <c r="AI1214" s="1"/>
      <c r="AJ1214" s="1"/>
      <c r="AK1214" s="1"/>
      <c r="AL1214" s="1"/>
      <c r="AM1214" s="1"/>
      <c r="AN1214" s="1"/>
      <c r="AO1214" s="1"/>
      <c r="AP1214" s="1"/>
      <c r="AQ1214" s="1"/>
      <c r="AR1214" s="1"/>
      <c r="AS1214" s="1"/>
      <c r="AT1214" s="1"/>
      <c r="AU1214" s="1"/>
      <c r="AV1214" s="1"/>
      <c r="AW1214" s="1"/>
      <c r="AX1214" s="1"/>
      <c r="AY1214" s="1"/>
    </row>
    <row r="1215" spans="1:51">
      <c r="A1215" s="8">
        <v>46230</v>
      </c>
      <c r="B1215" s="9">
        <v>0</v>
      </c>
      <c r="C1215" s="9">
        <v>0</v>
      </c>
      <c r="D1215" s="9">
        <v>0</v>
      </c>
      <c r="E1215" s="9">
        <v>0</v>
      </c>
      <c r="F1215" s="9">
        <v>0</v>
      </c>
      <c r="G1215" s="9">
        <v>0</v>
      </c>
      <c r="H1215" s="9">
        <v>0</v>
      </c>
      <c r="I1215" s="9">
        <v>0</v>
      </c>
      <c r="J1215" s="9">
        <v>0</v>
      </c>
      <c r="K1215" s="9">
        <v>0</v>
      </c>
      <c r="L1215" s="9">
        <v>0</v>
      </c>
      <c r="M1215" s="9">
        <v>0</v>
      </c>
      <c r="N1215" s="9">
        <v>0</v>
      </c>
      <c r="O1215" s="9">
        <v>0</v>
      </c>
      <c r="P1215" s="9">
        <v>0</v>
      </c>
      <c r="Q1215" s="9">
        <f>MAX(-20,MIN(10,$A1215-VLOOKUP(YEAR($A1215),'Festive dates'!$A$2:$J$5,8,FALSE)))</f>
        <v>-20</v>
      </c>
      <c r="R1215" s="9">
        <f>IF(AND($A1215&gt;VLOOKUP(YEAR($A1215),'Festive dates'!$A$2:$J$5,2,FALSE),$A1215&lt;VLOOKUP(YEAR($A1215),'Festive dates'!$A$2:$J$5,3,FALSE)),1,0)</f>
        <v>0</v>
      </c>
      <c r="S1215" s="9">
        <f>IF($A1215=VLOOKUP(YEAR($A1215),'Festive dates'!$A$2:$J$5,2,FALSE),1,0)</f>
        <v>0</v>
      </c>
      <c r="T1215" s="9">
        <f>IF($A1215=VLOOKUP(YEAR($A1215),'Festive dates'!$A$2:$J$5,3,FALSE),1,0)</f>
        <v>0</v>
      </c>
      <c r="U1215" s="9">
        <f>IF($A1215=VLOOKUP(YEAR($A1215),'Festive dates'!$A$2:$J$5,4,FALSE),1,0)</f>
        <v>0</v>
      </c>
      <c r="V1215" s="9">
        <f>IF(AND($A1215&gt;=VLOOKUP(YEAR($A1215),'Festive dates'!$A$2:$J$5,9,FALSE),$A1215&lt;=VLOOKUP(YEAR($A1215),'Festive dates'!$A$2:$J$5,10,FALSE)),1,0)</f>
        <v>0</v>
      </c>
      <c r="W1215" s="9">
        <f>IF($A1215=VLOOKUP(YEAR($A1215),'Festive dates'!$A$2:$J$5,7,FALSE),1,0)</f>
        <v>0</v>
      </c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  <c r="AH1215" s="1"/>
      <c r="AI1215" s="1"/>
      <c r="AJ1215" s="1"/>
      <c r="AK1215" s="1"/>
      <c r="AL1215" s="1"/>
      <c r="AM1215" s="1"/>
      <c r="AN1215" s="1"/>
      <c r="AO1215" s="1"/>
      <c r="AP1215" s="1"/>
      <c r="AQ1215" s="1"/>
      <c r="AR1215" s="1"/>
      <c r="AS1215" s="1"/>
      <c r="AT1215" s="1"/>
      <c r="AU1215" s="1"/>
      <c r="AV1215" s="1"/>
      <c r="AW1215" s="1"/>
      <c r="AX1215" s="1"/>
      <c r="AY1215" s="1"/>
    </row>
    <row r="1216" spans="1:51">
      <c r="A1216" s="8">
        <v>46231</v>
      </c>
      <c r="B1216" s="9">
        <v>0</v>
      </c>
      <c r="C1216" s="9">
        <v>0</v>
      </c>
      <c r="D1216" s="9">
        <v>0</v>
      </c>
      <c r="E1216" s="9">
        <v>0</v>
      </c>
      <c r="F1216" s="9">
        <v>0</v>
      </c>
      <c r="G1216" s="9">
        <v>0</v>
      </c>
      <c r="H1216" s="9">
        <v>0</v>
      </c>
      <c r="I1216" s="9">
        <v>0</v>
      </c>
      <c r="J1216" s="9">
        <v>0</v>
      </c>
      <c r="K1216" s="9">
        <v>0</v>
      </c>
      <c r="L1216" s="9">
        <v>0</v>
      </c>
      <c r="M1216" s="9">
        <v>0</v>
      </c>
      <c r="N1216" s="9">
        <v>0</v>
      </c>
      <c r="O1216" s="9">
        <v>0</v>
      </c>
      <c r="P1216" s="9">
        <v>0</v>
      </c>
      <c r="Q1216" s="9">
        <f>MAX(-20,MIN(10,$A1216-VLOOKUP(YEAR($A1216),'Festive dates'!$A$2:$J$5,8,FALSE)))</f>
        <v>-20</v>
      </c>
      <c r="R1216" s="9">
        <f>IF(AND($A1216&gt;VLOOKUP(YEAR($A1216),'Festive dates'!$A$2:$J$5,2,FALSE),$A1216&lt;VLOOKUP(YEAR($A1216),'Festive dates'!$A$2:$J$5,3,FALSE)),1,0)</f>
        <v>0</v>
      </c>
      <c r="S1216" s="9">
        <f>IF($A1216=VLOOKUP(YEAR($A1216),'Festive dates'!$A$2:$J$5,2,FALSE),1,0)</f>
        <v>0</v>
      </c>
      <c r="T1216" s="9">
        <f>IF($A1216=VLOOKUP(YEAR($A1216),'Festive dates'!$A$2:$J$5,3,FALSE),1,0)</f>
        <v>0</v>
      </c>
      <c r="U1216" s="9">
        <f>IF($A1216=VLOOKUP(YEAR($A1216),'Festive dates'!$A$2:$J$5,4,FALSE),1,0)</f>
        <v>0</v>
      </c>
      <c r="V1216" s="9">
        <f>IF(AND($A1216&gt;=VLOOKUP(YEAR($A1216),'Festive dates'!$A$2:$J$5,9,FALSE),$A1216&lt;=VLOOKUP(YEAR($A1216),'Festive dates'!$A$2:$J$5,10,FALSE)),1,0)</f>
        <v>0</v>
      </c>
      <c r="W1216" s="9">
        <f>IF($A1216=VLOOKUP(YEAR($A1216),'Festive dates'!$A$2:$J$5,7,FALSE),1,0)</f>
        <v>0</v>
      </c>
      <c r="X1216" s="1"/>
      <c r="Y1216" s="1"/>
      <c r="Z1216" s="1"/>
      <c r="AA1216" s="1"/>
      <c r="AB1216" s="1"/>
      <c r="AC1216" s="1"/>
      <c r="AD1216" s="1"/>
      <c r="AE1216" s="1"/>
      <c r="AF1216" s="1"/>
      <c r="AG1216" s="1"/>
      <c r="AH1216" s="1"/>
      <c r="AI1216" s="1"/>
      <c r="AJ1216" s="1"/>
      <c r="AK1216" s="1"/>
      <c r="AL1216" s="1"/>
      <c r="AM1216" s="1"/>
      <c r="AN1216" s="1"/>
      <c r="AO1216" s="1"/>
      <c r="AP1216" s="1"/>
      <c r="AQ1216" s="1"/>
      <c r="AR1216" s="1"/>
      <c r="AS1216" s="1"/>
      <c r="AT1216" s="1"/>
      <c r="AU1216" s="1"/>
      <c r="AV1216" s="1"/>
      <c r="AW1216" s="1"/>
      <c r="AX1216" s="1"/>
      <c r="AY1216" s="1"/>
    </row>
    <row r="1217" spans="1:51">
      <c r="A1217" s="8">
        <v>46232</v>
      </c>
      <c r="B1217" s="9">
        <v>0</v>
      </c>
      <c r="C1217" s="9">
        <v>0</v>
      </c>
      <c r="D1217" s="9">
        <v>0</v>
      </c>
      <c r="E1217" s="9">
        <v>0</v>
      </c>
      <c r="F1217" s="9">
        <v>0</v>
      </c>
      <c r="G1217" s="9">
        <v>0</v>
      </c>
      <c r="H1217" s="9">
        <v>0</v>
      </c>
      <c r="I1217" s="9">
        <v>0</v>
      </c>
      <c r="J1217" s="9">
        <v>0</v>
      </c>
      <c r="K1217" s="9">
        <v>0</v>
      </c>
      <c r="L1217" s="9">
        <v>0</v>
      </c>
      <c r="M1217" s="9">
        <v>1</v>
      </c>
      <c r="N1217" s="9">
        <v>0</v>
      </c>
      <c r="O1217" s="9">
        <v>0</v>
      </c>
      <c r="P1217" s="9">
        <v>0</v>
      </c>
      <c r="Q1217" s="9">
        <f>MAX(-20,MIN(10,$A1217-VLOOKUP(YEAR($A1217),'Festive dates'!$A$2:$J$5,8,FALSE)))</f>
        <v>-20</v>
      </c>
      <c r="R1217" s="9">
        <f>IF(AND($A1217&gt;VLOOKUP(YEAR($A1217),'Festive dates'!$A$2:$J$5,2,FALSE),$A1217&lt;VLOOKUP(YEAR($A1217),'Festive dates'!$A$2:$J$5,3,FALSE)),1,0)</f>
        <v>0</v>
      </c>
      <c r="S1217" s="9">
        <f>IF($A1217=VLOOKUP(YEAR($A1217),'Festive dates'!$A$2:$J$5,2,FALSE),1,0)</f>
        <v>0</v>
      </c>
      <c r="T1217" s="9">
        <f>IF($A1217=VLOOKUP(YEAR($A1217),'Festive dates'!$A$2:$J$5,3,FALSE),1,0)</f>
        <v>0</v>
      </c>
      <c r="U1217" s="9">
        <f>IF($A1217=VLOOKUP(YEAR($A1217),'Festive dates'!$A$2:$J$5,4,FALSE),1,0)</f>
        <v>0</v>
      </c>
      <c r="V1217" s="9">
        <f>IF(AND($A1217&gt;=VLOOKUP(YEAR($A1217),'Festive dates'!$A$2:$J$5,9,FALSE),$A1217&lt;=VLOOKUP(YEAR($A1217),'Festive dates'!$A$2:$J$5,10,FALSE)),1,0)</f>
        <v>0</v>
      </c>
      <c r="W1217" s="9">
        <f>IF($A1217=VLOOKUP(YEAR($A1217),'Festive dates'!$A$2:$J$5,7,FALSE),1,0)</f>
        <v>0</v>
      </c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  <c r="AH1217" s="1"/>
      <c r="AI1217" s="1"/>
      <c r="AJ1217" s="1"/>
      <c r="AK1217" s="1"/>
      <c r="AL1217" s="1"/>
      <c r="AM1217" s="1"/>
      <c r="AN1217" s="1"/>
      <c r="AO1217" s="1"/>
      <c r="AP1217" s="1"/>
      <c r="AQ1217" s="1"/>
      <c r="AR1217" s="1"/>
      <c r="AS1217" s="1"/>
      <c r="AT1217" s="1"/>
      <c r="AU1217" s="1"/>
      <c r="AV1217" s="1"/>
      <c r="AW1217" s="1"/>
      <c r="AX1217" s="1"/>
      <c r="AY1217" s="1"/>
    </row>
    <row r="1218" spans="1:51">
      <c r="A1218" s="8">
        <v>46233</v>
      </c>
      <c r="B1218" s="9">
        <v>0</v>
      </c>
      <c r="C1218" s="9">
        <v>0</v>
      </c>
      <c r="D1218" s="9">
        <v>0</v>
      </c>
      <c r="E1218" s="9">
        <v>0</v>
      </c>
      <c r="F1218" s="9">
        <v>0</v>
      </c>
      <c r="G1218" s="9">
        <v>0</v>
      </c>
      <c r="H1218" s="9">
        <v>0</v>
      </c>
      <c r="I1218" s="9">
        <v>0</v>
      </c>
      <c r="J1218" s="9">
        <v>0</v>
      </c>
      <c r="K1218" s="9">
        <v>0</v>
      </c>
      <c r="L1218" s="9">
        <v>0</v>
      </c>
      <c r="M1218" s="9">
        <v>0</v>
      </c>
      <c r="N1218" s="9">
        <v>0</v>
      </c>
      <c r="O1218" s="9">
        <v>0</v>
      </c>
      <c r="P1218" s="9">
        <v>0</v>
      </c>
      <c r="Q1218" s="9">
        <f>MAX(-20,MIN(10,$A1218-VLOOKUP(YEAR($A1218),'Festive dates'!$A$2:$J$5,8,FALSE)))</f>
        <v>-20</v>
      </c>
      <c r="R1218" s="9">
        <f>IF(AND($A1218&gt;VLOOKUP(YEAR($A1218),'Festive dates'!$A$2:$J$5,2,FALSE),$A1218&lt;VLOOKUP(YEAR($A1218),'Festive dates'!$A$2:$J$5,3,FALSE)),1,0)</f>
        <v>0</v>
      </c>
      <c r="S1218" s="9">
        <f>IF($A1218=VLOOKUP(YEAR($A1218),'Festive dates'!$A$2:$J$5,2,FALSE),1,0)</f>
        <v>0</v>
      </c>
      <c r="T1218" s="9">
        <f>IF($A1218=VLOOKUP(YEAR($A1218),'Festive dates'!$A$2:$J$5,3,FALSE),1,0)</f>
        <v>0</v>
      </c>
      <c r="U1218" s="9">
        <f>IF($A1218=VLOOKUP(YEAR($A1218),'Festive dates'!$A$2:$J$5,4,FALSE),1,0)</f>
        <v>0</v>
      </c>
      <c r="V1218" s="9">
        <f>IF(AND($A1218&gt;=VLOOKUP(YEAR($A1218),'Festive dates'!$A$2:$J$5,9,FALSE),$A1218&lt;=VLOOKUP(YEAR($A1218),'Festive dates'!$A$2:$J$5,10,FALSE)),1,0)</f>
        <v>0</v>
      </c>
      <c r="W1218" s="9">
        <f>IF($A1218=VLOOKUP(YEAR($A1218),'Festive dates'!$A$2:$J$5,7,FALSE),1,0)</f>
        <v>0</v>
      </c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  <c r="AH1218" s="1"/>
      <c r="AI1218" s="1"/>
      <c r="AJ1218" s="1"/>
      <c r="AK1218" s="1"/>
      <c r="AL1218" s="1"/>
      <c r="AM1218" s="1"/>
      <c r="AN1218" s="1"/>
      <c r="AO1218" s="1"/>
      <c r="AP1218" s="1"/>
      <c r="AQ1218" s="1"/>
      <c r="AR1218" s="1"/>
      <c r="AS1218" s="1"/>
      <c r="AT1218" s="1"/>
      <c r="AU1218" s="1"/>
      <c r="AV1218" s="1"/>
      <c r="AW1218" s="1"/>
      <c r="AX1218" s="1"/>
      <c r="AY1218" s="1"/>
    </row>
    <row r="1219" spans="1:51">
      <c r="A1219" s="8">
        <v>46234</v>
      </c>
      <c r="B1219" s="9">
        <v>0</v>
      </c>
      <c r="C1219" s="9">
        <v>0</v>
      </c>
      <c r="D1219" s="9">
        <v>0</v>
      </c>
      <c r="E1219" s="9">
        <v>0</v>
      </c>
      <c r="F1219" s="9">
        <v>0</v>
      </c>
      <c r="G1219" s="9">
        <v>0</v>
      </c>
      <c r="H1219" s="9">
        <v>0</v>
      </c>
      <c r="I1219" s="9">
        <v>0</v>
      </c>
      <c r="J1219" s="9">
        <v>0</v>
      </c>
      <c r="K1219" s="9">
        <v>0</v>
      </c>
      <c r="L1219" s="9">
        <v>0</v>
      </c>
      <c r="M1219" s="9">
        <v>0</v>
      </c>
      <c r="N1219" s="9">
        <v>0</v>
      </c>
      <c r="O1219" s="9">
        <v>0</v>
      </c>
      <c r="P1219" s="9">
        <v>0</v>
      </c>
      <c r="Q1219" s="9">
        <f>MAX(-20,MIN(10,$A1219-VLOOKUP(YEAR($A1219),'Festive dates'!$A$2:$J$5,8,FALSE)))</f>
        <v>-20</v>
      </c>
      <c r="R1219" s="9">
        <f>IF(AND($A1219&gt;VLOOKUP(YEAR($A1219),'Festive dates'!$A$2:$J$5,2,FALSE),$A1219&lt;VLOOKUP(YEAR($A1219),'Festive dates'!$A$2:$J$5,3,FALSE)),1,0)</f>
        <v>0</v>
      </c>
      <c r="S1219" s="9">
        <f>IF($A1219=VLOOKUP(YEAR($A1219),'Festive dates'!$A$2:$J$5,2,FALSE),1,0)</f>
        <v>0</v>
      </c>
      <c r="T1219" s="9">
        <f>IF($A1219=VLOOKUP(YEAR($A1219),'Festive dates'!$A$2:$J$5,3,FALSE),1,0)</f>
        <v>0</v>
      </c>
      <c r="U1219" s="9">
        <f>IF($A1219=VLOOKUP(YEAR($A1219),'Festive dates'!$A$2:$J$5,4,FALSE),1,0)</f>
        <v>0</v>
      </c>
      <c r="V1219" s="9">
        <f>IF(AND($A1219&gt;=VLOOKUP(YEAR($A1219),'Festive dates'!$A$2:$J$5,9,FALSE),$A1219&lt;=VLOOKUP(YEAR($A1219),'Festive dates'!$A$2:$J$5,10,FALSE)),1,0)</f>
        <v>0</v>
      </c>
      <c r="W1219" s="9">
        <f>IF($A1219=VLOOKUP(YEAR($A1219),'Festive dates'!$A$2:$J$5,7,FALSE),1,0)</f>
        <v>0</v>
      </c>
      <c r="X1219" s="1"/>
      <c r="Y1219" s="1"/>
      <c r="Z1219" s="1"/>
      <c r="AA1219" s="1"/>
      <c r="AB1219" s="1"/>
      <c r="AC1219" s="1"/>
      <c r="AD1219" s="1"/>
      <c r="AE1219" s="1"/>
      <c r="AF1219" s="1"/>
      <c r="AG1219" s="1"/>
      <c r="AH1219" s="1"/>
      <c r="AI1219" s="1"/>
      <c r="AJ1219" s="1"/>
      <c r="AK1219" s="1"/>
      <c r="AL1219" s="1"/>
      <c r="AM1219" s="1"/>
      <c r="AN1219" s="1"/>
      <c r="AO1219" s="1"/>
      <c r="AP1219" s="1"/>
      <c r="AQ1219" s="1"/>
      <c r="AR1219" s="1"/>
      <c r="AS1219" s="1"/>
      <c r="AT1219" s="1"/>
      <c r="AU1219" s="1"/>
      <c r="AV1219" s="1"/>
      <c r="AW1219" s="1"/>
      <c r="AX1219" s="1"/>
      <c r="AY1219" s="1"/>
    </row>
    <row r="1220" spans="1:51">
      <c r="A1220" s="8">
        <v>46235</v>
      </c>
      <c r="B1220" s="9">
        <v>0</v>
      </c>
      <c r="C1220" s="9">
        <v>0</v>
      </c>
      <c r="D1220" s="9">
        <v>0</v>
      </c>
      <c r="E1220" s="9">
        <v>0</v>
      </c>
      <c r="F1220" s="9">
        <v>0</v>
      </c>
      <c r="G1220" s="9">
        <v>0</v>
      </c>
      <c r="H1220" s="9">
        <v>0</v>
      </c>
      <c r="I1220" s="9">
        <v>0</v>
      </c>
      <c r="J1220" s="9">
        <v>0</v>
      </c>
      <c r="K1220" s="9">
        <v>0</v>
      </c>
      <c r="L1220" s="9">
        <v>0</v>
      </c>
      <c r="M1220" s="9">
        <v>0</v>
      </c>
      <c r="N1220" s="9">
        <v>0</v>
      </c>
      <c r="O1220" s="9">
        <v>0</v>
      </c>
      <c r="P1220" s="9">
        <v>0</v>
      </c>
      <c r="Q1220" s="9">
        <f>MAX(-20,MIN(10,$A1220-VLOOKUP(YEAR($A1220),'Festive dates'!$A$2:$J$5,8,FALSE)))</f>
        <v>-20</v>
      </c>
      <c r="R1220" s="9">
        <f>IF(AND($A1220&gt;VLOOKUP(YEAR($A1220),'Festive dates'!$A$2:$J$5,2,FALSE),$A1220&lt;VLOOKUP(YEAR($A1220),'Festive dates'!$A$2:$J$5,3,FALSE)),1,0)</f>
        <v>0</v>
      </c>
      <c r="S1220" s="9">
        <f>IF($A1220=VLOOKUP(YEAR($A1220),'Festive dates'!$A$2:$J$5,2,FALSE),1,0)</f>
        <v>0</v>
      </c>
      <c r="T1220" s="9">
        <f>IF($A1220=VLOOKUP(YEAR($A1220),'Festive dates'!$A$2:$J$5,3,FALSE),1,0)</f>
        <v>0</v>
      </c>
      <c r="U1220" s="9">
        <f>IF($A1220=VLOOKUP(YEAR($A1220),'Festive dates'!$A$2:$J$5,4,FALSE),1,0)</f>
        <v>0</v>
      </c>
      <c r="V1220" s="9">
        <f>IF(AND($A1220&gt;=VLOOKUP(YEAR($A1220),'Festive dates'!$A$2:$J$5,9,FALSE),$A1220&lt;=VLOOKUP(YEAR($A1220),'Festive dates'!$A$2:$J$5,10,FALSE)),1,0)</f>
        <v>0</v>
      </c>
      <c r="W1220" s="9">
        <f>IF($A1220=VLOOKUP(YEAR($A1220),'Festive dates'!$A$2:$J$5,7,FALSE),1,0)</f>
        <v>0</v>
      </c>
      <c r="X1220" s="1"/>
      <c r="Y1220" s="1"/>
      <c r="Z1220" s="1"/>
      <c r="AA1220" s="1"/>
      <c r="AB1220" s="1"/>
      <c r="AC1220" s="1"/>
      <c r="AD1220" s="1"/>
      <c r="AE1220" s="1"/>
      <c r="AF1220" s="1"/>
      <c r="AG1220" s="1"/>
      <c r="AH1220" s="1"/>
      <c r="AI1220" s="1"/>
      <c r="AJ1220" s="1"/>
      <c r="AK1220" s="1"/>
      <c r="AL1220" s="1"/>
      <c r="AM1220" s="1"/>
      <c r="AN1220" s="1"/>
      <c r="AO1220" s="1"/>
      <c r="AP1220" s="1"/>
      <c r="AQ1220" s="1"/>
      <c r="AR1220" s="1"/>
      <c r="AS1220" s="1"/>
      <c r="AT1220" s="1"/>
      <c r="AU1220" s="1"/>
      <c r="AV1220" s="1"/>
      <c r="AW1220" s="1"/>
      <c r="AX1220" s="1"/>
      <c r="AY1220" s="1"/>
    </row>
    <row r="1221" spans="1:51">
      <c r="A1221" s="8">
        <v>46236</v>
      </c>
      <c r="B1221" s="9">
        <v>0</v>
      </c>
      <c r="C1221" s="9">
        <v>0</v>
      </c>
      <c r="D1221" s="9">
        <v>0</v>
      </c>
      <c r="E1221" s="9">
        <v>0</v>
      </c>
      <c r="F1221" s="9">
        <v>0</v>
      </c>
      <c r="G1221" s="9">
        <v>0</v>
      </c>
      <c r="H1221" s="9">
        <v>0</v>
      </c>
      <c r="I1221" s="9">
        <v>0</v>
      </c>
      <c r="J1221" s="9">
        <v>0</v>
      </c>
      <c r="K1221" s="9">
        <v>0</v>
      </c>
      <c r="L1221" s="9">
        <v>0</v>
      </c>
      <c r="M1221" s="9">
        <v>0</v>
      </c>
      <c r="N1221" s="9">
        <v>0</v>
      </c>
      <c r="O1221" s="9">
        <v>0</v>
      </c>
      <c r="P1221" s="9">
        <v>0</v>
      </c>
      <c r="Q1221" s="9">
        <f>MAX(-20,MIN(10,$A1221-VLOOKUP(YEAR($A1221),'Festive dates'!$A$2:$J$5,8,FALSE)))</f>
        <v>-20</v>
      </c>
      <c r="R1221" s="9">
        <f>IF(AND($A1221&gt;VLOOKUP(YEAR($A1221),'Festive dates'!$A$2:$J$5,2,FALSE),$A1221&lt;VLOOKUP(YEAR($A1221),'Festive dates'!$A$2:$J$5,3,FALSE)),1,0)</f>
        <v>0</v>
      </c>
      <c r="S1221" s="9">
        <f>IF($A1221=VLOOKUP(YEAR($A1221),'Festive dates'!$A$2:$J$5,2,FALSE),1,0)</f>
        <v>0</v>
      </c>
      <c r="T1221" s="9">
        <f>IF($A1221=VLOOKUP(YEAR($A1221),'Festive dates'!$A$2:$J$5,3,FALSE),1,0)</f>
        <v>0</v>
      </c>
      <c r="U1221" s="9">
        <f>IF($A1221=VLOOKUP(YEAR($A1221),'Festive dates'!$A$2:$J$5,4,FALSE),1,0)</f>
        <v>0</v>
      </c>
      <c r="V1221" s="9">
        <f>IF(AND($A1221&gt;=VLOOKUP(YEAR($A1221),'Festive dates'!$A$2:$J$5,9,FALSE),$A1221&lt;=VLOOKUP(YEAR($A1221),'Festive dates'!$A$2:$J$5,10,FALSE)),1,0)</f>
        <v>0</v>
      </c>
      <c r="W1221" s="9">
        <f>IF($A1221=VLOOKUP(YEAR($A1221),'Festive dates'!$A$2:$J$5,7,FALSE),1,0)</f>
        <v>0</v>
      </c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  <c r="AH1221" s="1"/>
      <c r="AI1221" s="1"/>
      <c r="AJ1221" s="1"/>
      <c r="AK1221" s="1"/>
      <c r="AL1221" s="1"/>
      <c r="AM1221" s="1"/>
      <c r="AN1221" s="1"/>
      <c r="AO1221" s="1"/>
      <c r="AP1221" s="1"/>
      <c r="AQ1221" s="1"/>
      <c r="AR1221" s="1"/>
      <c r="AS1221" s="1"/>
      <c r="AT1221" s="1"/>
      <c r="AU1221" s="1"/>
      <c r="AV1221" s="1"/>
      <c r="AW1221" s="1"/>
      <c r="AX1221" s="1"/>
      <c r="AY1221" s="1"/>
    </row>
    <row r="1222" spans="1:51">
      <c r="A1222" s="8">
        <v>46237</v>
      </c>
      <c r="B1222" s="9">
        <v>0</v>
      </c>
      <c r="C1222" s="9">
        <v>0</v>
      </c>
      <c r="D1222" s="9">
        <v>0</v>
      </c>
      <c r="E1222" s="9">
        <v>0</v>
      </c>
      <c r="F1222" s="9">
        <v>0</v>
      </c>
      <c r="G1222" s="9">
        <v>0</v>
      </c>
      <c r="H1222" s="9">
        <v>0</v>
      </c>
      <c r="I1222" s="9">
        <v>0</v>
      </c>
      <c r="J1222" s="9">
        <v>0</v>
      </c>
      <c r="K1222" s="9">
        <v>0</v>
      </c>
      <c r="L1222" s="9">
        <v>0</v>
      </c>
      <c r="M1222" s="9">
        <v>0</v>
      </c>
      <c r="N1222" s="9">
        <v>0</v>
      </c>
      <c r="O1222" s="9">
        <v>0</v>
      </c>
      <c r="P1222" s="9">
        <v>0</v>
      </c>
      <c r="Q1222" s="9">
        <f>MAX(-20,MIN(10,$A1222-VLOOKUP(YEAR($A1222),'Festive dates'!$A$2:$J$5,8,FALSE)))</f>
        <v>-20</v>
      </c>
      <c r="R1222" s="9">
        <f>IF(AND($A1222&gt;VLOOKUP(YEAR($A1222),'Festive dates'!$A$2:$J$5,2,FALSE),$A1222&lt;VLOOKUP(YEAR($A1222),'Festive dates'!$A$2:$J$5,3,FALSE)),1,0)</f>
        <v>0</v>
      </c>
      <c r="S1222" s="9">
        <f>IF($A1222=VLOOKUP(YEAR($A1222),'Festive dates'!$A$2:$J$5,2,FALSE),1,0)</f>
        <v>0</v>
      </c>
      <c r="T1222" s="9">
        <f>IF($A1222=VLOOKUP(YEAR($A1222),'Festive dates'!$A$2:$J$5,3,FALSE),1,0)</f>
        <v>0</v>
      </c>
      <c r="U1222" s="9">
        <f>IF($A1222=VLOOKUP(YEAR($A1222),'Festive dates'!$A$2:$J$5,4,FALSE),1,0)</f>
        <v>0</v>
      </c>
      <c r="V1222" s="9">
        <f>IF(AND($A1222&gt;=VLOOKUP(YEAR($A1222),'Festive dates'!$A$2:$J$5,9,FALSE),$A1222&lt;=VLOOKUP(YEAR($A1222),'Festive dates'!$A$2:$J$5,10,FALSE)),1,0)</f>
        <v>0</v>
      </c>
      <c r="W1222" s="9">
        <f>IF($A1222=VLOOKUP(YEAR($A1222),'Festive dates'!$A$2:$J$5,7,FALSE),1,0)</f>
        <v>0</v>
      </c>
      <c r="X1222" s="1"/>
      <c r="Y1222" s="1"/>
      <c r="Z1222" s="1"/>
      <c r="AA1222" s="1"/>
      <c r="AB1222" s="1"/>
      <c r="AC1222" s="1"/>
      <c r="AD1222" s="1"/>
      <c r="AE1222" s="1"/>
      <c r="AF1222" s="1"/>
      <c r="AG1222" s="1"/>
      <c r="AH1222" s="1"/>
      <c r="AI1222" s="1"/>
      <c r="AJ1222" s="1"/>
      <c r="AK1222" s="1"/>
      <c r="AL1222" s="1"/>
      <c r="AM1222" s="1"/>
      <c r="AN1222" s="1"/>
      <c r="AO1222" s="1"/>
      <c r="AP1222" s="1"/>
      <c r="AQ1222" s="1"/>
      <c r="AR1222" s="1"/>
      <c r="AS1222" s="1"/>
      <c r="AT1222" s="1"/>
      <c r="AU1222" s="1"/>
      <c r="AV1222" s="1"/>
      <c r="AW1222" s="1"/>
      <c r="AX1222" s="1"/>
      <c r="AY1222" s="1"/>
    </row>
    <row r="1223" spans="1:51">
      <c r="A1223" s="8">
        <v>46238</v>
      </c>
      <c r="B1223" s="9">
        <v>0</v>
      </c>
      <c r="C1223" s="9">
        <v>0</v>
      </c>
      <c r="D1223" s="9">
        <v>0</v>
      </c>
      <c r="E1223" s="9">
        <v>0</v>
      </c>
      <c r="F1223" s="9">
        <v>0</v>
      </c>
      <c r="G1223" s="9">
        <v>0</v>
      </c>
      <c r="H1223" s="9">
        <v>0</v>
      </c>
      <c r="I1223" s="9">
        <v>0</v>
      </c>
      <c r="J1223" s="9">
        <v>0</v>
      </c>
      <c r="K1223" s="9">
        <v>0</v>
      </c>
      <c r="L1223" s="9">
        <v>0</v>
      </c>
      <c r="M1223" s="9">
        <v>0</v>
      </c>
      <c r="N1223" s="9">
        <v>0</v>
      </c>
      <c r="O1223" s="9">
        <v>0</v>
      </c>
      <c r="P1223" s="9">
        <v>0</v>
      </c>
      <c r="Q1223" s="9">
        <f>MAX(-20,MIN(10,$A1223-VLOOKUP(YEAR($A1223),'Festive dates'!$A$2:$J$5,8,FALSE)))</f>
        <v>-20</v>
      </c>
      <c r="R1223" s="9">
        <f>IF(AND($A1223&gt;VLOOKUP(YEAR($A1223),'Festive dates'!$A$2:$J$5,2,FALSE),$A1223&lt;VLOOKUP(YEAR($A1223),'Festive dates'!$A$2:$J$5,3,FALSE)),1,0)</f>
        <v>0</v>
      </c>
      <c r="S1223" s="9">
        <f>IF($A1223=VLOOKUP(YEAR($A1223),'Festive dates'!$A$2:$J$5,2,FALSE),1,0)</f>
        <v>0</v>
      </c>
      <c r="T1223" s="9">
        <f>IF($A1223=VLOOKUP(YEAR($A1223),'Festive dates'!$A$2:$J$5,3,FALSE),1,0)</f>
        <v>0</v>
      </c>
      <c r="U1223" s="9">
        <f>IF($A1223=VLOOKUP(YEAR($A1223),'Festive dates'!$A$2:$J$5,4,FALSE),1,0)</f>
        <v>0</v>
      </c>
      <c r="V1223" s="9">
        <f>IF(AND($A1223&gt;=VLOOKUP(YEAR($A1223),'Festive dates'!$A$2:$J$5,9,FALSE),$A1223&lt;=VLOOKUP(YEAR($A1223),'Festive dates'!$A$2:$J$5,10,FALSE)),1,0)</f>
        <v>0</v>
      </c>
      <c r="W1223" s="9">
        <f>IF($A1223=VLOOKUP(YEAR($A1223),'Festive dates'!$A$2:$J$5,7,FALSE),1,0)</f>
        <v>0</v>
      </c>
      <c r="X1223" s="1"/>
      <c r="Y1223" s="1"/>
      <c r="Z1223" s="1"/>
      <c r="AA1223" s="1"/>
      <c r="AB1223" s="1"/>
      <c r="AC1223" s="1"/>
      <c r="AD1223" s="1"/>
      <c r="AE1223" s="1"/>
      <c r="AF1223" s="1"/>
      <c r="AG1223" s="1"/>
      <c r="AH1223" s="1"/>
      <c r="AI1223" s="1"/>
      <c r="AJ1223" s="1"/>
      <c r="AK1223" s="1"/>
      <c r="AL1223" s="1"/>
      <c r="AM1223" s="1"/>
      <c r="AN1223" s="1"/>
      <c r="AO1223" s="1"/>
      <c r="AP1223" s="1"/>
      <c r="AQ1223" s="1"/>
      <c r="AR1223" s="1"/>
      <c r="AS1223" s="1"/>
      <c r="AT1223" s="1"/>
      <c r="AU1223" s="1"/>
      <c r="AV1223" s="1"/>
      <c r="AW1223" s="1"/>
      <c r="AX1223" s="1"/>
      <c r="AY1223" s="1"/>
    </row>
    <row r="1224" spans="1:51">
      <c r="A1224" s="8">
        <v>46239</v>
      </c>
      <c r="B1224" s="9">
        <v>0</v>
      </c>
      <c r="C1224" s="9">
        <v>0</v>
      </c>
      <c r="D1224" s="9">
        <v>0</v>
      </c>
      <c r="E1224" s="9">
        <v>0</v>
      </c>
      <c r="F1224" s="9">
        <v>0</v>
      </c>
      <c r="G1224" s="9">
        <v>0</v>
      </c>
      <c r="H1224" s="9">
        <v>0</v>
      </c>
      <c r="I1224" s="9">
        <v>0</v>
      </c>
      <c r="J1224" s="9">
        <v>0</v>
      </c>
      <c r="K1224" s="9">
        <v>0</v>
      </c>
      <c r="L1224" s="9">
        <v>0</v>
      </c>
      <c r="M1224" s="9">
        <v>0</v>
      </c>
      <c r="N1224" s="9">
        <v>0</v>
      </c>
      <c r="O1224" s="9">
        <v>0</v>
      </c>
      <c r="P1224" s="9">
        <v>0</v>
      </c>
      <c r="Q1224" s="9">
        <f>MAX(-20,MIN(10,$A1224-VLOOKUP(YEAR($A1224),'Festive dates'!$A$2:$J$5,8,FALSE)))</f>
        <v>-20</v>
      </c>
      <c r="R1224" s="9">
        <f>IF(AND($A1224&gt;VLOOKUP(YEAR($A1224),'Festive dates'!$A$2:$J$5,2,FALSE),$A1224&lt;VLOOKUP(YEAR($A1224),'Festive dates'!$A$2:$J$5,3,FALSE)),1,0)</f>
        <v>0</v>
      </c>
      <c r="S1224" s="9">
        <f>IF($A1224=VLOOKUP(YEAR($A1224),'Festive dates'!$A$2:$J$5,2,FALSE),1,0)</f>
        <v>0</v>
      </c>
      <c r="T1224" s="9">
        <f>IF($A1224=VLOOKUP(YEAR($A1224),'Festive dates'!$A$2:$J$5,3,FALSE),1,0)</f>
        <v>0</v>
      </c>
      <c r="U1224" s="9">
        <f>IF($A1224=VLOOKUP(YEAR($A1224),'Festive dates'!$A$2:$J$5,4,FALSE),1,0)</f>
        <v>0</v>
      </c>
      <c r="V1224" s="9">
        <f>IF(AND($A1224&gt;=VLOOKUP(YEAR($A1224),'Festive dates'!$A$2:$J$5,9,FALSE),$A1224&lt;=VLOOKUP(YEAR($A1224),'Festive dates'!$A$2:$J$5,10,FALSE)),1,0)</f>
        <v>0</v>
      </c>
      <c r="W1224" s="9">
        <f>IF($A1224=VLOOKUP(YEAR($A1224),'Festive dates'!$A$2:$J$5,7,FALSE),1,0)</f>
        <v>0</v>
      </c>
      <c r="X1224" s="1"/>
      <c r="Y1224" s="1"/>
      <c r="Z1224" s="1"/>
      <c r="AA1224" s="1"/>
      <c r="AB1224" s="1"/>
      <c r="AC1224" s="1"/>
      <c r="AD1224" s="1"/>
      <c r="AE1224" s="1"/>
      <c r="AF1224" s="1"/>
      <c r="AG1224" s="1"/>
      <c r="AH1224" s="1"/>
      <c r="AI1224" s="1"/>
      <c r="AJ1224" s="1"/>
      <c r="AK1224" s="1"/>
      <c r="AL1224" s="1"/>
      <c r="AM1224" s="1"/>
      <c r="AN1224" s="1"/>
      <c r="AO1224" s="1"/>
      <c r="AP1224" s="1"/>
      <c r="AQ1224" s="1"/>
      <c r="AR1224" s="1"/>
      <c r="AS1224" s="1"/>
      <c r="AT1224" s="1"/>
      <c r="AU1224" s="1"/>
      <c r="AV1224" s="1"/>
      <c r="AW1224" s="1"/>
      <c r="AX1224" s="1"/>
      <c r="AY1224" s="1"/>
    </row>
    <row r="1225" spans="1:51">
      <c r="A1225" s="8">
        <v>46240</v>
      </c>
      <c r="B1225" s="9">
        <v>0</v>
      </c>
      <c r="C1225" s="9">
        <v>0</v>
      </c>
      <c r="D1225" s="9">
        <v>0</v>
      </c>
      <c r="E1225" s="9">
        <v>0</v>
      </c>
      <c r="F1225" s="9">
        <v>0</v>
      </c>
      <c r="G1225" s="9">
        <v>0</v>
      </c>
      <c r="H1225" s="9">
        <v>0</v>
      </c>
      <c r="I1225" s="9">
        <v>0</v>
      </c>
      <c r="J1225" s="9">
        <v>0</v>
      </c>
      <c r="K1225" s="9">
        <v>0</v>
      </c>
      <c r="L1225" s="9">
        <v>0</v>
      </c>
      <c r="M1225" s="9">
        <v>0</v>
      </c>
      <c r="N1225" s="9">
        <v>0</v>
      </c>
      <c r="O1225" s="9">
        <v>0</v>
      </c>
      <c r="P1225" s="9">
        <v>0</v>
      </c>
      <c r="Q1225" s="9">
        <f>MAX(-20,MIN(10,$A1225-VLOOKUP(YEAR($A1225),'Festive dates'!$A$2:$J$5,8,FALSE)))</f>
        <v>-20</v>
      </c>
      <c r="R1225" s="9">
        <f>IF(AND($A1225&gt;VLOOKUP(YEAR($A1225),'Festive dates'!$A$2:$J$5,2,FALSE),$A1225&lt;VLOOKUP(YEAR($A1225),'Festive dates'!$A$2:$J$5,3,FALSE)),1,0)</f>
        <v>0</v>
      </c>
      <c r="S1225" s="9">
        <f>IF($A1225=VLOOKUP(YEAR($A1225),'Festive dates'!$A$2:$J$5,2,FALSE),1,0)</f>
        <v>0</v>
      </c>
      <c r="T1225" s="9">
        <f>IF($A1225=VLOOKUP(YEAR($A1225),'Festive dates'!$A$2:$J$5,3,FALSE),1,0)</f>
        <v>0</v>
      </c>
      <c r="U1225" s="9">
        <f>IF($A1225=VLOOKUP(YEAR($A1225),'Festive dates'!$A$2:$J$5,4,FALSE),1,0)</f>
        <v>0</v>
      </c>
      <c r="V1225" s="9">
        <f>IF(AND($A1225&gt;=VLOOKUP(YEAR($A1225),'Festive dates'!$A$2:$J$5,9,FALSE),$A1225&lt;=VLOOKUP(YEAR($A1225),'Festive dates'!$A$2:$J$5,10,FALSE)),1,0)</f>
        <v>0</v>
      </c>
      <c r="W1225" s="9">
        <f>IF($A1225=VLOOKUP(YEAR($A1225),'Festive dates'!$A$2:$J$5,7,FALSE),1,0)</f>
        <v>0</v>
      </c>
      <c r="X1225" s="1"/>
      <c r="Y1225" s="1"/>
      <c r="Z1225" s="1"/>
      <c r="AA1225" s="1"/>
      <c r="AB1225" s="1"/>
      <c r="AC1225" s="1"/>
      <c r="AD1225" s="1"/>
      <c r="AE1225" s="1"/>
      <c r="AF1225" s="1"/>
      <c r="AG1225" s="1"/>
      <c r="AH1225" s="1"/>
      <c r="AI1225" s="1"/>
      <c r="AJ1225" s="1"/>
      <c r="AK1225" s="1"/>
      <c r="AL1225" s="1"/>
      <c r="AM1225" s="1"/>
      <c r="AN1225" s="1"/>
      <c r="AO1225" s="1"/>
      <c r="AP1225" s="1"/>
      <c r="AQ1225" s="1"/>
      <c r="AR1225" s="1"/>
      <c r="AS1225" s="1"/>
      <c r="AT1225" s="1"/>
      <c r="AU1225" s="1"/>
      <c r="AV1225" s="1"/>
      <c r="AW1225" s="1"/>
      <c r="AX1225" s="1"/>
      <c r="AY1225" s="1"/>
    </row>
    <row r="1226" spans="1:51">
      <c r="A1226" s="8">
        <v>46241</v>
      </c>
      <c r="B1226" s="9">
        <v>0</v>
      </c>
      <c r="C1226" s="9">
        <v>0</v>
      </c>
      <c r="D1226" s="9">
        <v>0</v>
      </c>
      <c r="E1226" s="9">
        <v>0</v>
      </c>
      <c r="F1226" s="9">
        <v>0</v>
      </c>
      <c r="G1226" s="9">
        <v>0</v>
      </c>
      <c r="H1226" s="9">
        <v>0</v>
      </c>
      <c r="I1226" s="9">
        <v>0</v>
      </c>
      <c r="J1226" s="9">
        <v>0</v>
      </c>
      <c r="K1226" s="9">
        <v>0</v>
      </c>
      <c r="L1226" s="9">
        <v>0</v>
      </c>
      <c r="M1226" s="9">
        <v>0</v>
      </c>
      <c r="N1226" s="9">
        <v>0</v>
      </c>
      <c r="O1226" s="9">
        <v>0</v>
      </c>
      <c r="P1226" s="9">
        <v>0</v>
      </c>
      <c r="Q1226" s="9">
        <f>MAX(-20,MIN(10,$A1226-VLOOKUP(YEAR($A1226),'Festive dates'!$A$2:$J$5,8,FALSE)))</f>
        <v>-20</v>
      </c>
      <c r="R1226" s="9">
        <f>IF(AND($A1226&gt;VLOOKUP(YEAR($A1226),'Festive dates'!$A$2:$J$5,2,FALSE),$A1226&lt;VLOOKUP(YEAR($A1226),'Festive dates'!$A$2:$J$5,3,FALSE)),1,0)</f>
        <v>0</v>
      </c>
      <c r="S1226" s="9">
        <f>IF($A1226=VLOOKUP(YEAR($A1226),'Festive dates'!$A$2:$J$5,2,FALSE),1,0)</f>
        <v>0</v>
      </c>
      <c r="T1226" s="9">
        <f>IF($A1226=VLOOKUP(YEAR($A1226),'Festive dates'!$A$2:$J$5,3,FALSE),1,0)</f>
        <v>0</v>
      </c>
      <c r="U1226" s="9">
        <f>IF($A1226=VLOOKUP(YEAR($A1226),'Festive dates'!$A$2:$J$5,4,FALSE),1,0)</f>
        <v>0</v>
      </c>
      <c r="V1226" s="9">
        <f>IF(AND($A1226&gt;=VLOOKUP(YEAR($A1226),'Festive dates'!$A$2:$J$5,9,FALSE),$A1226&lt;=VLOOKUP(YEAR($A1226),'Festive dates'!$A$2:$J$5,10,FALSE)),1,0)</f>
        <v>0</v>
      </c>
      <c r="W1226" s="9">
        <f>IF($A1226=VLOOKUP(YEAR($A1226),'Festive dates'!$A$2:$J$5,7,FALSE),1,0)</f>
        <v>0</v>
      </c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  <c r="AH1226" s="1"/>
      <c r="AI1226" s="1"/>
      <c r="AJ1226" s="1"/>
      <c r="AK1226" s="1"/>
      <c r="AL1226" s="1"/>
      <c r="AM1226" s="1"/>
      <c r="AN1226" s="1"/>
      <c r="AO1226" s="1"/>
      <c r="AP1226" s="1"/>
      <c r="AQ1226" s="1"/>
      <c r="AR1226" s="1"/>
      <c r="AS1226" s="1"/>
      <c r="AT1226" s="1"/>
      <c r="AU1226" s="1"/>
      <c r="AV1226" s="1"/>
      <c r="AW1226" s="1"/>
      <c r="AX1226" s="1"/>
      <c r="AY1226" s="1"/>
    </row>
    <row r="1227" spans="1:51">
      <c r="A1227" s="8">
        <v>46242</v>
      </c>
      <c r="B1227" s="9">
        <v>0</v>
      </c>
      <c r="C1227" s="9">
        <v>0</v>
      </c>
      <c r="D1227" s="9">
        <v>0</v>
      </c>
      <c r="E1227" s="9">
        <v>0</v>
      </c>
      <c r="F1227" s="9">
        <v>0</v>
      </c>
      <c r="G1227" s="9">
        <v>0</v>
      </c>
      <c r="H1227" s="9">
        <v>0</v>
      </c>
      <c r="I1227" s="9">
        <v>0</v>
      </c>
      <c r="J1227" s="9">
        <v>0</v>
      </c>
      <c r="K1227" s="9">
        <v>0</v>
      </c>
      <c r="L1227" s="9">
        <v>0</v>
      </c>
      <c r="M1227" s="9">
        <v>0</v>
      </c>
      <c r="N1227" s="9">
        <v>0</v>
      </c>
      <c r="O1227" s="9">
        <v>0</v>
      </c>
      <c r="P1227" s="9">
        <v>0</v>
      </c>
      <c r="Q1227" s="9">
        <f>MAX(-20,MIN(10,$A1227-VLOOKUP(YEAR($A1227),'Festive dates'!$A$2:$J$5,8,FALSE)))</f>
        <v>-20</v>
      </c>
      <c r="R1227" s="9">
        <f>IF(AND($A1227&gt;VLOOKUP(YEAR($A1227),'Festive dates'!$A$2:$J$5,2,FALSE),$A1227&lt;VLOOKUP(YEAR($A1227),'Festive dates'!$A$2:$J$5,3,FALSE)),1,0)</f>
        <v>0</v>
      </c>
      <c r="S1227" s="9">
        <f>IF($A1227=VLOOKUP(YEAR($A1227),'Festive dates'!$A$2:$J$5,2,FALSE),1,0)</f>
        <v>0</v>
      </c>
      <c r="T1227" s="9">
        <f>IF($A1227=VLOOKUP(YEAR($A1227),'Festive dates'!$A$2:$J$5,3,FALSE),1,0)</f>
        <v>0</v>
      </c>
      <c r="U1227" s="9">
        <f>IF($A1227=VLOOKUP(YEAR($A1227),'Festive dates'!$A$2:$J$5,4,FALSE),1,0)</f>
        <v>0</v>
      </c>
      <c r="V1227" s="9">
        <f>IF(AND($A1227&gt;=VLOOKUP(YEAR($A1227),'Festive dates'!$A$2:$J$5,9,FALSE),$A1227&lt;=VLOOKUP(YEAR($A1227),'Festive dates'!$A$2:$J$5,10,FALSE)),1,0)</f>
        <v>0</v>
      </c>
      <c r="W1227" s="9">
        <f>IF($A1227=VLOOKUP(YEAR($A1227),'Festive dates'!$A$2:$J$5,7,FALSE),1,0)</f>
        <v>0</v>
      </c>
      <c r="X1227" s="1"/>
      <c r="Y1227" s="1"/>
      <c r="Z1227" s="1"/>
      <c r="AA1227" s="1"/>
      <c r="AB1227" s="1"/>
      <c r="AC1227" s="1"/>
      <c r="AD1227" s="1"/>
      <c r="AE1227" s="1"/>
      <c r="AF1227" s="1"/>
      <c r="AG1227" s="1"/>
      <c r="AH1227" s="1"/>
      <c r="AI1227" s="1"/>
      <c r="AJ1227" s="1"/>
      <c r="AK1227" s="1"/>
      <c r="AL1227" s="1"/>
      <c r="AM1227" s="1"/>
      <c r="AN1227" s="1"/>
      <c r="AO1227" s="1"/>
      <c r="AP1227" s="1"/>
      <c r="AQ1227" s="1"/>
      <c r="AR1227" s="1"/>
      <c r="AS1227" s="1"/>
      <c r="AT1227" s="1"/>
      <c r="AU1227" s="1"/>
      <c r="AV1227" s="1"/>
      <c r="AW1227" s="1"/>
      <c r="AX1227" s="1"/>
      <c r="AY1227" s="1"/>
    </row>
    <row r="1228" spans="1:51">
      <c r="A1228" s="8">
        <v>46243</v>
      </c>
      <c r="B1228" s="9">
        <v>0</v>
      </c>
      <c r="C1228" s="9">
        <v>0</v>
      </c>
      <c r="D1228" s="9">
        <v>0</v>
      </c>
      <c r="E1228" s="9">
        <v>0</v>
      </c>
      <c r="F1228" s="9">
        <v>0</v>
      </c>
      <c r="G1228" s="9">
        <v>0</v>
      </c>
      <c r="H1228" s="9">
        <v>0</v>
      </c>
      <c r="I1228" s="9">
        <v>0</v>
      </c>
      <c r="J1228" s="9">
        <v>0</v>
      </c>
      <c r="K1228" s="9">
        <v>0</v>
      </c>
      <c r="L1228" s="9">
        <v>0</v>
      </c>
      <c r="M1228" s="9">
        <v>0</v>
      </c>
      <c r="N1228" s="9">
        <v>0</v>
      </c>
      <c r="O1228" s="9">
        <v>0</v>
      </c>
      <c r="P1228" s="9">
        <v>0</v>
      </c>
      <c r="Q1228" s="9">
        <f>MAX(-20,MIN(10,$A1228-VLOOKUP(YEAR($A1228),'Festive dates'!$A$2:$J$5,8,FALSE)))</f>
        <v>-20</v>
      </c>
      <c r="R1228" s="9">
        <f>IF(AND($A1228&gt;VLOOKUP(YEAR($A1228),'Festive dates'!$A$2:$J$5,2,FALSE),$A1228&lt;VLOOKUP(YEAR($A1228),'Festive dates'!$A$2:$J$5,3,FALSE)),1,0)</f>
        <v>0</v>
      </c>
      <c r="S1228" s="9">
        <f>IF($A1228=VLOOKUP(YEAR($A1228),'Festive dates'!$A$2:$J$5,2,FALSE),1,0)</f>
        <v>0</v>
      </c>
      <c r="T1228" s="9">
        <f>IF($A1228=VLOOKUP(YEAR($A1228),'Festive dates'!$A$2:$J$5,3,FALSE),1,0)</f>
        <v>0</v>
      </c>
      <c r="U1228" s="9">
        <f>IF($A1228=VLOOKUP(YEAR($A1228),'Festive dates'!$A$2:$J$5,4,FALSE),1,0)</f>
        <v>0</v>
      </c>
      <c r="V1228" s="9">
        <f>IF(AND($A1228&gt;=VLOOKUP(YEAR($A1228),'Festive dates'!$A$2:$J$5,9,FALSE),$A1228&lt;=VLOOKUP(YEAR($A1228),'Festive dates'!$A$2:$J$5,10,FALSE)),1,0)</f>
        <v>0</v>
      </c>
      <c r="W1228" s="9">
        <f>IF($A1228=VLOOKUP(YEAR($A1228),'Festive dates'!$A$2:$J$5,7,FALSE),1,0)</f>
        <v>0</v>
      </c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  <c r="AH1228" s="1"/>
      <c r="AI1228" s="1"/>
      <c r="AJ1228" s="1"/>
      <c r="AK1228" s="1"/>
      <c r="AL1228" s="1"/>
      <c r="AM1228" s="1"/>
      <c r="AN1228" s="1"/>
      <c r="AO1228" s="1"/>
      <c r="AP1228" s="1"/>
      <c r="AQ1228" s="1"/>
      <c r="AR1228" s="1"/>
      <c r="AS1228" s="1"/>
      <c r="AT1228" s="1"/>
      <c r="AU1228" s="1"/>
      <c r="AV1228" s="1"/>
      <c r="AW1228" s="1"/>
      <c r="AX1228" s="1"/>
      <c r="AY1228" s="1"/>
    </row>
    <row r="1229" spans="1:51">
      <c r="A1229" s="8">
        <v>46244</v>
      </c>
      <c r="B1229" s="9">
        <v>0</v>
      </c>
      <c r="C1229" s="9">
        <v>0</v>
      </c>
      <c r="D1229" s="9">
        <v>0</v>
      </c>
      <c r="E1229" s="9">
        <v>0</v>
      </c>
      <c r="F1229" s="9">
        <v>0</v>
      </c>
      <c r="G1229" s="9">
        <v>0</v>
      </c>
      <c r="H1229" s="9">
        <v>0</v>
      </c>
      <c r="I1229" s="9">
        <v>0</v>
      </c>
      <c r="J1229" s="9">
        <v>0</v>
      </c>
      <c r="K1229" s="9">
        <v>0</v>
      </c>
      <c r="L1229" s="9">
        <v>0</v>
      </c>
      <c r="M1229" s="9">
        <v>0</v>
      </c>
      <c r="N1229" s="9">
        <v>0</v>
      </c>
      <c r="O1229" s="9">
        <v>0</v>
      </c>
      <c r="P1229" s="9">
        <v>0</v>
      </c>
      <c r="Q1229" s="9">
        <f>MAX(-20,MIN(10,$A1229-VLOOKUP(YEAR($A1229),'Festive dates'!$A$2:$J$5,8,FALSE)))</f>
        <v>-20</v>
      </c>
      <c r="R1229" s="9">
        <f>IF(AND($A1229&gt;VLOOKUP(YEAR($A1229),'Festive dates'!$A$2:$J$5,2,FALSE),$A1229&lt;VLOOKUP(YEAR($A1229),'Festive dates'!$A$2:$J$5,3,FALSE)),1,0)</f>
        <v>0</v>
      </c>
      <c r="S1229" s="9">
        <f>IF($A1229=VLOOKUP(YEAR($A1229),'Festive dates'!$A$2:$J$5,2,FALSE),1,0)</f>
        <v>0</v>
      </c>
      <c r="T1229" s="9">
        <f>IF($A1229=VLOOKUP(YEAR($A1229),'Festive dates'!$A$2:$J$5,3,FALSE),1,0)</f>
        <v>0</v>
      </c>
      <c r="U1229" s="9">
        <f>IF($A1229=VLOOKUP(YEAR($A1229),'Festive dates'!$A$2:$J$5,4,FALSE),1,0)</f>
        <v>0</v>
      </c>
      <c r="V1229" s="9">
        <f>IF(AND($A1229&gt;=VLOOKUP(YEAR($A1229),'Festive dates'!$A$2:$J$5,9,FALSE),$A1229&lt;=VLOOKUP(YEAR($A1229),'Festive dates'!$A$2:$J$5,10,FALSE)),1,0)</f>
        <v>0</v>
      </c>
      <c r="W1229" s="9">
        <f>IF($A1229=VLOOKUP(YEAR($A1229),'Festive dates'!$A$2:$J$5,7,FALSE),1,0)</f>
        <v>0</v>
      </c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  <c r="AH1229" s="1"/>
      <c r="AI1229" s="1"/>
      <c r="AJ1229" s="1"/>
      <c r="AK1229" s="1"/>
      <c r="AL1229" s="1"/>
      <c r="AM1229" s="1"/>
      <c r="AN1229" s="1"/>
      <c r="AO1229" s="1"/>
      <c r="AP1229" s="1"/>
      <c r="AQ1229" s="1"/>
      <c r="AR1229" s="1"/>
      <c r="AS1229" s="1"/>
      <c r="AT1229" s="1"/>
      <c r="AU1229" s="1"/>
      <c r="AV1229" s="1"/>
      <c r="AW1229" s="1"/>
      <c r="AX1229" s="1"/>
      <c r="AY1229" s="1"/>
    </row>
    <row r="1230" spans="1:51">
      <c r="A1230" s="8">
        <v>46245</v>
      </c>
      <c r="B1230" s="9">
        <v>0</v>
      </c>
      <c r="C1230" s="9">
        <v>0</v>
      </c>
      <c r="D1230" s="9">
        <v>0</v>
      </c>
      <c r="E1230" s="9">
        <v>0</v>
      </c>
      <c r="F1230" s="9">
        <v>0</v>
      </c>
      <c r="G1230" s="9">
        <v>0</v>
      </c>
      <c r="H1230" s="9">
        <v>0</v>
      </c>
      <c r="I1230" s="9">
        <v>0</v>
      </c>
      <c r="J1230" s="9">
        <v>0</v>
      </c>
      <c r="K1230" s="9">
        <v>0</v>
      </c>
      <c r="L1230" s="9">
        <v>0</v>
      </c>
      <c r="M1230" s="9">
        <v>0</v>
      </c>
      <c r="N1230" s="9">
        <v>0</v>
      </c>
      <c r="O1230" s="9">
        <v>0</v>
      </c>
      <c r="P1230" s="9">
        <v>0</v>
      </c>
      <c r="Q1230" s="9">
        <f>MAX(-20,MIN(10,$A1230-VLOOKUP(YEAR($A1230),'Festive dates'!$A$2:$J$5,8,FALSE)))</f>
        <v>-20</v>
      </c>
      <c r="R1230" s="9">
        <f>IF(AND($A1230&gt;VLOOKUP(YEAR($A1230),'Festive dates'!$A$2:$J$5,2,FALSE),$A1230&lt;VLOOKUP(YEAR($A1230),'Festive dates'!$A$2:$J$5,3,FALSE)),1,0)</f>
        <v>0</v>
      </c>
      <c r="S1230" s="9">
        <f>IF($A1230=VLOOKUP(YEAR($A1230),'Festive dates'!$A$2:$J$5,2,FALSE),1,0)</f>
        <v>0</v>
      </c>
      <c r="T1230" s="9">
        <f>IF($A1230=VLOOKUP(YEAR($A1230),'Festive dates'!$A$2:$J$5,3,FALSE),1,0)</f>
        <v>0</v>
      </c>
      <c r="U1230" s="9">
        <f>IF($A1230=VLOOKUP(YEAR($A1230),'Festive dates'!$A$2:$J$5,4,FALSE),1,0)</f>
        <v>0</v>
      </c>
      <c r="V1230" s="9">
        <f>IF(AND($A1230&gt;=VLOOKUP(YEAR($A1230),'Festive dates'!$A$2:$J$5,9,FALSE),$A1230&lt;=VLOOKUP(YEAR($A1230),'Festive dates'!$A$2:$J$5,10,FALSE)),1,0)</f>
        <v>0</v>
      </c>
      <c r="W1230" s="9">
        <f>IF($A1230=VLOOKUP(YEAR($A1230),'Festive dates'!$A$2:$J$5,7,FALSE),1,0)</f>
        <v>0</v>
      </c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  <c r="AH1230" s="1"/>
      <c r="AI1230" s="1"/>
      <c r="AJ1230" s="1"/>
      <c r="AK1230" s="1"/>
      <c r="AL1230" s="1"/>
      <c r="AM1230" s="1"/>
      <c r="AN1230" s="1"/>
      <c r="AO1230" s="1"/>
      <c r="AP1230" s="1"/>
      <c r="AQ1230" s="1"/>
      <c r="AR1230" s="1"/>
      <c r="AS1230" s="1"/>
      <c r="AT1230" s="1"/>
      <c r="AU1230" s="1"/>
      <c r="AV1230" s="1"/>
      <c r="AW1230" s="1"/>
      <c r="AX1230" s="1"/>
      <c r="AY1230" s="1"/>
    </row>
    <row r="1231" spans="1:51">
      <c r="A1231" s="8">
        <v>46246</v>
      </c>
      <c r="B1231" s="9">
        <v>0</v>
      </c>
      <c r="C1231" s="9">
        <v>0</v>
      </c>
      <c r="D1231" s="9">
        <v>0</v>
      </c>
      <c r="E1231" s="9">
        <v>0</v>
      </c>
      <c r="F1231" s="9">
        <v>0</v>
      </c>
      <c r="G1231" s="9">
        <v>0</v>
      </c>
      <c r="H1231" s="9">
        <v>0</v>
      </c>
      <c r="I1231" s="9">
        <v>0</v>
      </c>
      <c r="J1231" s="9">
        <v>0</v>
      </c>
      <c r="K1231" s="9">
        <v>0</v>
      </c>
      <c r="L1231" s="9">
        <v>0</v>
      </c>
      <c r="M1231" s="9">
        <v>0</v>
      </c>
      <c r="N1231" s="9">
        <v>0</v>
      </c>
      <c r="O1231" s="9">
        <v>0</v>
      </c>
      <c r="P1231" s="9">
        <v>0</v>
      </c>
      <c r="Q1231" s="9">
        <f>MAX(-20,MIN(10,$A1231-VLOOKUP(YEAR($A1231),'Festive dates'!$A$2:$J$5,8,FALSE)))</f>
        <v>-20</v>
      </c>
      <c r="R1231" s="9">
        <f>IF(AND($A1231&gt;VLOOKUP(YEAR($A1231),'Festive dates'!$A$2:$J$5,2,FALSE),$A1231&lt;VLOOKUP(YEAR($A1231),'Festive dates'!$A$2:$J$5,3,FALSE)),1,0)</f>
        <v>0</v>
      </c>
      <c r="S1231" s="9">
        <f>IF($A1231=VLOOKUP(YEAR($A1231),'Festive dates'!$A$2:$J$5,2,FALSE),1,0)</f>
        <v>0</v>
      </c>
      <c r="T1231" s="9">
        <f>IF($A1231=VLOOKUP(YEAR($A1231),'Festive dates'!$A$2:$J$5,3,FALSE),1,0)</f>
        <v>0</v>
      </c>
      <c r="U1231" s="9">
        <f>IF($A1231=VLOOKUP(YEAR($A1231),'Festive dates'!$A$2:$J$5,4,FALSE),1,0)</f>
        <v>0</v>
      </c>
      <c r="V1231" s="9">
        <f>IF(AND($A1231&gt;=VLOOKUP(YEAR($A1231),'Festive dates'!$A$2:$J$5,9,FALSE),$A1231&lt;=VLOOKUP(YEAR($A1231),'Festive dates'!$A$2:$J$5,10,FALSE)),1,0)</f>
        <v>0</v>
      </c>
      <c r="W1231" s="9">
        <f>IF($A1231=VLOOKUP(YEAR($A1231),'Festive dates'!$A$2:$J$5,7,FALSE),1,0)</f>
        <v>0</v>
      </c>
      <c r="X1231" s="1"/>
      <c r="Y1231" s="1"/>
      <c r="Z1231" s="1"/>
      <c r="AA1231" s="1"/>
      <c r="AB1231" s="1"/>
      <c r="AC1231" s="1"/>
      <c r="AD1231" s="1"/>
      <c r="AE1231" s="1"/>
      <c r="AF1231" s="1"/>
      <c r="AG1231" s="1"/>
      <c r="AH1231" s="1"/>
      <c r="AI1231" s="1"/>
      <c r="AJ1231" s="1"/>
      <c r="AK1231" s="1"/>
      <c r="AL1231" s="1"/>
      <c r="AM1231" s="1"/>
      <c r="AN1231" s="1"/>
      <c r="AO1231" s="1"/>
      <c r="AP1231" s="1"/>
      <c r="AQ1231" s="1"/>
      <c r="AR1231" s="1"/>
      <c r="AS1231" s="1"/>
      <c r="AT1231" s="1"/>
      <c r="AU1231" s="1"/>
      <c r="AV1231" s="1"/>
      <c r="AW1231" s="1"/>
      <c r="AX1231" s="1"/>
      <c r="AY1231" s="1"/>
    </row>
    <row r="1232" spans="1:51">
      <c r="A1232" s="8">
        <v>46247</v>
      </c>
      <c r="B1232" s="9">
        <v>0</v>
      </c>
      <c r="C1232" s="9">
        <v>0</v>
      </c>
      <c r="D1232" s="9">
        <v>0</v>
      </c>
      <c r="E1232" s="9">
        <v>0</v>
      </c>
      <c r="F1232" s="9">
        <v>0</v>
      </c>
      <c r="G1232" s="9">
        <v>0</v>
      </c>
      <c r="H1232" s="9">
        <v>0</v>
      </c>
      <c r="I1232" s="9">
        <v>0</v>
      </c>
      <c r="J1232" s="9">
        <v>0</v>
      </c>
      <c r="K1232" s="9">
        <v>0</v>
      </c>
      <c r="L1232" s="9">
        <v>0</v>
      </c>
      <c r="M1232" s="9">
        <v>0</v>
      </c>
      <c r="N1232" s="9">
        <v>0</v>
      </c>
      <c r="O1232" s="9">
        <v>0</v>
      </c>
      <c r="P1232" s="9">
        <v>0</v>
      </c>
      <c r="Q1232" s="9">
        <f>MAX(-20,MIN(10,$A1232-VLOOKUP(YEAR($A1232),'Festive dates'!$A$2:$J$5,8,FALSE)))</f>
        <v>-20</v>
      </c>
      <c r="R1232" s="9">
        <f>IF(AND($A1232&gt;VLOOKUP(YEAR($A1232),'Festive dates'!$A$2:$J$5,2,FALSE),$A1232&lt;VLOOKUP(YEAR($A1232),'Festive dates'!$A$2:$J$5,3,FALSE)),1,0)</f>
        <v>0</v>
      </c>
      <c r="S1232" s="9">
        <f>IF($A1232=VLOOKUP(YEAR($A1232),'Festive dates'!$A$2:$J$5,2,FALSE),1,0)</f>
        <v>0</v>
      </c>
      <c r="T1232" s="9">
        <f>IF($A1232=VLOOKUP(YEAR($A1232),'Festive dates'!$A$2:$J$5,3,FALSE),1,0)</f>
        <v>0</v>
      </c>
      <c r="U1232" s="9">
        <f>IF($A1232=VLOOKUP(YEAR($A1232),'Festive dates'!$A$2:$J$5,4,FALSE),1,0)</f>
        <v>0</v>
      </c>
      <c r="V1232" s="9">
        <f>IF(AND($A1232&gt;=VLOOKUP(YEAR($A1232),'Festive dates'!$A$2:$J$5,9,FALSE),$A1232&lt;=VLOOKUP(YEAR($A1232),'Festive dates'!$A$2:$J$5,10,FALSE)),1,0)</f>
        <v>0</v>
      </c>
      <c r="W1232" s="9">
        <f>IF($A1232=VLOOKUP(YEAR($A1232),'Festive dates'!$A$2:$J$5,7,FALSE),1,0)</f>
        <v>0</v>
      </c>
      <c r="X1232" s="1"/>
      <c r="Y1232" s="1"/>
      <c r="Z1232" s="1"/>
      <c r="AA1232" s="1"/>
      <c r="AB1232" s="1"/>
      <c r="AC1232" s="1"/>
      <c r="AD1232" s="1"/>
      <c r="AE1232" s="1"/>
      <c r="AF1232" s="1"/>
      <c r="AG1232" s="1"/>
      <c r="AH1232" s="1"/>
      <c r="AI1232" s="1"/>
      <c r="AJ1232" s="1"/>
      <c r="AK1232" s="1"/>
      <c r="AL1232" s="1"/>
      <c r="AM1232" s="1"/>
      <c r="AN1232" s="1"/>
      <c r="AO1232" s="1"/>
      <c r="AP1232" s="1"/>
      <c r="AQ1232" s="1"/>
      <c r="AR1232" s="1"/>
      <c r="AS1232" s="1"/>
      <c r="AT1232" s="1"/>
      <c r="AU1232" s="1"/>
      <c r="AV1232" s="1"/>
      <c r="AW1232" s="1"/>
      <c r="AX1232" s="1"/>
      <c r="AY1232" s="1"/>
    </row>
    <row r="1233" spans="1:51">
      <c r="A1233" s="8">
        <v>46248</v>
      </c>
      <c r="B1233" s="9">
        <v>0</v>
      </c>
      <c r="C1233" s="9">
        <v>0</v>
      </c>
      <c r="D1233" s="9">
        <v>0</v>
      </c>
      <c r="E1233" s="9">
        <v>0</v>
      </c>
      <c r="F1233" s="9">
        <v>0</v>
      </c>
      <c r="G1233" s="9">
        <v>0</v>
      </c>
      <c r="H1233" s="9">
        <v>0</v>
      </c>
      <c r="I1233" s="9">
        <v>0</v>
      </c>
      <c r="J1233" s="9">
        <v>0</v>
      </c>
      <c r="K1233" s="9">
        <v>0</v>
      </c>
      <c r="L1233" s="9">
        <v>0</v>
      </c>
      <c r="M1233" s="9">
        <v>0</v>
      </c>
      <c r="N1233" s="9">
        <v>0</v>
      </c>
      <c r="O1233" s="9">
        <v>0</v>
      </c>
      <c r="P1233" s="9">
        <v>0</v>
      </c>
      <c r="Q1233" s="9">
        <f>MAX(-20,MIN(10,$A1233-VLOOKUP(YEAR($A1233),'Festive dates'!$A$2:$J$5,8,FALSE)))</f>
        <v>-20</v>
      </c>
      <c r="R1233" s="9">
        <f>IF(AND($A1233&gt;VLOOKUP(YEAR($A1233),'Festive dates'!$A$2:$J$5,2,FALSE),$A1233&lt;VLOOKUP(YEAR($A1233),'Festive dates'!$A$2:$J$5,3,FALSE)),1,0)</f>
        <v>0</v>
      </c>
      <c r="S1233" s="9">
        <f>IF($A1233=VLOOKUP(YEAR($A1233),'Festive dates'!$A$2:$J$5,2,FALSE),1,0)</f>
        <v>0</v>
      </c>
      <c r="T1233" s="9">
        <f>IF($A1233=VLOOKUP(YEAR($A1233),'Festive dates'!$A$2:$J$5,3,FALSE),1,0)</f>
        <v>0</v>
      </c>
      <c r="U1233" s="9">
        <f>IF($A1233=VLOOKUP(YEAR($A1233),'Festive dates'!$A$2:$J$5,4,FALSE),1,0)</f>
        <v>0</v>
      </c>
      <c r="V1233" s="9">
        <f>IF(AND($A1233&gt;=VLOOKUP(YEAR($A1233),'Festive dates'!$A$2:$J$5,9,FALSE),$A1233&lt;=VLOOKUP(YEAR($A1233),'Festive dates'!$A$2:$J$5,10,FALSE)),1,0)</f>
        <v>0</v>
      </c>
      <c r="W1233" s="9">
        <f>IF($A1233=VLOOKUP(YEAR($A1233),'Festive dates'!$A$2:$J$5,7,FALSE),1,0)</f>
        <v>0</v>
      </c>
      <c r="X1233" s="1"/>
      <c r="Y1233" s="1"/>
      <c r="Z1233" s="1"/>
      <c r="AA1233" s="1"/>
      <c r="AB1233" s="1"/>
      <c r="AC1233" s="1"/>
      <c r="AD1233" s="1"/>
      <c r="AE1233" s="1"/>
      <c r="AF1233" s="1"/>
      <c r="AG1233" s="1"/>
      <c r="AH1233" s="1"/>
      <c r="AI1233" s="1"/>
      <c r="AJ1233" s="1"/>
      <c r="AK1233" s="1"/>
      <c r="AL1233" s="1"/>
      <c r="AM1233" s="1"/>
      <c r="AN1233" s="1"/>
      <c r="AO1233" s="1"/>
      <c r="AP1233" s="1"/>
      <c r="AQ1233" s="1"/>
      <c r="AR1233" s="1"/>
      <c r="AS1233" s="1"/>
      <c r="AT1233" s="1"/>
      <c r="AU1233" s="1"/>
      <c r="AV1233" s="1"/>
      <c r="AW1233" s="1"/>
      <c r="AX1233" s="1"/>
      <c r="AY1233" s="1"/>
    </row>
    <row r="1234" spans="1:51">
      <c r="A1234" s="8">
        <v>46249</v>
      </c>
      <c r="B1234" s="9">
        <v>0</v>
      </c>
      <c r="C1234" s="9">
        <v>0</v>
      </c>
      <c r="D1234" s="9">
        <v>0</v>
      </c>
      <c r="E1234" s="9">
        <v>0</v>
      </c>
      <c r="F1234" s="9">
        <v>0</v>
      </c>
      <c r="G1234" s="9">
        <v>0</v>
      </c>
      <c r="H1234" s="9">
        <v>0</v>
      </c>
      <c r="I1234" s="9">
        <v>0</v>
      </c>
      <c r="J1234" s="9">
        <v>0</v>
      </c>
      <c r="K1234" s="9">
        <v>0</v>
      </c>
      <c r="L1234" s="9">
        <v>0</v>
      </c>
      <c r="M1234" s="9">
        <v>0</v>
      </c>
      <c r="N1234" s="9">
        <v>0</v>
      </c>
      <c r="O1234" s="9">
        <v>0</v>
      </c>
      <c r="P1234" s="9">
        <v>0</v>
      </c>
      <c r="Q1234" s="9">
        <f>MAX(-20,MIN(10,$A1234-VLOOKUP(YEAR($A1234),'Festive dates'!$A$2:$J$5,8,FALSE)))</f>
        <v>-20</v>
      </c>
      <c r="R1234" s="9">
        <f>IF(AND($A1234&gt;VLOOKUP(YEAR($A1234),'Festive dates'!$A$2:$J$5,2,FALSE),$A1234&lt;VLOOKUP(YEAR($A1234),'Festive dates'!$A$2:$J$5,3,FALSE)),1,0)</f>
        <v>0</v>
      </c>
      <c r="S1234" s="9">
        <f>IF($A1234=VLOOKUP(YEAR($A1234),'Festive dates'!$A$2:$J$5,2,FALSE),1,0)</f>
        <v>0</v>
      </c>
      <c r="T1234" s="9">
        <f>IF($A1234=VLOOKUP(YEAR($A1234),'Festive dates'!$A$2:$J$5,3,FALSE),1,0)</f>
        <v>0</v>
      </c>
      <c r="U1234" s="9">
        <f>IF($A1234=VLOOKUP(YEAR($A1234),'Festive dates'!$A$2:$J$5,4,FALSE),1,0)</f>
        <v>0</v>
      </c>
      <c r="V1234" s="9">
        <f>IF(AND($A1234&gt;=VLOOKUP(YEAR($A1234),'Festive dates'!$A$2:$J$5,9,FALSE),$A1234&lt;=VLOOKUP(YEAR($A1234),'Festive dates'!$A$2:$J$5,10,FALSE)),1,0)</f>
        <v>0</v>
      </c>
      <c r="W1234" s="9">
        <f>IF($A1234=VLOOKUP(YEAR($A1234),'Festive dates'!$A$2:$J$5,7,FALSE),1,0)</f>
        <v>0</v>
      </c>
      <c r="X1234" s="1"/>
      <c r="Y1234" s="1"/>
      <c r="Z1234" s="1"/>
      <c r="AA1234" s="1"/>
      <c r="AB1234" s="1"/>
      <c r="AC1234" s="1"/>
      <c r="AD1234" s="1"/>
      <c r="AE1234" s="1"/>
      <c r="AF1234" s="1"/>
      <c r="AG1234" s="1"/>
      <c r="AH1234" s="1"/>
      <c r="AI1234" s="1"/>
      <c r="AJ1234" s="1"/>
      <c r="AK1234" s="1"/>
      <c r="AL1234" s="1"/>
      <c r="AM1234" s="1"/>
      <c r="AN1234" s="1"/>
      <c r="AO1234" s="1"/>
      <c r="AP1234" s="1"/>
      <c r="AQ1234" s="1"/>
      <c r="AR1234" s="1"/>
      <c r="AS1234" s="1"/>
      <c r="AT1234" s="1"/>
      <c r="AU1234" s="1"/>
      <c r="AV1234" s="1"/>
      <c r="AW1234" s="1"/>
      <c r="AX1234" s="1"/>
      <c r="AY1234" s="1"/>
    </row>
    <row r="1235" spans="1:51">
      <c r="A1235" s="8">
        <v>46250</v>
      </c>
      <c r="B1235" s="9">
        <v>0</v>
      </c>
      <c r="C1235" s="9">
        <v>0</v>
      </c>
      <c r="D1235" s="9">
        <v>0</v>
      </c>
      <c r="E1235" s="9">
        <v>0</v>
      </c>
      <c r="F1235" s="9">
        <v>0</v>
      </c>
      <c r="G1235" s="9">
        <v>0</v>
      </c>
      <c r="H1235" s="9">
        <v>0</v>
      </c>
      <c r="I1235" s="9">
        <v>0</v>
      </c>
      <c r="J1235" s="9">
        <v>0</v>
      </c>
      <c r="K1235" s="9">
        <v>0</v>
      </c>
      <c r="L1235" s="9">
        <v>0</v>
      </c>
      <c r="M1235" s="9">
        <v>0</v>
      </c>
      <c r="N1235" s="9">
        <v>0</v>
      </c>
      <c r="O1235" s="9">
        <v>0</v>
      </c>
      <c r="P1235" s="9">
        <v>0</v>
      </c>
      <c r="Q1235" s="9">
        <f>MAX(-20,MIN(10,$A1235-VLOOKUP(YEAR($A1235),'Festive dates'!$A$2:$J$5,8,FALSE)))</f>
        <v>-20</v>
      </c>
      <c r="R1235" s="9">
        <f>IF(AND($A1235&gt;VLOOKUP(YEAR($A1235),'Festive dates'!$A$2:$J$5,2,FALSE),$A1235&lt;VLOOKUP(YEAR($A1235),'Festive dates'!$A$2:$J$5,3,FALSE)),1,0)</f>
        <v>0</v>
      </c>
      <c r="S1235" s="9">
        <f>IF($A1235=VLOOKUP(YEAR($A1235),'Festive dates'!$A$2:$J$5,2,FALSE),1,0)</f>
        <v>0</v>
      </c>
      <c r="T1235" s="9">
        <f>IF($A1235=VLOOKUP(YEAR($A1235),'Festive dates'!$A$2:$J$5,3,FALSE),1,0)</f>
        <v>0</v>
      </c>
      <c r="U1235" s="9">
        <f>IF($A1235=VLOOKUP(YEAR($A1235),'Festive dates'!$A$2:$J$5,4,FALSE),1,0)</f>
        <v>0</v>
      </c>
      <c r="V1235" s="9">
        <f>IF(AND($A1235&gt;=VLOOKUP(YEAR($A1235),'Festive dates'!$A$2:$J$5,9,FALSE),$A1235&lt;=VLOOKUP(YEAR($A1235),'Festive dates'!$A$2:$J$5,10,FALSE)),1,0)</f>
        <v>0</v>
      </c>
      <c r="W1235" s="9">
        <f>IF($A1235=VLOOKUP(YEAR($A1235),'Festive dates'!$A$2:$J$5,7,FALSE),1,0)</f>
        <v>0</v>
      </c>
      <c r="X1235" s="1"/>
      <c r="Y1235" s="1"/>
      <c r="Z1235" s="1"/>
      <c r="AA1235" s="1"/>
      <c r="AB1235" s="1"/>
      <c r="AC1235" s="1"/>
      <c r="AD1235" s="1"/>
      <c r="AE1235" s="1"/>
      <c r="AF1235" s="1"/>
      <c r="AG1235" s="1"/>
      <c r="AH1235" s="1"/>
      <c r="AI1235" s="1"/>
      <c r="AJ1235" s="1"/>
      <c r="AK1235" s="1"/>
      <c r="AL1235" s="1"/>
      <c r="AM1235" s="1"/>
      <c r="AN1235" s="1"/>
      <c r="AO1235" s="1"/>
      <c r="AP1235" s="1"/>
      <c r="AQ1235" s="1"/>
      <c r="AR1235" s="1"/>
      <c r="AS1235" s="1"/>
      <c r="AT1235" s="1"/>
      <c r="AU1235" s="1"/>
      <c r="AV1235" s="1"/>
      <c r="AW1235" s="1"/>
      <c r="AX1235" s="1"/>
      <c r="AY1235" s="1"/>
    </row>
    <row r="1236" spans="1:51">
      <c r="A1236" s="8">
        <v>46251</v>
      </c>
      <c r="B1236" s="9">
        <v>0</v>
      </c>
      <c r="C1236" s="9">
        <v>0</v>
      </c>
      <c r="D1236" s="9">
        <v>0</v>
      </c>
      <c r="E1236" s="9">
        <v>0</v>
      </c>
      <c r="F1236" s="9">
        <v>0</v>
      </c>
      <c r="G1236" s="9">
        <v>0</v>
      </c>
      <c r="H1236" s="9">
        <v>0</v>
      </c>
      <c r="I1236" s="9">
        <v>0</v>
      </c>
      <c r="J1236" s="9">
        <v>0</v>
      </c>
      <c r="K1236" s="9">
        <v>0</v>
      </c>
      <c r="L1236" s="9">
        <v>0</v>
      </c>
      <c r="M1236" s="9">
        <v>0</v>
      </c>
      <c r="N1236" s="9">
        <v>1</v>
      </c>
      <c r="O1236" s="9">
        <v>0</v>
      </c>
      <c r="P1236" s="9">
        <v>0</v>
      </c>
      <c r="Q1236" s="9">
        <f>MAX(-20,MIN(10,$A1236-VLOOKUP(YEAR($A1236),'Festive dates'!$A$2:$J$5,8,FALSE)))</f>
        <v>-20</v>
      </c>
      <c r="R1236" s="9">
        <f>IF(AND($A1236&gt;VLOOKUP(YEAR($A1236),'Festive dates'!$A$2:$J$5,2,FALSE),$A1236&lt;VLOOKUP(YEAR($A1236),'Festive dates'!$A$2:$J$5,3,FALSE)),1,0)</f>
        <v>0</v>
      </c>
      <c r="S1236" s="9">
        <f>IF($A1236=VLOOKUP(YEAR($A1236),'Festive dates'!$A$2:$J$5,2,FALSE),1,0)</f>
        <v>0</v>
      </c>
      <c r="T1236" s="9">
        <f>IF($A1236=VLOOKUP(YEAR($A1236),'Festive dates'!$A$2:$J$5,3,FALSE),1,0)</f>
        <v>0</v>
      </c>
      <c r="U1236" s="9">
        <f>IF($A1236=VLOOKUP(YEAR($A1236),'Festive dates'!$A$2:$J$5,4,FALSE),1,0)</f>
        <v>0</v>
      </c>
      <c r="V1236" s="9">
        <f>IF(AND($A1236&gt;=VLOOKUP(YEAR($A1236),'Festive dates'!$A$2:$J$5,9,FALSE),$A1236&lt;=VLOOKUP(YEAR($A1236),'Festive dates'!$A$2:$J$5,10,FALSE)),1,0)</f>
        <v>0</v>
      </c>
      <c r="W1236" s="9">
        <f>IF($A1236=VLOOKUP(YEAR($A1236),'Festive dates'!$A$2:$J$5,7,FALSE),1,0)</f>
        <v>0</v>
      </c>
      <c r="X1236" s="1"/>
      <c r="Y1236" s="1"/>
      <c r="Z1236" s="1"/>
      <c r="AA1236" s="1"/>
      <c r="AB1236" s="1"/>
      <c r="AC1236" s="1"/>
      <c r="AD1236" s="1"/>
      <c r="AE1236" s="1"/>
      <c r="AF1236" s="1"/>
      <c r="AG1236" s="1"/>
      <c r="AH1236" s="1"/>
      <c r="AI1236" s="1"/>
      <c r="AJ1236" s="1"/>
      <c r="AK1236" s="1"/>
      <c r="AL1236" s="1"/>
      <c r="AM1236" s="1"/>
      <c r="AN1236" s="1"/>
      <c r="AO1236" s="1"/>
      <c r="AP1236" s="1"/>
      <c r="AQ1236" s="1"/>
      <c r="AR1236" s="1"/>
      <c r="AS1236" s="1"/>
      <c r="AT1236" s="1"/>
      <c r="AU1236" s="1"/>
      <c r="AV1236" s="1"/>
      <c r="AW1236" s="1"/>
      <c r="AX1236" s="1"/>
      <c r="AY1236" s="1"/>
    </row>
    <row r="1237" spans="1:51">
      <c r="A1237" s="8">
        <v>46252</v>
      </c>
      <c r="B1237" s="9">
        <v>0</v>
      </c>
      <c r="C1237" s="9">
        <v>0</v>
      </c>
      <c r="D1237" s="9">
        <v>0</v>
      </c>
      <c r="E1237" s="9">
        <v>0</v>
      </c>
      <c r="F1237" s="9">
        <v>0</v>
      </c>
      <c r="G1237" s="9">
        <v>0</v>
      </c>
      <c r="H1237" s="9">
        <v>0</v>
      </c>
      <c r="I1237" s="9">
        <v>0</v>
      </c>
      <c r="J1237" s="9">
        <v>0</v>
      </c>
      <c r="K1237" s="9">
        <v>0</v>
      </c>
      <c r="L1237" s="9">
        <v>0</v>
      </c>
      <c r="M1237" s="9">
        <v>0</v>
      </c>
      <c r="N1237" s="9">
        <v>0</v>
      </c>
      <c r="O1237" s="9">
        <v>0</v>
      </c>
      <c r="P1237" s="9">
        <v>0</v>
      </c>
      <c r="Q1237" s="9">
        <f>MAX(-20,MIN(10,$A1237-VLOOKUP(YEAR($A1237),'Festive dates'!$A$2:$J$5,8,FALSE)))</f>
        <v>-20</v>
      </c>
      <c r="R1237" s="9">
        <f>IF(AND($A1237&gt;VLOOKUP(YEAR($A1237),'Festive dates'!$A$2:$J$5,2,FALSE),$A1237&lt;VLOOKUP(YEAR($A1237),'Festive dates'!$A$2:$J$5,3,FALSE)),1,0)</f>
        <v>0</v>
      </c>
      <c r="S1237" s="9">
        <f>IF($A1237=VLOOKUP(YEAR($A1237),'Festive dates'!$A$2:$J$5,2,FALSE),1,0)</f>
        <v>0</v>
      </c>
      <c r="T1237" s="9">
        <f>IF($A1237=VLOOKUP(YEAR($A1237),'Festive dates'!$A$2:$J$5,3,FALSE),1,0)</f>
        <v>0</v>
      </c>
      <c r="U1237" s="9">
        <f>IF($A1237=VLOOKUP(YEAR($A1237),'Festive dates'!$A$2:$J$5,4,FALSE),1,0)</f>
        <v>0</v>
      </c>
      <c r="V1237" s="9">
        <f>IF(AND($A1237&gt;=VLOOKUP(YEAR($A1237),'Festive dates'!$A$2:$J$5,9,FALSE),$A1237&lt;=VLOOKUP(YEAR($A1237),'Festive dates'!$A$2:$J$5,10,FALSE)),1,0)</f>
        <v>0</v>
      </c>
      <c r="W1237" s="9">
        <f>IF($A1237=VLOOKUP(YEAR($A1237),'Festive dates'!$A$2:$J$5,7,FALSE),1,0)</f>
        <v>0</v>
      </c>
      <c r="X1237" s="1"/>
      <c r="Y1237" s="1"/>
      <c r="Z1237" s="1"/>
      <c r="AA1237" s="1"/>
      <c r="AB1237" s="1"/>
      <c r="AC1237" s="1"/>
      <c r="AD1237" s="1"/>
      <c r="AE1237" s="1"/>
      <c r="AF1237" s="1"/>
      <c r="AG1237" s="1"/>
      <c r="AH1237" s="1"/>
      <c r="AI1237" s="1"/>
      <c r="AJ1237" s="1"/>
      <c r="AK1237" s="1"/>
      <c r="AL1237" s="1"/>
      <c r="AM1237" s="1"/>
      <c r="AN1237" s="1"/>
      <c r="AO1237" s="1"/>
      <c r="AP1237" s="1"/>
      <c r="AQ1237" s="1"/>
      <c r="AR1237" s="1"/>
      <c r="AS1237" s="1"/>
      <c r="AT1237" s="1"/>
      <c r="AU1237" s="1"/>
      <c r="AV1237" s="1"/>
      <c r="AW1237" s="1"/>
      <c r="AX1237" s="1"/>
      <c r="AY1237" s="1"/>
    </row>
    <row r="1238" spans="1:51">
      <c r="A1238" s="8">
        <v>46253</v>
      </c>
      <c r="B1238" s="9">
        <v>0</v>
      </c>
      <c r="C1238" s="9">
        <v>0</v>
      </c>
      <c r="D1238" s="9">
        <v>0</v>
      </c>
      <c r="E1238" s="9">
        <v>0</v>
      </c>
      <c r="F1238" s="9">
        <v>0</v>
      </c>
      <c r="G1238" s="9">
        <v>0</v>
      </c>
      <c r="H1238" s="9">
        <v>0</v>
      </c>
      <c r="I1238" s="9">
        <v>0</v>
      </c>
      <c r="J1238" s="9">
        <v>0</v>
      </c>
      <c r="K1238" s="9">
        <v>0</v>
      </c>
      <c r="L1238" s="9">
        <v>0</v>
      </c>
      <c r="M1238" s="9">
        <v>0</v>
      </c>
      <c r="N1238" s="9">
        <v>0</v>
      </c>
      <c r="O1238" s="9">
        <v>0</v>
      </c>
      <c r="P1238" s="9">
        <v>0</v>
      </c>
      <c r="Q1238" s="9">
        <f>MAX(-20,MIN(10,$A1238-VLOOKUP(YEAR($A1238),'Festive dates'!$A$2:$J$5,8,FALSE)))</f>
        <v>-20</v>
      </c>
      <c r="R1238" s="9">
        <f>IF(AND($A1238&gt;VLOOKUP(YEAR($A1238),'Festive dates'!$A$2:$J$5,2,FALSE),$A1238&lt;VLOOKUP(YEAR($A1238),'Festive dates'!$A$2:$J$5,3,FALSE)),1,0)</f>
        <v>0</v>
      </c>
      <c r="S1238" s="9">
        <f>IF($A1238=VLOOKUP(YEAR($A1238),'Festive dates'!$A$2:$J$5,2,FALSE),1,0)</f>
        <v>0</v>
      </c>
      <c r="T1238" s="9">
        <f>IF($A1238=VLOOKUP(YEAR($A1238),'Festive dates'!$A$2:$J$5,3,FALSE),1,0)</f>
        <v>0</v>
      </c>
      <c r="U1238" s="9">
        <f>IF($A1238=VLOOKUP(YEAR($A1238),'Festive dates'!$A$2:$J$5,4,FALSE),1,0)</f>
        <v>0</v>
      </c>
      <c r="V1238" s="9">
        <f>IF(AND($A1238&gt;=VLOOKUP(YEAR($A1238),'Festive dates'!$A$2:$J$5,9,FALSE),$A1238&lt;=VLOOKUP(YEAR($A1238),'Festive dates'!$A$2:$J$5,10,FALSE)),1,0)</f>
        <v>0</v>
      </c>
      <c r="W1238" s="9">
        <f>IF($A1238=VLOOKUP(YEAR($A1238),'Festive dates'!$A$2:$J$5,7,FALSE),1,0)</f>
        <v>0</v>
      </c>
      <c r="X1238" s="1"/>
      <c r="Y1238" s="1"/>
      <c r="Z1238" s="1"/>
      <c r="AA1238" s="1"/>
      <c r="AB1238" s="1"/>
      <c r="AC1238" s="1"/>
      <c r="AD1238" s="1"/>
      <c r="AE1238" s="1"/>
      <c r="AF1238" s="1"/>
      <c r="AG1238" s="1"/>
      <c r="AH1238" s="1"/>
      <c r="AI1238" s="1"/>
      <c r="AJ1238" s="1"/>
      <c r="AK1238" s="1"/>
      <c r="AL1238" s="1"/>
      <c r="AM1238" s="1"/>
      <c r="AN1238" s="1"/>
      <c r="AO1238" s="1"/>
      <c r="AP1238" s="1"/>
      <c r="AQ1238" s="1"/>
      <c r="AR1238" s="1"/>
      <c r="AS1238" s="1"/>
      <c r="AT1238" s="1"/>
      <c r="AU1238" s="1"/>
      <c r="AV1238" s="1"/>
      <c r="AW1238" s="1"/>
      <c r="AX1238" s="1"/>
      <c r="AY1238" s="1"/>
    </row>
    <row r="1239" spans="1:51">
      <c r="A1239" s="8">
        <v>46254</v>
      </c>
      <c r="B1239" s="9">
        <v>0</v>
      </c>
      <c r="C1239" s="9">
        <v>0</v>
      </c>
      <c r="D1239" s="9">
        <v>0</v>
      </c>
      <c r="E1239" s="9">
        <v>0</v>
      </c>
      <c r="F1239" s="9">
        <v>0</v>
      </c>
      <c r="G1239" s="9">
        <v>0</v>
      </c>
      <c r="H1239" s="9">
        <v>0</v>
      </c>
      <c r="I1239" s="9">
        <v>0</v>
      </c>
      <c r="J1239" s="9">
        <v>0</v>
      </c>
      <c r="K1239" s="9">
        <v>0</v>
      </c>
      <c r="L1239" s="9">
        <v>0</v>
      </c>
      <c r="M1239" s="9">
        <v>0</v>
      </c>
      <c r="N1239" s="9">
        <v>0</v>
      </c>
      <c r="O1239" s="9">
        <v>0</v>
      </c>
      <c r="P1239" s="9">
        <v>0</v>
      </c>
      <c r="Q1239" s="9">
        <f>MAX(-20,MIN(10,$A1239-VLOOKUP(YEAR($A1239),'Festive dates'!$A$2:$J$5,8,FALSE)))</f>
        <v>-20</v>
      </c>
      <c r="R1239" s="9">
        <f>IF(AND($A1239&gt;VLOOKUP(YEAR($A1239),'Festive dates'!$A$2:$J$5,2,FALSE),$A1239&lt;VLOOKUP(YEAR($A1239),'Festive dates'!$A$2:$J$5,3,FALSE)),1,0)</f>
        <v>0</v>
      </c>
      <c r="S1239" s="9">
        <f>IF($A1239=VLOOKUP(YEAR($A1239),'Festive dates'!$A$2:$J$5,2,FALSE),1,0)</f>
        <v>0</v>
      </c>
      <c r="T1239" s="9">
        <f>IF($A1239=VLOOKUP(YEAR($A1239),'Festive dates'!$A$2:$J$5,3,FALSE),1,0)</f>
        <v>0</v>
      </c>
      <c r="U1239" s="9">
        <f>IF($A1239=VLOOKUP(YEAR($A1239),'Festive dates'!$A$2:$J$5,4,FALSE),1,0)</f>
        <v>0</v>
      </c>
      <c r="V1239" s="9">
        <f>IF(AND($A1239&gt;=VLOOKUP(YEAR($A1239),'Festive dates'!$A$2:$J$5,9,FALSE),$A1239&lt;=VLOOKUP(YEAR($A1239),'Festive dates'!$A$2:$J$5,10,FALSE)),1,0)</f>
        <v>0</v>
      </c>
      <c r="W1239" s="9">
        <f>IF($A1239=VLOOKUP(YEAR($A1239),'Festive dates'!$A$2:$J$5,7,FALSE),1,0)</f>
        <v>0</v>
      </c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  <c r="AJ1239" s="1"/>
      <c r="AK1239" s="1"/>
      <c r="AL1239" s="1"/>
      <c r="AM1239" s="1"/>
      <c r="AN1239" s="1"/>
      <c r="AO1239" s="1"/>
      <c r="AP1239" s="1"/>
      <c r="AQ1239" s="1"/>
      <c r="AR1239" s="1"/>
      <c r="AS1239" s="1"/>
      <c r="AT1239" s="1"/>
      <c r="AU1239" s="1"/>
      <c r="AV1239" s="1"/>
      <c r="AW1239" s="1"/>
      <c r="AX1239" s="1"/>
      <c r="AY1239" s="1"/>
    </row>
    <row r="1240" spans="1:51">
      <c r="A1240" s="8">
        <v>46255</v>
      </c>
      <c r="B1240" s="9">
        <v>0</v>
      </c>
      <c r="C1240" s="9">
        <v>0</v>
      </c>
      <c r="D1240" s="9">
        <v>0</v>
      </c>
      <c r="E1240" s="9">
        <v>0</v>
      </c>
      <c r="F1240" s="9">
        <v>0</v>
      </c>
      <c r="G1240" s="9">
        <v>0</v>
      </c>
      <c r="H1240" s="9">
        <v>0</v>
      </c>
      <c r="I1240" s="9">
        <v>0</v>
      </c>
      <c r="J1240" s="9">
        <v>0</v>
      </c>
      <c r="K1240" s="9">
        <v>0</v>
      </c>
      <c r="L1240" s="9">
        <v>0</v>
      </c>
      <c r="M1240" s="9">
        <v>0</v>
      </c>
      <c r="N1240" s="9">
        <v>0</v>
      </c>
      <c r="O1240" s="9">
        <v>0</v>
      </c>
      <c r="P1240" s="9">
        <v>0</v>
      </c>
      <c r="Q1240" s="9">
        <f>MAX(-20,MIN(10,$A1240-VLOOKUP(YEAR($A1240),'Festive dates'!$A$2:$J$5,8,FALSE)))</f>
        <v>-20</v>
      </c>
      <c r="R1240" s="9">
        <f>IF(AND($A1240&gt;VLOOKUP(YEAR($A1240),'Festive dates'!$A$2:$J$5,2,FALSE),$A1240&lt;VLOOKUP(YEAR($A1240),'Festive dates'!$A$2:$J$5,3,FALSE)),1,0)</f>
        <v>0</v>
      </c>
      <c r="S1240" s="9">
        <f>IF($A1240=VLOOKUP(YEAR($A1240),'Festive dates'!$A$2:$J$5,2,FALSE),1,0)</f>
        <v>0</v>
      </c>
      <c r="T1240" s="9">
        <f>IF($A1240=VLOOKUP(YEAR($A1240),'Festive dates'!$A$2:$J$5,3,FALSE),1,0)</f>
        <v>0</v>
      </c>
      <c r="U1240" s="9">
        <f>IF($A1240=VLOOKUP(YEAR($A1240),'Festive dates'!$A$2:$J$5,4,FALSE),1,0)</f>
        <v>0</v>
      </c>
      <c r="V1240" s="9">
        <f>IF(AND($A1240&gt;=VLOOKUP(YEAR($A1240),'Festive dates'!$A$2:$J$5,9,FALSE),$A1240&lt;=VLOOKUP(YEAR($A1240),'Festive dates'!$A$2:$J$5,10,FALSE)),1,0)</f>
        <v>0</v>
      </c>
      <c r="W1240" s="9">
        <f>IF($A1240=VLOOKUP(YEAR($A1240),'Festive dates'!$A$2:$J$5,7,FALSE),1,0)</f>
        <v>0</v>
      </c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  <c r="AJ1240" s="1"/>
      <c r="AK1240" s="1"/>
      <c r="AL1240" s="1"/>
      <c r="AM1240" s="1"/>
      <c r="AN1240" s="1"/>
      <c r="AO1240" s="1"/>
      <c r="AP1240" s="1"/>
      <c r="AQ1240" s="1"/>
      <c r="AR1240" s="1"/>
      <c r="AS1240" s="1"/>
      <c r="AT1240" s="1"/>
      <c r="AU1240" s="1"/>
      <c r="AV1240" s="1"/>
      <c r="AW1240" s="1"/>
      <c r="AX1240" s="1"/>
      <c r="AY1240" s="1"/>
    </row>
    <row r="1241" spans="1:51">
      <c r="A1241" s="8">
        <v>46256</v>
      </c>
      <c r="B1241" s="9">
        <v>0</v>
      </c>
      <c r="C1241" s="9">
        <v>0</v>
      </c>
      <c r="D1241" s="9">
        <v>0</v>
      </c>
      <c r="E1241" s="9">
        <v>0</v>
      </c>
      <c r="F1241" s="9">
        <v>0</v>
      </c>
      <c r="G1241" s="9">
        <v>0</v>
      </c>
      <c r="H1241" s="9">
        <v>0</v>
      </c>
      <c r="I1241" s="9">
        <v>0</v>
      </c>
      <c r="J1241" s="9">
        <v>0</v>
      </c>
      <c r="K1241" s="9">
        <v>0</v>
      </c>
      <c r="L1241" s="9">
        <v>0</v>
      </c>
      <c r="M1241" s="9">
        <v>0</v>
      </c>
      <c r="N1241" s="9">
        <v>0</v>
      </c>
      <c r="O1241" s="9">
        <v>0</v>
      </c>
      <c r="P1241" s="9">
        <v>0</v>
      </c>
      <c r="Q1241" s="9">
        <f>MAX(-20,MIN(10,$A1241-VLOOKUP(YEAR($A1241),'Festive dates'!$A$2:$J$5,8,FALSE)))</f>
        <v>-20</v>
      </c>
      <c r="R1241" s="9">
        <f>IF(AND($A1241&gt;VLOOKUP(YEAR($A1241),'Festive dates'!$A$2:$J$5,2,FALSE),$A1241&lt;VLOOKUP(YEAR($A1241),'Festive dates'!$A$2:$J$5,3,FALSE)),1,0)</f>
        <v>0</v>
      </c>
      <c r="S1241" s="9">
        <f>IF($A1241=VLOOKUP(YEAR($A1241),'Festive dates'!$A$2:$J$5,2,FALSE),1,0)</f>
        <v>0</v>
      </c>
      <c r="T1241" s="9">
        <f>IF($A1241=VLOOKUP(YEAR($A1241),'Festive dates'!$A$2:$J$5,3,FALSE),1,0)</f>
        <v>0</v>
      </c>
      <c r="U1241" s="9">
        <f>IF($A1241=VLOOKUP(YEAR($A1241),'Festive dates'!$A$2:$J$5,4,FALSE),1,0)</f>
        <v>0</v>
      </c>
      <c r="V1241" s="9">
        <f>IF(AND($A1241&gt;=VLOOKUP(YEAR($A1241),'Festive dates'!$A$2:$J$5,9,FALSE),$A1241&lt;=VLOOKUP(YEAR($A1241),'Festive dates'!$A$2:$J$5,10,FALSE)),1,0)</f>
        <v>0</v>
      </c>
      <c r="W1241" s="9">
        <f>IF($A1241=VLOOKUP(YEAR($A1241),'Festive dates'!$A$2:$J$5,7,FALSE),1,0)</f>
        <v>0</v>
      </c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  <c r="AJ1241" s="1"/>
      <c r="AK1241" s="1"/>
      <c r="AL1241" s="1"/>
      <c r="AM1241" s="1"/>
      <c r="AN1241" s="1"/>
      <c r="AO1241" s="1"/>
      <c r="AP1241" s="1"/>
      <c r="AQ1241" s="1"/>
      <c r="AR1241" s="1"/>
      <c r="AS1241" s="1"/>
      <c r="AT1241" s="1"/>
      <c r="AU1241" s="1"/>
      <c r="AV1241" s="1"/>
      <c r="AW1241" s="1"/>
      <c r="AX1241" s="1"/>
      <c r="AY1241" s="1"/>
    </row>
    <row r="1242" spans="1:51">
      <c r="A1242" s="8">
        <v>46257</v>
      </c>
      <c r="B1242" s="9">
        <v>0</v>
      </c>
      <c r="C1242" s="9">
        <v>0</v>
      </c>
      <c r="D1242" s="9">
        <v>0</v>
      </c>
      <c r="E1242" s="9">
        <v>0</v>
      </c>
      <c r="F1242" s="9">
        <v>0</v>
      </c>
      <c r="G1242" s="9">
        <v>0</v>
      </c>
      <c r="H1242" s="9">
        <v>0</v>
      </c>
      <c r="I1242" s="9">
        <v>0</v>
      </c>
      <c r="J1242" s="9">
        <v>0</v>
      </c>
      <c r="K1242" s="9">
        <v>0</v>
      </c>
      <c r="L1242" s="9">
        <v>0</v>
      </c>
      <c r="M1242" s="9">
        <v>0</v>
      </c>
      <c r="N1242" s="9">
        <v>0</v>
      </c>
      <c r="O1242" s="9">
        <v>0</v>
      </c>
      <c r="P1242" s="9">
        <v>0</v>
      </c>
      <c r="Q1242" s="9">
        <f>MAX(-20,MIN(10,$A1242-VLOOKUP(YEAR($A1242),'Festive dates'!$A$2:$J$5,8,FALSE)))</f>
        <v>-20</v>
      </c>
      <c r="R1242" s="9">
        <f>IF(AND($A1242&gt;VLOOKUP(YEAR($A1242),'Festive dates'!$A$2:$J$5,2,FALSE),$A1242&lt;VLOOKUP(YEAR($A1242),'Festive dates'!$A$2:$J$5,3,FALSE)),1,0)</f>
        <v>0</v>
      </c>
      <c r="S1242" s="9">
        <f>IF($A1242=VLOOKUP(YEAR($A1242),'Festive dates'!$A$2:$J$5,2,FALSE),1,0)</f>
        <v>0</v>
      </c>
      <c r="T1242" s="9">
        <f>IF($A1242=VLOOKUP(YEAR($A1242),'Festive dates'!$A$2:$J$5,3,FALSE),1,0)</f>
        <v>0</v>
      </c>
      <c r="U1242" s="9">
        <f>IF($A1242=VLOOKUP(YEAR($A1242),'Festive dates'!$A$2:$J$5,4,FALSE),1,0)</f>
        <v>0</v>
      </c>
      <c r="V1242" s="9">
        <f>IF(AND($A1242&gt;=VLOOKUP(YEAR($A1242),'Festive dates'!$A$2:$J$5,9,FALSE),$A1242&lt;=VLOOKUP(YEAR($A1242),'Festive dates'!$A$2:$J$5,10,FALSE)),1,0)</f>
        <v>0</v>
      </c>
      <c r="W1242" s="9">
        <f>IF($A1242=VLOOKUP(YEAR($A1242),'Festive dates'!$A$2:$J$5,7,FALSE),1,0)</f>
        <v>0</v>
      </c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  <c r="AJ1242" s="1"/>
      <c r="AK1242" s="1"/>
      <c r="AL1242" s="1"/>
      <c r="AM1242" s="1"/>
      <c r="AN1242" s="1"/>
      <c r="AO1242" s="1"/>
      <c r="AP1242" s="1"/>
      <c r="AQ1242" s="1"/>
      <c r="AR1242" s="1"/>
      <c r="AS1242" s="1"/>
      <c r="AT1242" s="1"/>
      <c r="AU1242" s="1"/>
      <c r="AV1242" s="1"/>
      <c r="AW1242" s="1"/>
      <c r="AX1242" s="1"/>
      <c r="AY1242" s="1"/>
    </row>
    <row r="1243" spans="1:51">
      <c r="A1243" s="8">
        <v>46258</v>
      </c>
      <c r="B1243" s="9">
        <v>0</v>
      </c>
      <c r="C1243" s="9">
        <v>0</v>
      </c>
      <c r="D1243" s="9">
        <v>0</v>
      </c>
      <c r="E1243" s="9">
        <v>0</v>
      </c>
      <c r="F1243" s="9">
        <v>0</v>
      </c>
      <c r="G1243" s="9">
        <v>0</v>
      </c>
      <c r="H1243" s="9">
        <v>0</v>
      </c>
      <c r="I1243" s="9">
        <v>0</v>
      </c>
      <c r="J1243" s="9">
        <v>0</v>
      </c>
      <c r="K1243" s="9">
        <v>0</v>
      </c>
      <c r="L1243" s="9">
        <v>0</v>
      </c>
      <c r="M1243" s="9">
        <v>0</v>
      </c>
      <c r="N1243" s="9">
        <v>0</v>
      </c>
      <c r="O1243" s="9">
        <v>0</v>
      </c>
      <c r="P1243" s="9">
        <v>0</v>
      </c>
      <c r="Q1243" s="9">
        <f>MAX(-20,MIN(10,$A1243-VLOOKUP(YEAR($A1243),'Festive dates'!$A$2:$J$5,8,FALSE)))</f>
        <v>-20</v>
      </c>
      <c r="R1243" s="9">
        <f>IF(AND($A1243&gt;VLOOKUP(YEAR($A1243),'Festive dates'!$A$2:$J$5,2,FALSE),$A1243&lt;VLOOKUP(YEAR($A1243),'Festive dates'!$A$2:$J$5,3,FALSE)),1,0)</f>
        <v>0</v>
      </c>
      <c r="S1243" s="9">
        <f>IF($A1243=VLOOKUP(YEAR($A1243),'Festive dates'!$A$2:$J$5,2,FALSE),1,0)</f>
        <v>0</v>
      </c>
      <c r="T1243" s="9">
        <f>IF($A1243=VLOOKUP(YEAR($A1243),'Festive dates'!$A$2:$J$5,3,FALSE),1,0)</f>
        <v>0</v>
      </c>
      <c r="U1243" s="9">
        <f>IF($A1243=VLOOKUP(YEAR($A1243),'Festive dates'!$A$2:$J$5,4,FALSE),1,0)</f>
        <v>0</v>
      </c>
      <c r="V1243" s="9">
        <f>IF(AND($A1243&gt;=VLOOKUP(YEAR($A1243),'Festive dates'!$A$2:$J$5,9,FALSE),$A1243&lt;=VLOOKUP(YEAR($A1243),'Festive dates'!$A$2:$J$5,10,FALSE)),1,0)</f>
        <v>0</v>
      </c>
      <c r="W1243" s="9">
        <f>IF($A1243=VLOOKUP(YEAR($A1243),'Festive dates'!$A$2:$J$5,7,FALSE),1,0)</f>
        <v>0</v>
      </c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  <c r="AJ1243" s="1"/>
      <c r="AK1243" s="1"/>
      <c r="AL1243" s="1"/>
      <c r="AM1243" s="1"/>
      <c r="AN1243" s="1"/>
      <c r="AO1243" s="1"/>
      <c r="AP1243" s="1"/>
      <c r="AQ1243" s="1"/>
      <c r="AR1243" s="1"/>
      <c r="AS1243" s="1"/>
      <c r="AT1243" s="1"/>
      <c r="AU1243" s="1"/>
      <c r="AV1243" s="1"/>
      <c r="AW1243" s="1"/>
      <c r="AX1243" s="1"/>
      <c r="AY1243" s="1"/>
    </row>
    <row r="1244" spans="1:51">
      <c r="A1244" s="8">
        <v>46259</v>
      </c>
      <c r="B1244" s="9">
        <v>0</v>
      </c>
      <c r="C1244" s="9">
        <v>0</v>
      </c>
      <c r="D1244" s="9">
        <v>0</v>
      </c>
      <c r="E1244" s="9">
        <v>0</v>
      </c>
      <c r="F1244" s="9">
        <v>0</v>
      </c>
      <c r="G1244" s="9">
        <v>0</v>
      </c>
      <c r="H1244" s="9">
        <v>0</v>
      </c>
      <c r="I1244" s="9">
        <v>0</v>
      </c>
      <c r="J1244" s="9">
        <v>0</v>
      </c>
      <c r="K1244" s="9">
        <v>0</v>
      </c>
      <c r="L1244" s="9">
        <v>0</v>
      </c>
      <c r="M1244" s="9">
        <v>0</v>
      </c>
      <c r="N1244" s="9">
        <v>0</v>
      </c>
      <c r="O1244" s="9">
        <v>0</v>
      </c>
      <c r="P1244" s="9">
        <v>0</v>
      </c>
      <c r="Q1244" s="9">
        <f>MAX(-20,MIN(10,$A1244-VLOOKUP(YEAR($A1244),'Festive dates'!$A$2:$J$5,8,FALSE)))</f>
        <v>-20</v>
      </c>
      <c r="R1244" s="9">
        <f>IF(AND($A1244&gt;VLOOKUP(YEAR($A1244),'Festive dates'!$A$2:$J$5,2,FALSE),$A1244&lt;VLOOKUP(YEAR($A1244),'Festive dates'!$A$2:$J$5,3,FALSE)),1,0)</f>
        <v>0</v>
      </c>
      <c r="S1244" s="9">
        <f>IF($A1244=VLOOKUP(YEAR($A1244),'Festive dates'!$A$2:$J$5,2,FALSE),1,0)</f>
        <v>0</v>
      </c>
      <c r="T1244" s="9">
        <f>IF($A1244=VLOOKUP(YEAR($A1244),'Festive dates'!$A$2:$J$5,3,FALSE),1,0)</f>
        <v>0</v>
      </c>
      <c r="U1244" s="9">
        <f>IF($A1244=VLOOKUP(YEAR($A1244),'Festive dates'!$A$2:$J$5,4,FALSE),1,0)</f>
        <v>0</v>
      </c>
      <c r="V1244" s="9">
        <f>IF(AND($A1244&gt;=VLOOKUP(YEAR($A1244),'Festive dates'!$A$2:$J$5,9,FALSE),$A1244&lt;=VLOOKUP(YEAR($A1244),'Festive dates'!$A$2:$J$5,10,FALSE)),1,0)</f>
        <v>0</v>
      </c>
      <c r="W1244" s="9">
        <f>IF($A1244=VLOOKUP(YEAR($A1244),'Festive dates'!$A$2:$J$5,7,FALSE),1,0)</f>
        <v>0</v>
      </c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  <c r="AJ1244" s="1"/>
      <c r="AK1244" s="1"/>
      <c r="AL1244" s="1"/>
      <c r="AM1244" s="1"/>
      <c r="AN1244" s="1"/>
      <c r="AO1244" s="1"/>
      <c r="AP1244" s="1"/>
      <c r="AQ1244" s="1"/>
      <c r="AR1244" s="1"/>
      <c r="AS1244" s="1"/>
      <c r="AT1244" s="1"/>
      <c r="AU1244" s="1"/>
      <c r="AV1244" s="1"/>
      <c r="AW1244" s="1"/>
      <c r="AX1244" s="1"/>
      <c r="AY1244" s="1"/>
    </row>
    <row r="1245" spans="1:51">
      <c r="A1245" s="8">
        <v>46260</v>
      </c>
      <c r="B1245" s="9">
        <v>0</v>
      </c>
      <c r="C1245" s="9">
        <v>0</v>
      </c>
      <c r="D1245" s="9">
        <v>0</v>
      </c>
      <c r="E1245" s="9">
        <v>0</v>
      </c>
      <c r="F1245" s="9">
        <v>0</v>
      </c>
      <c r="G1245" s="9">
        <v>1</v>
      </c>
      <c r="H1245" s="9">
        <v>0</v>
      </c>
      <c r="I1245" s="9">
        <v>0</v>
      </c>
      <c r="J1245" s="9">
        <v>0</v>
      </c>
      <c r="K1245" s="9">
        <v>0</v>
      </c>
      <c r="L1245" s="9">
        <v>0</v>
      </c>
      <c r="M1245" s="9">
        <v>0</v>
      </c>
      <c r="N1245" s="9">
        <v>0</v>
      </c>
      <c r="O1245" s="9">
        <v>0</v>
      </c>
      <c r="P1245" s="9">
        <v>0</v>
      </c>
      <c r="Q1245" s="9">
        <f>MAX(-20,MIN(10,$A1245-VLOOKUP(YEAR($A1245),'Festive dates'!$A$2:$J$5,8,FALSE)))</f>
        <v>-20</v>
      </c>
      <c r="R1245" s="9">
        <f>IF(AND($A1245&gt;VLOOKUP(YEAR($A1245),'Festive dates'!$A$2:$J$5,2,FALSE),$A1245&lt;VLOOKUP(YEAR($A1245),'Festive dates'!$A$2:$J$5,3,FALSE)),1,0)</f>
        <v>0</v>
      </c>
      <c r="S1245" s="9">
        <f>IF($A1245=VLOOKUP(YEAR($A1245),'Festive dates'!$A$2:$J$5,2,FALSE),1,0)</f>
        <v>0</v>
      </c>
      <c r="T1245" s="9">
        <f>IF($A1245=VLOOKUP(YEAR($A1245),'Festive dates'!$A$2:$J$5,3,FALSE),1,0)</f>
        <v>0</v>
      </c>
      <c r="U1245" s="9">
        <f>IF($A1245=VLOOKUP(YEAR($A1245),'Festive dates'!$A$2:$J$5,4,FALSE),1,0)</f>
        <v>0</v>
      </c>
      <c r="V1245" s="9">
        <f>IF(AND($A1245&gt;=VLOOKUP(YEAR($A1245),'Festive dates'!$A$2:$J$5,9,FALSE),$A1245&lt;=VLOOKUP(YEAR($A1245),'Festive dates'!$A$2:$J$5,10,FALSE)),1,0)</f>
        <v>0</v>
      </c>
      <c r="W1245" s="9">
        <f>IF($A1245=VLOOKUP(YEAR($A1245),'Festive dates'!$A$2:$J$5,7,FALSE),1,0)</f>
        <v>0</v>
      </c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  <c r="AJ1245" s="1"/>
      <c r="AK1245" s="1"/>
      <c r="AL1245" s="1"/>
      <c r="AM1245" s="1"/>
      <c r="AN1245" s="1"/>
      <c r="AO1245" s="1"/>
      <c r="AP1245" s="1"/>
      <c r="AQ1245" s="1"/>
      <c r="AR1245" s="1"/>
      <c r="AS1245" s="1"/>
      <c r="AT1245" s="1"/>
      <c r="AU1245" s="1"/>
      <c r="AV1245" s="1"/>
      <c r="AW1245" s="1"/>
      <c r="AX1245" s="1"/>
      <c r="AY1245" s="1"/>
    </row>
    <row r="1246" spans="1:51">
      <c r="A1246" s="8">
        <v>46261</v>
      </c>
      <c r="B1246" s="9">
        <v>0</v>
      </c>
      <c r="C1246" s="9">
        <v>0</v>
      </c>
      <c r="D1246" s="9">
        <v>0</v>
      </c>
      <c r="E1246" s="9">
        <v>0</v>
      </c>
      <c r="F1246" s="9">
        <v>0</v>
      </c>
      <c r="G1246" s="9">
        <v>0</v>
      </c>
      <c r="H1246" s="9">
        <v>0</v>
      </c>
      <c r="I1246" s="9">
        <v>0</v>
      </c>
      <c r="J1246" s="9">
        <v>0</v>
      </c>
      <c r="K1246" s="9">
        <v>0</v>
      </c>
      <c r="L1246" s="9">
        <v>0</v>
      </c>
      <c r="M1246" s="9">
        <v>0</v>
      </c>
      <c r="N1246" s="9">
        <v>0</v>
      </c>
      <c r="O1246" s="9">
        <v>0</v>
      </c>
      <c r="P1246" s="9">
        <v>0</v>
      </c>
      <c r="Q1246" s="9">
        <f>MAX(-20,MIN(10,$A1246-VLOOKUP(YEAR($A1246),'Festive dates'!$A$2:$J$5,8,FALSE)))</f>
        <v>-20</v>
      </c>
      <c r="R1246" s="9">
        <f>IF(AND($A1246&gt;VLOOKUP(YEAR($A1246),'Festive dates'!$A$2:$J$5,2,FALSE),$A1246&lt;VLOOKUP(YEAR($A1246),'Festive dates'!$A$2:$J$5,3,FALSE)),1,0)</f>
        <v>0</v>
      </c>
      <c r="S1246" s="9">
        <f>IF($A1246=VLOOKUP(YEAR($A1246),'Festive dates'!$A$2:$J$5,2,FALSE),1,0)</f>
        <v>0</v>
      </c>
      <c r="T1246" s="9">
        <f>IF($A1246=VLOOKUP(YEAR($A1246),'Festive dates'!$A$2:$J$5,3,FALSE),1,0)</f>
        <v>0</v>
      </c>
      <c r="U1246" s="9">
        <f>IF($A1246=VLOOKUP(YEAR($A1246),'Festive dates'!$A$2:$J$5,4,FALSE),1,0)</f>
        <v>0</v>
      </c>
      <c r="V1246" s="9">
        <f>IF(AND($A1246&gt;=VLOOKUP(YEAR($A1246),'Festive dates'!$A$2:$J$5,9,FALSE),$A1246&lt;=VLOOKUP(YEAR($A1246),'Festive dates'!$A$2:$J$5,10,FALSE)),1,0)</f>
        <v>0</v>
      </c>
      <c r="W1246" s="9">
        <f>IF($A1246=VLOOKUP(YEAR($A1246),'Festive dates'!$A$2:$J$5,7,FALSE),1,0)</f>
        <v>0</v>
      </c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  <c r="AJ1246" s="1"/>
      <c r="AK1246" s="1"/>
      <c r="AL1246" s="1"/>
      <c r="AM1246" s="1"/>
      <c r="AN1246" s="1"/>
      <c r="AO1246" s="1"/>
      <c r="AP1246" s="1"/>
      <c r="AQ1246" s="1"/>
      <c r="AR1246" s="1"/>
      <c r="AS1246" s="1"/>
      <c r="AT1246" s="1"/>
      <c r="AU1246" s="1"/>
      <c r="AV1246" s="1"/>
      <c r="AW1246" s="1"/>
      <c r="AX1246" s="1"/>
      <c r="AY1246" s="1"/>
    </row>
    <row r="1247" spans="1:51">
      <c r="A1247" s="8">
        <v>46262</v>
      </c>
      <c r="B1247" s="9">
        <v>0</v>
      </c>
      <c r="C1247" s="9">
        <v>0</v>
      </c>
      <c r="D1247" s="9">
        <v>0</v>
      </c>
      <c r="E1247" s="9">
        <v>0</v>
      </c>
      <c r="F1247" s="9">
        <v>0</v>
      </c>
      <c r="G1247" s="9">
        <v>0</v>
      </c>
      <c r="H1247" s="9">
        <v>0</v>
      </c>
      <c r="I1247" s="9">
        <v>0</v>
      </c>
      <c r="J1247" s="9">
        <v>0</v>
      </c>
      <c r="K1247" s="9">
        <v>0</v>
      </c>
      <c r="L1247" s="9">
        <v>0</v>
      </c>
      <c r="M1247" s="9">
        <v>0</v>
      </c>
      <c r="N1247" s="9">
        <v>0</v>
      </c>
      <c r="O1247" s="9">
        <v>1</v>
      </c>
      <c r="P1247" s="9">
        <v>0</v>
      </c>
      <c r="Q1247" s="9">
        <f>MAX(-20,MIN(10,$A1247-VLOOKUP(YEAR($A1247),'Festive dates'!$A$2:$J$5,8,FALSE)))</f>
        <v>-20</v>
      </c>
      <c r="R1247" s="9">
        <f>IF(AND($A1247&gt;VLOOKUP(YEAR($A1247),'Festive dates'!$A$2:$J$5,2,FALSE),$A1247&lt;VLOOKUP(YEAR($A1247),'Festive dates'!$A$2:$J$5,3,FALSE)),1,0)</f>
        <v>0</v>
      </c>
      <c r="S1247" s="9">
        <f>IF($A1247=VLOOKUP(YEAR($A1247),'Festive dates'!$A$2:$J$5,2,FALSE),1,0)</f>
        <v>0</v>
      </c>
      <c r="T1247" s="9">
        <f>IF($A1247=VLOOKUP(YEAR($A1247),'Festive dates'!$A$2:$J$5,3,FALSE),1,0)</f>
        <v>0</v>
      </c>
      <c r="U1247" s="9">
        <f>IF($A1247=VLOOKUP(YEAR($A1247),'Festive dates'!$A$2:$J$5,4,FALSE),1,0)</f>
        <v>0</v>
      </c>
      <c r="V1247" s="9">
        <f>IF(AND($A1247&gt;=VLOOKUP(YEAR($A1247),'Festive dates'!$A$2:$J$5,9,FALSE),$A1247&lt;=VLOOKUP(YEAR($A1247),'Festive dates'!$A$2:$J$5,10,FALSE)),1,0)</f>
        <v>0</v>
      </c>
      <c r="W1247" s="9">
        <f>IF($A1247=VLOOKUP(YEAR($A1247),'Festive dates'!$A$2:$J$5,7,FALSE),1,0)</f>
        <v>0</v>
      </c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  <c r="AJ1247" s="1"/>
      <c r="AK1247" s="1"/>
      <c r="AL1247" s="1"/>
      <c r="AM1247" s="1"/>
      <c r="AN1247" s="1"/>
      <c r="AO1247" s="1"/>
      <c r="AP1247" s="1"/>
      <c r="AQ1247" s="1"/>
      <c r="AR1247" s="1"/>
      <c r="AS1247" s="1"/>
      <c r="AT1247" s="1"/>
      <c r="AU1247" s="1"/>
      <c r="AV1247" s="1"/>
      <c r="AW1247" s="1"/>
      <c r="AX1247" s="1"/>
      <c r="AY1247" s="1"/>
    </row>
    <row r="1248" spans="1:51">
      <c r="A1248" s="8">
        <v>46263</v>
      </c>
      <c r="B1248" s="9">
        <v>0</v>
      </c>
      <c r="C1248" s="9">
        <v>0</v>
      </c>
      <c r="D1248" s="9">
        <v>0</v>
      </c>
      <c r="E1248" s="9">
        <v>0</v>
      </c>
      <c r="F1248" s="9">
        <v>0</v>
      </c>
      <c r="G1248" s="9">
        <v>0</v>
      </c>
      <c r="H1248" s="9">
        <v>0</v>
      </c>
      <c r="I1248" s="9">
        <v>0</v>
      </c>
      <c r="J1248" s="9">
        <v>0</v>
      </c>
      <c r="K1248" s="9">
        <v>0</v>
      </c>
      <c r="L1248" s="9">
        <v>0</v>
      </c>
      <c r="M1248" s="9">
        <v>0</v>
      </c>
      <c r="N1248" s="9">
        <v>0</v>
      </c>
      <c r="O1248" s="9">
        <v>0</v>
      </c>
      <c r="P1248" s="9">
        <v>0</v>
      </c>
      <c r="Q1248" s="9">
        <f>MAX(-20,MIN(10,$A1248-VLOOKUP(YEAR($A1248),'Festive dates'!$A$2:$J$5,8,FALSE)))</f>
        <v>-20</v>
      </c>
      <c r="R1248" s="9">
        <f>IF(AND($A1248&gt;VLOOKUP(YEAR($A1248),'Festive dates'!$A$2:$J$5,2,FALSE),$A1248&lt;VLOOKUP(YEAR($A1248),'Festive dates'!$A$2:$J$5,3,FALSE)),1,0)</f>
        <v>0</v>
      </c>
      <c r="S1248" s="9">
        <f>IF($A1248=VLOOKUP(YEAR($A1248),'Festive dates'!$A$2:$J$5,2,FALSE),1,0)</f>
        <v>0</v>
      </c>
      <c r="T1248" s="9">
        <f>IF($A1248=VLOOKUP(YEAR($A1248),'Festive dates'!$A$2:$J$5,3,FALSE),1,0)</f>
        <v>0</v>
      </c>
      <c r="U1248" s="9">
        <f>IF($A1248=VLOOKUP(YEAR($A1248),'Festive dates'!$A$2:$J$5,4,FALSE),1,0)</f>
        <v>0</v>
      </c>
      <c r="V1248" s="9">
        <f>IF(AND($A1248&gt;=VLOOKUP(YEAR($A1248),'Festive dates'!$A$2:$J$5,9,FALSE),$A1248&lt;=VLOOKUP(YEAR($A1248),'Festive dates'!$A$2:$J$5,10,FALSE)),1,0)</f>
        <v>0</v>
      </c>
      <c r="W1248" s="9">
        <f>IF($A1248=VLOOKUP(YEAR($A1248),'Festive dates'!$A$2:$J$5,7,FALSE),1,0)</f>
        <v>0</v>
      </c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  <c r="AH1248" s="1"/>
      <c r="AI1248" s="1"/>
      <c r="AJ1248" s="1"/>
      <c r="AK1248" s="1"/>
      <c r="AL1248" s="1"/>
      <c r="AM1248" s="1"/>
      <c r="AN1248" s="1"/>
      <c r="AO1248" s="1"/>
      <c r="AP1248" s="1"/>
      <c r="AQ1248" s="1"/>
      <c r="AR1248" s="1"/>
      <c r="AS1248" s="1"/>
      <c r="AT1248" s="1"/>
      <c r="AU1248" s="1"/>
      <c r="AV1248" s="1"/>
      <c r="AW1248" s="1"/>
      <c r="AX1248" s="1"/>
      <c r="AY1248" s="1"/>
    </row>
    <row r="1249" spans="1:51">
      <c r="A1249" s="8">
        <v>46264</v>
      </c>
      <c r="B1249" s="9">
        <v>0</v>
      </c>
      <c r="C1249" s="9">
        <v>0</v>
      </c>
      <c r="D1249" s="9">
        <v>0</v>
      </c>
      <c r="E1249" s="9">
        <v>0</v>
      </c>
      <c r="F1249" s="9">
        <v>0</v>
      </c>
      <c r="G1249" s="9">
        <v>0</v>
      </c>
      <c r="H1249" s="9">
        <v>0</v>
      </c>
      <c r="I1249" s="9">
        <v>0</v>
      </c>
      <c r="J1249" s="9">
        <v>0</v>
      </c>
      <c r="K1249" s="9">
        <v>0</v>
      </c>
      <c r="L1249" s="9">
        <v>0</v>
      </c>
      <c r="M1249" s="9">
        <v>0</v>
      </c>
      <c r="N1249" s="9">
        <v>0</v>
      </c>
      <c r="O1249" s="9">
        <v>0</v>
      </c>
      <c r="P1249" s="9">
        <v>0</v>
      </c>
      <c r="Q1249" s="9">
        <f>MAX(-20,MIN(10,$A1249-VLOOKUP(YEAR($A1249),'Festive dates'!$A$2:$J$5,8,FALSE)))</f>
        <v>-20</v>
      </c>
      <c r="R1249" s="9">
        <f>IF(AND($A1249&gt;VLOOKUP(YEAR($A1249),'Festive dates'!$A$2:$J$5,2,FALSE),$A1249&lt;VLOOKUP(YEAR($A1249),'Festive dates'!$A$2:$J$5,3,FALSE)),1,0)</f>
        <v>0</v>
      </c>
      <c r="S1249" s="9">
        <f>IF($A1249=VLOOKUP(YEAR($A1249),'Festive dates'!$A$2:$J$5,2,FALSE),1,0)</f>
        <v>0</v>
      </c>
      <c r="T1249" s="9">
        <f>IF($A1249=VLOOKUP(YEAR($A1249),'Festive dates'!$A$2:$J$5,3,FALSE),1,0)</f>
        <v>0</v>
      </c>
      <c r="U1249" s="9">
        <f>IF($A1249=VLOOKUP(YEAR($A1249),'Festive dates'!$A$2:$J$5,4,FALSE),1,0)</f>
        <v>0</v>
      </c>
      <c r="V1249" s="9">
        <f>IF(AND($A1249&gt;=VLOOKUP(YEAR($A1249),'Festive dates'!$A$2:$J$5,9,FALSE),$A1249&lt;=VLOOKUP(YEAR($A1249),'Festive dates'!$A$2:$J$5,10,FALSE)),1,0)</f>
        <v>0</v>
      </c>
      <c r="W1249" s="9">
        <f>IF($A1249=VLOOKUP(YEAR($A1249),'Festive dates'!$A$2:$J$5,7,FALSE),1,0)</f>
        <v>0</v>
      </c>
      <c r="X1249" s="1"/>
      <c r="Y1249" s="1"/>
      <c r="Z1249" s="1"/>
      <c r="AA1249" s="1"/>
      <c r="AB1249" s="1"/>
      <c r="AC1249" s="1"/>
      <c r="AD1249" s="1"/>
      <c r="AE1249" s="1"/>
      <c r="AF1249" s="1"/>
      <c r="AG1249" s="1"/>
      <c r="AH1249" s="1"/>
      <c r="AI1249" s="1"/>
      <c r="AJ1249" s="1"/>
      <c r="AK1249" s="1"/>
      <c r="AL1249" s="1"/>
      <c r="AM1249" s="1"/>
      <c r="AN1249" s="1"/>
      <c r="AO1249" s="1"/>
      <c r="AP1249" s="1"/>
      <c r="AQ1249" s="1"/>
      <c r="AR1249" s="1"/>
      <c r="AS1249" s="1"/>
      <c r="AT1249" s="1"/>
      <c r="AU1249" s="1"/>
      <c r="AV1249" s="1"/>
      <c r="AW1249" s="1"/>
      <c r="AX1249" s="1"/>
      <c r="AY1249" s="1"/>
    </row>
    <row r="1250" spans="1:51">
      <c r="A1250" s="8">
        <v>46265</v>
      </c>
      <c r="B1250" s="9">
        <v>0</v>
      </c>
      <c r="C1250" s="9">
        <v>0</v>
      </c>
      <c r="D1250" s="9">
        <v>0</v>
      </c>
      <c r="E1250" s="9">
        <v>0</v>
      </c>
      <c r="F1250" s="9">
        <v>0</v>
      </c>
      <c r="G1250" s="9">
        <v>0</v>
      </c>
      <c r="H1250" s="9">
        <v>0</v>
      </c>
      <c r="I1250" s="9">
        <v>0</v>
      </c>
      <c r="J1250" s="9">
        <v>0</v>
      </c>
      <c r="K1250" s="9">
        <v>0</v>
      </c>
      <c r="L1250" s="9">
        <v>0</v>
      </c>
      <c r="M1250" s="9">
        <v>0</v>
      </c>
      <c r="N1250" s="9">
        <v>0</v>
      </c>
      <c r="O1250" s="9">
        <v>0</v>
      </c>
      <c r="P1250" s="9">
        <v>0</v>
      </c>
      <c r="Q1250" s="9">
        <f>MAX(-20,MIN(10,$A1250-VLOOKUP(YEAR($A1250),'Festive dates'!$A$2:$J$5,8,FALSE)))</f>
        <v>-20</v>
      </c>
      <c r="R1250" s="9">
        <f>IF(AND($A1250&gt;VLOOKUP(YEAR($A1250),'Festive dates'!$A$2:$J$5,2,FALSE),$A1250&lt;VLOOKUP(YEAR($A1250),'Festive dates'!$A$2:$J$5,3,FALSE)),1,0)</f>
        <v>0</v>
      </c>
      <c r="S1250" s="9">
        <f>IF($A1250=VLOOKUP(YEAR($A1250),'Festive dates'!$A$2:$J$5,2,FALSE),1,0)</f>
        <v>0</v>
      </c>
      <c r="T1250" s="9">
        <f>IF($A1250=VLOOKUP(YEAR($A1250),'Festive dates'!$A$2:$J$5,3,FALSE),1,0)</f>
        <v>0</v>
      </c>
      <c r="U1250" s="9">
        <f>IF($A1250=VLOOKUP(YEAR($A1250),'Festive dates'!$A$2:$J$5,4,FALSE),1,0)</f>
        <v>0</v>
      </c>
      <c r="V1250" s="9">
        <f>IF(AND($A1250&gt;=VLOOKUP(YEAR($A1250),'Festive dates'!$A$2:$J$5,9,FALSE),$A1250&lt;=VLOOKUP(YEAR($A1250),'Festive dates'!$A$2:$J$5,10,FALSE)),1,0)</f>
        <v>0</v>
      </c>
      <c r="W1250" s="9">
        <f>IF($A1250=VLOOKUP(YEAR($A1250),'Festive dates'!$A$2:$J$5,7,FALSE),1,0)</f>
        <v>0</v>
      </c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  <c r="AJ1250" s="1"/>
      <c r="AK1250" s="1"/>
      <c r="AL1250" s="1"/>
      <c r="AM1250" s="1"/>
      <c r="AN1250" s="1"/>
      <c r="AO1250" s="1"/>
      <c r="AP1250" s="1"/>
      <c r="AQ1250" s="1"/>
      <c r="AR1250" s="1"/>
      <c r="AS1250" s="1"/>
      <c r="AT1250" s="1"/>
      <c r="AU1250" s="1"/>
      <c r="AV1250" s="1"/>
      <c r="AW1250" s="1"/>
      <c r="AX1250" s="1"/>
      <c r="AY1250" s="1"/>
    </row>
    <row r="1251" spans="1:51">
      <c r="A1251" s="8">
        <v>46266</v>
      </c>
      <c r="B1251" s="9">
        <v>0</v>
      </c>
      <c r="C1251" s="9">
        <v>0</v>
      </c>
      <c r="D1251" s="9">
        <v>0</v>
      </c>
      <c r="E1251" s="9">
        <v>0</v>
      </c>
      <c r="F1251" s="9">
        <v>0</v>
      </c>
      <c r="G1251" s="9">
        <v>0</v>
      </c>
      <c r="H1251" s="9">
        <v>0</v>
      </c>
      <c r="I1251" s="9">
        <v>0</v>
      </c>
      <c r="J1251" s="9">
        <v>0</v>
      </c>
      <c r="K1251" s="9">
        <v>0</v>
      </c>
      <c r="L1251" s="9">
        <v>0</v>
      </c>
      <c r="M1251" s="9">
        <v>0</v>
      </c>
      <c r="N1251" s="9">
        <v>0</v>
      </c>
      <c r="O1251" s="9">
        <v>0</v>
      </c>
      <c r="P1251" s="9">
        <v>0</v>
      </c>
      <c r="Q1251" s="9">
        <f>MAX(-20,MIN(10,$A1251-VLOOKUP(YEAR($A1251),'Festive dates'!$A$2:$J$5,8,FALSE)))</f>
        <v>-20</v>
      </c>
      <c r="R1251" s="9">
        <f>IF(AND($A1251&gt;VLOOKUP(YEAR($A1251),'Festive dates'!$A$2:$J$5,2,FALSE),$A1251&lt;VLOOKUP(YEAR($A1251),'Festive dates'!$A$2:$J$5,3,FALSE)),1,0)</f>
        <v>0</v>
      </c>
      <c r="S1251" s="9">
        <f>IF($A1251=VLOOKUP(YEAR($A1251),'Festive dates'!$A$2:$J$5,2,FALSE),1,0)</f>
        <v>0</v>
      </c>
      <c r="T1251" s="9">
        <f>IF($A1251=VLOOKUP(YEAR($A1251),'Festive dates'!$A$2:$J$5,3,FALSE),1,0)</f>
        <v>0</v>
      </c>
      <c r="U1251" s="9">
        <f>IF($A1251=VLOOKUP(YEAR($A1251),'Festive dates'!$A$2:$J$5,4,FALSE),1,0)</f>
        <v>0</v>
      </c>
      <c r="V1251" s="9">
        <f>IF(AND($A1251&gt;=VLOOKUP(YEAR($A1251),'Festive dates'!$A$2:$J$5,9,FALSE),$A1251&lt;=VLOOKUP(YEAR($A1251),'Festive dates'!$A$2:$J$5,10,FALSE)),1,0)</f>
        <v>0</v>
      </c>
      <c r="W1251" s="9">
        <f>IF($A1251=VLOOKUP(YEAR($A1251),'Festive dates'!$A$2:$J$5,7,FALSE),1,0)</f>
        <v>0</v>
      </c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  <c r="AJ1251" s="1"/>
      <c r="AK1251" s="1"/>
      <c r="AL1251" s="1"/>
      <c r="AM1251" s="1"/>
      <c r="AN1251" s="1"/>
      <c r="AO1251" s="1"/>
      <c r="AP1251" s="1"/>
      <c r="AQ1251" s="1"/>
      <c r="AR1251" s="1"/>
      <c r="AS1251" s="1"/>
      <c r="AT1251" s="1"/>
      <c r="AU1251" s="1"/>
      <c r="AV1251" s="1"/>
      <c r="AW1251" s="1"/>
      <c r="AX1251" s="1"/>
      <c r="AY1251" s="1"/>
    </row>
    <row r="1252" spans="1:51">
      <c r="A1252" s="8">
        <v>46267</v>
      </c>
      <c r="B1252" s="9">
        <v>0</v>
      </c>
      <c r="C1252" s="9">
        <v>0</v>
      </c>
      <c r="D1252" s="9">
        <v>0</v>
      </c>
      <c r="E1252" s="9">
        <v>0</v>
      </c>
      <c r="F1252" s="9">
        <v>0</v>
      </c>
      <c r="G1252" s="9">
        <v>0</v>
      </c>
      <c r="H1252" s="9">
        <v>0</v>
      </c>
      <c r="I1252" s="9">
        <v>0</v>
      </c>
      <c r="J1252" s="9">
        <v>0</v>
      </c>
      <c r="K1252" s="9">
        <v>0</v>
      </c>
      <c r="L1252" s="9">
        <v>0</v>
      </c>
      <c r="M1252" s="9">
        <v>0</v>
      </c>
      <c r="N1252" s="9">
        <v>0</v>
      </c>
      <c r="O1252" s="9">
        <v>0</v>
      </c>
      <c r="P1252" s="9">
        <v>0</v>
      </c>
      <c r="Q1252" s="9">
        <f>MAX(-20,MIN(10,$A1252-VLOOKUP(YEAR($A1252),'Festive dates'!$A$2:$J$5,8,FALSE)))</f>
        <v>-20</v>
      </c>
      <c r="R1252" s="9">
        <f>IF(AND($A1252&gt;VLOOKUP(YEAR($A1252),'Festive dates'!$A$2:$J$5,2,FALSE),$A1252&lt;VLOOKUP(YEAR($A1252),'Festive dates'!$A$2:$J$5,3,FALSE)),1,0)</f>
        <v>0</v>
      </c>
      <c r="S1252" s="9">
        <f>IF($A1252=VLOOKUP(YEAR($A1252),'Festive dates'!$A$2:$J$5,2,FALSE),1,0)</f>
        <v>0</v>
      </c>
      <c r="T1252" s="9">
        <f>IF($A1252=VLOOKUP(YEAR($A1252),'Festive dates'!$A$2:$J$5,3,FALSE),1,0)</f>
        <v>0</v>
      </c>
      <c r="U1252" s="9">
        <f>IF($A1252=VLOOKUP(YEAR($A1252),'Festive dates'!$A$2:$J$5,4,FALSE),1,0)</f>
        <v>0</v>
      </c>
      <c r="V1252" s="9">
        <f>IF(AND($A1252&gt;=VLOOKUP(YEAR($A1252),'Festive dates'!$A$2:$J$5,9,FALSE),$A1252&lt;=VLOOKUP(YEAR($A1252),'Festive dates'!$A$2:$J$5,10,FALSE)),1,0)</f>
        <v>0</v>
      </c>
      <c r="W1252" s="9">
        <f>IF($A1252=VLOOKUP(YEAR($A1252),'Festive dates'!$A$2:$J$5,7,FALSE),1,0)</f>
        <v>0</v>
      </c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  <c r="AJ1252" s="1"/>
      <c r="AK1252" s="1"/>
      <c r="AL1252" s="1"/>
      <c r="AM1252" s="1"/>
      <c r="AN1252" s="1"/>
      <c r="AO1252" s="1"/>
      <c r="AP1252" s="1"/>
      <c r="AQ1252" s="1"/>
      <c r="AR1252" s="1"/>
      <c r="AS1252" s="1"/>
      <c r="AT1252" s="1"/>
      <c r="AU1252" s="1"/>
      <c r="AV1252" s="1"/>
      <c r="AW1252" s="1"/>
      <c r="AX1252" s="1"/>
      <c r="AY1252" s="1"/>
    </row>
    <row r="1253" spans="1:51">
      <c r="A1253" s="8">
        <v>46268</v>
      </c>
      <c r="B1253" s="9">
        <v>0</v>
      </c>
      <c r="C1253" s="9">
        <v>0</v>
      </c>
      <c r="D1253" s="9">
        <v>0</v>
      </c>
      <c r="E1253" s="9">
        <v>0</v>
      </c>
      <c r="F1253" s="9">
        <v>0</v>
      </c>
      <c r="G1253" s="9">
        <v>0</v>
      </c>
      <c r="H1253" s="9">
        <v>0</v>
      </c>
      <c r="I1253" s="9">
        <v>0</v>
      </c>
      <c r="J1253" s="9">
        <v>0</v>
      </c>
      <c r="K1253" s="9">
        <v>0</v>
      </c>
      <c r="L1253" s="9">
        <v>0</v>
      </c>
      <c r="M1253" s="9">
        <v>0</v>
      </c>
      <c r="N1253" s="9">
        <v>0</v>
      </c>
      <c r="O1253" s="9">
        <v>0</v>
      </c>
      <c r="P1253" s="9">
        <v>0</v>
      </c>
      <c r="Q1253" s="9">
        <f>MAX(-20,MIN(10,$A1253-VLOOKUP(YEAR($A1253),'Festive dates'!$A$2:$J$5,8,FALSE)))</f>
        <v>-20</v>
      </c>
      <c r="R1253" s="9">
        <f>IF(AND($A1253&gt;VLOOKUP(YEAR($A1253),'Festive dates'!$A$2:$J$5,2,FALSE),$A1253&lt;VLOOKUP(YEAR($A1253),'Festive dates'!$A$2:$J$5,3,FALSE)),1,0)</f>
        <v>0</v>
      </c>
      <c r="S1253" s="9">
        <f>IF($A1253=VLOOKUP(YEAR($A1253),'Festive dates'!$A$2:$J$5,2,FALSE),1,0)</f>
        <v>0</v>
      </c>
      <c r="T1253" s="9">
        <f>IF($A1253=VLOOKUP(YEAR($A1253),'Festive dates'!$A$2:$J$5,3,FALSE),1,0)</f>
        <v>0</v>
      </c>
      <c r="U1253" s="9">
        <f>IF($A1253=VLOOKUP(YEAR($A1253),'Festive dates'!$A$2:$J$5,4,FALSE),1,0)</f>
        <v>0</v>
      </c>
      <c r="V1253" s="9">
        <f>IF(AND($A1253&gt;=VLOOKUP(YEAR($A1253),'Festive dates'!$A$2:$J$5,9,FALSE),$A1253&lt;=VLOOKUP(YEAR($A1253),'Festive dates'!$A$2:$J$5,10,FALSE)),1,0)</f>
        <v>0</v>
      </c>
      <c r="W1253" s="9">
        <f>IF($A1253=VLOOKUP(YEAR($A1253),'Festive dates'!$A$2:$J$5,7,FALSE),1,0)</f>
        <v>0</v>
      </c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  <c r="AJ1253" s="1"/>
      <c r="AK1253" s="1"/>
      <c r="AL1253" s="1"/>
      <c r="AM1253" s="1"/>
      <c r="AN1253" s="1"/>
      <c r="AO1253" s="1"/>
      <c r="AP1253" s="1"/>
      <c r="AQ1253" s="1"/>
      <c r="AR1253" s="1"/>
      <c r="AS1253" s="1"/>
      <c r="AT1253" s="1"/>
      <c r="AU1253" s="1"/>
      <c r="AV1253" s="1"/>
      <c r="AW1253" s="1"/>
      <c r="AX1253" s="1"/>
      <c r="AY1253" s="1"/>
    </row>
    <row r="1254" spans="1:51">
      <c r="A1254" s="8">
        <v>46269</v>
      </c>
      <c r="B1254" s="9">
        <v>0</v>
      </c>
      <c r="C1254" s="9">
        <v>0</v>
      </c>
      <c r="D1254" s="9">
        <v>1</v>
      </c>
      <c r="E1254" s="9">
        <v>0</v>
      </c>
      <c r="F1254" s="9">
        <v>0</v>
      </c>
      <c r="G1254" s="9">
        <v>0</v>
      </c>
      <c r="H1254" s="9">
        <v>0</v>
      </c>
      <c r="I1254" s="9">
        <v>0</v>
      </c>
      <c r="J1254" s="9">
        <v>0</v>
      </c>
      <c r="K1254" s="9">
        <v>0</v>
      </c>
      <c r="L1254" s="9">
        <v>0</v>
      </c>
      <c r="M1254" s="9">
        <v>0</v>
      </c>
      <c r="N1254" s="9">
        <v>0</v>
      </c>
      <c r="O1254" s="9">
        <v>0</v>
      </c>
      <c r="P1254" s="9">
        <v>0</v>
      </c>
      <c r="Q1254" s="9">
        <f>MAX(-20,MIN(10,$A1254-VLOOKUP(YEAR($A1254),'Festive dates'!$A$2:$J$5,8,FALSE)))</f>
        <v>-20</v>
      </c>
      <c r="R1254" s="9">
        <f>IF(AND($A1254&gt;VLOOKUP(YEAR($A1254),'Festive dates'!$A$2:$J$5,2,FALSE),$A1254&lt;VLOOKUP(YEAR($A1254),'Festive dates'!$A$2:$J$5,3,FALSE)),1,0)</f>
        <v>0</v>
      </c>
      <c r="S1254" s="9">
        <f>IF($A1254=VLOOKUP(YEAR($A1254),'Festive dates'!$A$2:$J$5,2,FALSE),1,0)</f>
        <v>0</v>
      </c>
      <c r="T1254" s="9">
        <f>IF($A1254=VLOOKUP(YEAR($A1254),'Festive dates'!$A$2:$J$5,3,FALSE),1,0)</f>
        <v>0</v>
      </c>
      <c r="U1254" s="9">
        <f>IF($A1254=VLOOKUP(YEAR($A1254),'Festive dates'!$A$2:$J$5,4,FALSE),1,0)</f>
        <v>0</v>
      </c>
      <c r="V1254" s="9">
        <f>IF(AND($A1254&gt;=VLOOKUP(YEAR($A1254),'Festive dates'!$A$2:$J$5,9,FALSE),$A1254&lt;=VLOOKUP(YEAR($A1254),'Festive dates'!$A$2:$J$5,10,FALSE)),1,0)</f>
        <v>0</v>
      </c>
      <c r="W1254" s="9">
        <f>IF($A1254=VLOOKUP(YEAR($A1254),'Festive dates'!$A$2:$J$5,7,FALSE),1,0)</f>
        <v>0</v>
      </c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  <c r="AJ1254" s="1"/>
      <c r="AK1254" s="1"/>
      <c r="AL1254" s="1"/>
      <c r="AM1254" s="1"/>
      <c r="AN1254" s="1"/>
      <c r="AO1254" s="1"/>
      <c r="AP1254" s="1"/>
      <c r="AQ1254" s="1"/>
      <c r="AR1254" s="1"/>
      <c r="AS1254" s="1"/>
      <c r="AT1254" s="1"/>
      <c r="AU1254" s="1"/>
      <c r="AV1254" s="1"/>
      <c r="AW1254" s="1"/>
      <c r="AX1254" s="1"/>
      <c r="AY1254" s="1"/>
    </row>
    <row r="1255" spans="1:51">
      <c r="A1255" s="8">
        <v>46270</v>
      </c>
      <c r="B1255" s="9">
        <v>0</v>
      </c>
      <c r="C1255" s="9">
        <v>0</v>
      </c>
      <c r="D1255" s="9">
        <v>0</v>
      </c>
      <c r="E1255" s="9">
        <v>0</v>
      </c>
      <c r="F1255" s="9">
        <v>0</v>
      </c>
      <c r="G1255" s="9">
        <v>0</v>
      </c>
      <c r="H1255" s="9">
        <v>0</v>
      </c>
      <c r="I1255" s="9">
        <v>0</v>
      </c>
      <c r="J1255" s="9">
        <v>0</v>
      </c>
      <c r="K1255" s="9">
        <v>0</v>
      </c>
      <c r="L1255" s="9">
        <v>0</v>
      </c>
      <c r="M1255" s="9">
        <v>0</v>
      </c>
      <c r="N1255" s="9">
        <v>0</v>
      </c>
      <c r="O1255" s="9">
        <v>0</v>
      </c>
      <c r="P1255" s="9">
        <v>0</v>
      </c>
      <c r="Q1255" s="9">
        <f>MAX(-20,MIN(10,$A1255-VLOOKUP(YEAR($A1255),'Festive dates'!$A$2:$J$5,8,FALSE)))</f>
        <v>-20</v>
      </c>
      <c r="R1255" s="9">
        <f>IF(AND($A1255&gt;VLOOKUP(YEAR($A1255),'Festive dates'!$A$2:$J$5,2,FALSE),$A1255&lt;VLOOKUP(YEAR($A1255),'Festive dates'!$A$2:$J$5,3,FALSE)),1,0)</f>
        <v>0</v>
      </c>
      <c r="S1255" s="9">
        <f>IF($A1255=VLOOKUP(YEAR($A1255),'Festive dates'!$A$2:$J$5,2,FALSE),1,0)</f>
        <v>0</v>
      </c>
      <c r="T1255" s="9">
        <f>IF($A1255=VLOOKUP(YEAR($A1255),'Festive dates'!$A$2:$J$5,3,FALSE),1,0)</f>
        <v>0</v>
      </c>
      <c r="U1255" s="9">
        <f>IF($A1255=VLOOKUP(YEAR($A1255),'Festive dates'!$A$2:$J$5,4,FALSE),1,0)</f>
        <v>0</v>
      </c>
      <c r="V1255" s="9">
        <f>IF(AND($A1255&gt;=VLOOKUP(YEAR($A1255),'Festive dates'!$A$2:$J$5,9,FALSE),$A1255&lt;=VLOOKUP(YEAR($A1255),'Festive dates'!$A$2:$J$5,10,FALSE)),1,0)</f>
        <v>0</v>
      </c>
      <c r="W1255" s="9">
        <f>IF($A1255=VLOOKUP(YEAR($A1255),'Festive dates'!$A$2:$J$5,7,FALSE),1,0)</f>
        <v>0</v>
      </c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  <c r="AH1255" s="1"/>
      <c r="AI1255" s="1"/>
      <c r="AJ1255" s="1"/>
      <c r="AK1255" s="1"/>
      <c r="AL1255" s="1"/>
      <c r="AM1255" s="1"/>
      <c r="AN1255" s="1"/>
      <c r="AO1255" s="1"/>
      <c r="AP1255" s="1"/>
      <c r="AQ1255" s="1"/>
      <c r="AR1255" s="1"/>
      <c r="AS1255" s="1"/>
      <c r="AT1255" s="1"/>
      <c r="AU1255" s="1"/>
      <c r="AV1255" s="1"/>
      <c r="AW1255" s="1"/>
      <c r="AX1255" s="1"/>
      <c r="AY1255" s="1"/>
    </row>
    <row r="1256" spans="1:51">
      <c r="A1256" s="8">
        <v>46271</v>
      </c>
      <c r="B1256" s="9">
        <v>0</v>
      </c>
      <c r="C1256" s="9">
        <v>0</v>
      </c>
      <c r="D1256" s="9">
        <v>0</v>
      </c>
      <c r="E1256" s="9">
        <v>0</v>
      </c>
      <c r="F1256" s="9">
        <v>0</v>
      </c>
      <c r="G1256" s="9">
        <v>0</v>
      </c>
      <c r="H1256" s="9">
        <v>0</v>
      </c>
      <c r="I1256" s="9">
        <v>0</v>
      </c>
      <c r="J1256" s="9">
        <v>0</v>
      </c>
      <c r="K1256" s="9">
        <v>0</v>
      </c>
      <c r="L1256" s="9">
        <v>0</v>
      </c>
      <c r="M1256" s="9">
        <v>0</v>
      </c>
      <c r="N1256" s="9">
        <v>0</v>
      </c>
      <c r="O1256" s="9">
        <v>0</v>
      </c>
      <c r="P1256" s="9">
        <v>0</v>
      </c>
      <c r="Q1256" s="9">
        <f>MAX(-20,MIN(10,$A1256-VLOOKUP(YEAR($A1256),'Festive dates'!$A$2:$J$5,8,FALSE)))</f>
        <v>-20</v>
      </c>
      <c r="R1256" s="9">
        <f>IF(AND($A1256&gt;VLOOKUP(YEAR($A1256),'Festive dates'!$A$2:$J$5,2,FALSE),$A1256&lt;VLOOKUP(YEAR($A1256),'Festive dates'!$A$2:$J$5,3,FALSE)),1,0)</f>
        <v>0</v>
      </c>
      <c r="S1256" s="9">
        <f>IF($A1256=VLOOKUP(YEAR($A1256),'Festive dates'!$A$2:$J$5,2,FALSE),1,0)</f>
        <v>0</v>
      </c>
      <c r="T1256" s="9">
        <f>IF($A1256=VLOOKUP(YEAR($A1256),'Festive dates'!$A$2:$J$5,3,FALSE),1,0)</f>
        <v>0</v>
      </c>
      <c r="U1256" s="9">
        <f>IF($A1256=VLOOKUP(YEAR($A1256),'Festive dates'!$A$2:$J$5,4,FALSE),1,0)</f>
        <v>0</v>
      </c>
      <c r="V1256" s="9">
        <f>IF(AND($A1256&gt;=VLOOKUP(YEAR($A1256),'Festive dates'!$A$2:$J$5,9,FALSE),$A1256&lt;=VLOOKUP(YEAR($A1256),'Festive dates'!$A$2:$J$5,10,FALSE)),1,0)</f>
        <v>0</v>
      </c>
      <c r="W1256" s="9">
        <f>IF($A1256=VLOOKUP(YEAR($A1256),'Festive dates'!$A$2:$J$5,7,FALSE),1,0)</f>
        <v>0</v>
      </c>
      <c r="X1256" s="1"/>
      <c r="Y1256" s="1"/>
      <c r="Z1256" s="1"/>
      <c r="AA1256" s="1"/>
      <c r="AB1256" s="1"/>
      <c r="AC1256" s="1"/>
      <c r="AD1256" s="1"/>
      <c r="AE1256" s="1"/>
      <c r="AF1256" s="1"/>
      <c r="AG1256" s="1"/>
      <c r="AH1256" s="1"/>
      <c r="AI1256" s="1"/>
      <c r="AJ1256" s="1"/>
      <c r="AK1256" s="1"/>
      <c r="AL1256" s="1"/>
      <c r="AM1256" s="1"/>
      <c r="AN1256" s="1"/>
      <c r="AO1256" s="1"/>
      <c r="AP1256" s="1"/>
      <c r="AQ1256" s="1"/>
      <c r="AR1256" s="1"/>
      <c r="AS1256" s="1"/>
      <c r="AT1256" s="1"/>
      <c r="AU1256" s="1"/>
      <c r="AV1256" s="1"/>
      <c r="AW1256" s="1"/>
      <c r="AX1256" s="1"/>
      <c r="AY1256" s="1"/>
    </row>
    <row r="1257" spans="1:51">
      <c r="A1257" s="8">
        <v>46272</v>
      </c>
      <c r="B1257" s="9">
        <v>0</v>
      </c>
      <c r="C1257" s="9">
        <v>0</v>
      </c>
      <c r="D1257" s="9">
        <v>0</v>
      </c>
      <c r="E1257" s="9">
        <v>0</v>
      </c>
      <c r="F1257" s="9">
        <v>0</v>
      </c>
      <c r="G1257" s="9">
        <v>0</v>
      </c>
      <c r="H1257" s="9">
        <v>0</v>
      </c>
      <c r="I1257" s="9">
        <v>0</v>
      </c>
      <c r="J1257" s="9">
        <v>0</v>
      </c>
      <c r="K1257" s="9">
        <v>0</v>
      </c>
      <c r="L1257" s="9">
        <v>0</v>
      </c>
      <c r="M1257" s="9">
        <v>0</v>
      </c>
      <c r="N1257" s="9">
        <v>0</v>
      </c>
      <c r="O1257" s="9">
        <v>0</v>
      </c>
      <c r="P1257" s="9">
        <v>0</v>
      </c>
      <c r="Q1257" s="9">
        <f>MAX(-20,MIN(10,$A1257-VLOOKUP(YEAR($A1257),'Festive dates'!$A$2:$J$5,8,FALSE)))</f>
        <v>-20</v>
      </c>
      <c r="R1257" s="9">
        <f>IF(AND($A1257&gt;VLOOKUP(YEAR($A1257),'Festive dates'!$A$2:$J$5,2,FALSE),$A1257&lt;VLOOKUP(YEAR($A1257),'Festive dates'!$A$2:$J$5,3,FALSE)),1,0)</f>
        <v>0</v>
      </c>
      <c r="S1257" s="9">
        <f>IF($A1257=VLOOKUP(YEAR($A1257),'Festive dates'!$A$2:$J$5,2,FALSE),1,0)</f>
        <v>0</v>
      </c>
      <c r="T1257" s="9">
        <f>IF($A1257=VLOOKUP(YEAR($A1257),'Festive dates'!$A$2:$J$5,3,FALSE),1,0)</f>
        <v>0</v>
      </c>
      <c r="U1257" s="9">
        <f>IF($A1257=VLOOKUP(YEAR($A1257),'Festive dates'!$A$2:$J$5,4,FALSE),1,0)</f>
        <v>0</v>
      </c>
      <c r="V1257" s="9">
        <f>IF(AND($A1257&gt;=VLOOKUP(YEAR($A1257),'Festive dates'!$A$2:$J$5,9,FALSE),$A1257&lt;=VLOOKUP(YEAR($A1257),'Festive dates'!$A$2:$J$5,10,FALSE)),1,0)</f>
        <v>0</v>
      </c>
      <c r="W1257" s="9">
        <f>IF($A1257=VLOOKUP(YEAR($A1257),'Festive dates'!$A$2:$J$5,7,FALSE),1,0)</f>
        <v>0</v>
      </c>
      <c r="X1257" s="1"/>
      <c r="Y1257" s="1"/>
      <c r="Z1257" s="1"/>
      <c r="AA1257" s="1"/>
      <c r="AB1257" s="1"/>
      <c r="AC1257" s="1"/>
      <c r="AD1257" s="1"/>
      <c r="AE1257" s="1"/>
      <c r="AF1257" s="1"/>
      <c r="AG1257" s="1"/>
      <c r="AH1257" s="1"/>
      <c r="AI1257" s="1"/>
      <c r="AJ1257" s="1"/>
      <c r="AK1257" s="1"/>
      <c r="AL1257" s="1"/>
      <c r="AM1257" s="1"/>
      <c r="AN1257" s="1"/>
      <c r="AO1257" s="1"/>
      <c r="AP1257" s="1"/>
      <c r="AQ1257" s="1"/>
      <c r="AR1257" s="1"/>
      <c r="AS1257" s="1"/>
      <c r="AT1257" s="1"/>
      <c r="AU1257" s="1"/>
      <c r="AV1257" s="1"/>
      <c r="AW1257" s="1"/>
      <c r="AX1257" s="1"/>
      <c r="AY1257" s="1"/>
    </row>
    <row r="1258" spans="1:51">
      <c r="A1258" s="8">
        <v>46273</v>
      </c>
      <c r="B1258" s="9">
        <v>0</v>
      </c>
      <c r="C1258" s="9">
        <v>0</v>
      </c>
      <c r="D1258" s="9">
        <v>0</v>
      </c>
      <c r="E1258" s="9">
        <v>0</v>
      </c>
      <c r="F1258" s="9">
        <v>0</v>
      </c>
      <c r="G1258" s="9">
        <v>0</v>
      </c>
      <c r="H1258" s="9">
        <v>0</v>
      </c>
      <c r="I1258" s="9">
        <v>0</v>
      </c>
      <c r="J1258" s="9">
        <v>0</v>
      </c>
      <c r="K1258" s="9">
        <v>0</v>
      </c>
      <c r="L1258" s="9">
        <v>0</v>
      </c>
      <c r="M1258" s="9">
        <v>0</v>
      </c>
      <c r="N1258" s="9">
        <v>0</v>
      </c>
      <c r="O1258" s="9">
        <v>0</v>
      </c>
      <c r="P1258" s="9">
        <v>0</v>
      </c>
      <c r="Q1258" s="9">
        <f>MAX(-20,MIN(10,$A1258-VLOOKUP(YEAR($A1258),'Festive dates'!$A$2:$J$5,8,FALSE)))</f>
        <v>-20</v>
      </c>
      <c r="R1258" s="9">
        <f>IF(AND($A1258&gt;VLOOKUP(YEAR($A1258),'Festive dates'!$A$2:$J$5,2,FALSE),$A1258&lt;VLOOKUP(YEAR($A1258),'Festive dates'!$A$2:$J$5,3,FALSE)),1,0)</f>
        <v>0</v>
      </c>
      <c r="S1258" s="9">
        <f>IF($A1258=VLOOKUP(YEAR($A1258),'Festive dates'!$A$2:$J$5,2,FALSE),1,0)</f>
        <v>0</v>
      </c>
      <c r="T1258" s="9">
        <f>IF($A1258=VLOOKUP(YEAR($A1258),'Festive dates'!$A$2:$J$5,3,FALSE),1,0)</f>
        <v>0</v>
      </c>
      <c r="U1258" s="9">
        <f>IF($A1258=VLOOKUP(YEAR($A1258),'Festive dates'!$A$2:$J$5,4,FALSE),1,0)</f>
        <v>0</v>
      </c>
      <c r="V1258" s="9">
        <f>IF(AND($A1258&gt;=VLOOKUP(YEAR($A1258),'Festive dates'!$A$2:$J$5,9,FALSE),$A1258&lt;=VLOOKUP(YEAR($A1258),'Festive dates'!$A$2:$J$5,10,FALSE)),1,0)</f>
        <v>0</v>
      </c>
      <c r="W1258" s="9">
        <f>IF($A1258=VLOOKUP(YEAR($A1258),'Festive dates'!$A$2:$J$5,7,FALSE),1,0)</f>
        <v>0</v>
      </c>
      <c r="X1258" s="1"/>
      <c r="Y1258" s="1"/>
      <c r="Z1258" s="1"/>
      <c r="AA1258" s="1"/>
      <c r="AB1258" s="1"/>
      <c r="AC1258" s="1"/>
      <c r="AD1258" s="1"/>
      <c r="AE1258" s="1"/>
      <c r="AF1258" s="1"/>
      <c r="AG1258" s="1"/>
      <c r="AH1258" s="1"/>
      <c r="AI1258" s="1"/>
      <c r="AJ1258" s="1"/>
      <c r="AK1258" s="1"/>
      <c r="AL1258" s="1"/>
      <c r="AM1258" s="1"/>
      <c r="AN1258" s="1"/>
      <c r="AO1258" s="1"/>
      <c r="AP1258" s="1"/>
      <c r="AQ1258" s="1"/>
      <c r="AR1258" s="1"/>
      <c r="AS1258" s="1"/>
      <c r="AT1258" s="1"/>
      <c r="AU1258" s="1"/>
      <c r="AV1258" s="1"/>
      <c r="AW1258" s="1"/>
      <c r="AX1258" s="1"/>
      <c r="AY1258" s="1"/>
    </row>
    <row r="1259" spans="1:51">
      <c r="A1259" s="8">
        <v>46274</v>
      </c>
      <c r="B1259" s="9">
        <v>0</v>
      </c>
      <c r="C1259" s="9">
        <v>0</v>
      </c>
      <c r="D1259" s="9">
        <v>0</v>
      </c>
      <c r="E1259" s="9">
        <v>0</v>
      </c>
      <c r="F1259" s="9">
        <v>0</v>
      </c>
      <c r="G1259" s="9">
        <v>0</v>
      </c>
      <c r="H1259" s="9">
        <v>0</v>
      </c>
      <c r="I1259" s="9">
        <v>0</v>
      </c>
      <c r="J1259" s="9">
        <v>0</v>
      </c>
      <c r="K1259" s="9">
        <v>0</v>
      </c>
      <c r="L1259" s="9">
        <v>0</v>
      </c>
      <c r="M1259" s="9">
        <v>0</v>
      </c>
      <c r="N1259" s="9">
        <v>0</v>
      </c>
      <c r="O1259" s="9">
        <v>0</v>
      </c>
      <c r="P1259" s="9">
        <v>0</v>
      </c>
      <c r="Q1259" s="9">
        <f>MAX(-20,MIN(10,$A1259-VLOOKUP(YEAR($A1259),'Festive dates'!$A$2:$J$5,8,FALSE)))</f>
        <v>-20</v>
      </c>
      <c r="R1259" s="9">
        <f>IF(AND($A1259&gt;VLOOKUP(YEAR($A1259),'Festive dates'!$A$2:$J$5,2,FALSE),$A1259&lt;VLOOKUP(YEAR($A1259),'Festive dates'!$A$2:$J$5,3,FALSE)),1,0)</f>
        <v>0</v>
      </c>
      <c r="S1259" s="9">
        <f>IF($A1259=VLOOKUP(YEAR($A1259),'Festive dates'!$A$2:$J$5,2,FALSE),1,0)</f>
        <v>0</v>
      </c>
      <c r="T1259" s="9">
        <f>IF($A1259=VLOOKUP(YEAR($A1259),'Festive dates'!$A$2:$J$5,3,FALSE),1,0)</f>
        <v>0</v>
      </c>
      <c r="U1259" s="9">
        <f>IF($A1259=VLOOKUP(YEAR($A1259),'Festive dates'!$A$2:$J$5,4,FALSE),1,0)</f>
        <v>0</v>
      </c>
      <c r="V1259" s="9">
        <f>IF(AND($A1259&gt;=VLOOKUP(YEAR($A1259),'Festive dates'!$A$2:$J$5,9,FALSE),$A1259&lt;=VLOOKUP(YEAR($A1259),'Festive dates'!$A$2:$J$5,10,FALSE)),1,0)</f>
        <v>0</v>
      </c>
      <c r="W1259" s="9">
        <f>IF($A1259=VLOOKUP(YEAR($A1259),'Festive dates'!$A$2:$J$5,7,FALSE),1,0)</f>
        <v>0</v>
      </c>
      <c r="X1259" s="1"/>
      <c r="Y1259" s="1"/>
      <c r="Z1259" s="1"/>
      <c r="AA1259" s="1"/>
      <c r="AB1259" s="1"/>
      <c r="AC1259" s="1"/>
      <c r="AD1259" s="1"/>
      <c r="AE1259" s="1"/>
      <c r="AF1259" s="1"/>
      <c r="AG1259" s="1"/>
      <c r="AH1259" s="1"/>
      <c r="AI1259" s="1"/>
      <c r="AJ1259" s="1"/>
      <c r="AK1259" s="1"/>
      <c r="AL1259" s="1"/>
      <c r="AM1259" s="1"/>
      <c r="AN1259" s="1"/>
      <c r="AO1259" s="1"/>
      <c r="AP1259" s="1"/>
      <c r="AQ1259" s="1"/>
      <c r="AR1259" s="1"/>
      <c r="AS1259" s="1"/>
      <c r="AT1259" s="1"/>
      <c r="AU1259" s="1"/>
      <c r="AV1259" s="1"/>
      <c r="AW1259" s="1"/>
      <c r="AX1259" s="1"/>
      <c r="AY1259" s="1"/>
    </row>
    <row r="1260" spans="1:51">
      <c r="A1260" s="8">
        <v>46275</v>
      </c>
      <c r="B1260" s="9">
        <v>0</v>
      </c>
      <c r="C1260" s="9">
        <v>0</v>
      </c>
      <c r="D1260" s="9">
        <v>0</v>
      </c>
      <c r="E1260" s="9">
        <v>0</v>
      </c>
      <c r="F1260" s="9">
        <v>0</v>
      </c>
      <c r="G1260" s="9">
        <v>0</v>
      </c>
      <c r="H1260" s="9">
        <v>0</v>
      </c>
      <c r="I1260" s="9">
        <v>0</v>
      </c>
      <c r="J1260" s="9">
        <v>0</v>
      </c>
      <c r="K1260" s="9">
        <v>0</v>
      </c>
      <c r="L1260" s="9">
        <v>0</v>
      </c>
      <c r="M1260" s="9">
        <v>0</v>
      </c>
      <c r="N1260" s="9">
        <v>0</v>
      </c>
      <c r="O1260" s="9">
        <v>0</v>
      </c>
      <c r="P1260" s="9">
        <v>0</v>
      </c>
      <c r="Q1260" s="9">
        <f>MAX(-20,MIN(10,$A1260-VLOOKUP(YEAR($A1260),'Festive dates'!$A$2:$J$5,8,FALSE)))</f>
        <v>-20</v>
      </c>
      <c r="R1260" s="9">
        <f>IF(AND($A1260&gt;VLOOKUP(YEAR($A1260),'Festive dates'!$A$2:$J$5,2,FALSE),$A1260&lt;VLOOKUP(YEAR($A1260),'Festive dates'!$A$2:$J$5,3,FALSE)),1,0)</f>
        <v>0</v>
      </c>
      <c r="S1260" s="9">
        <f>IF($A1260=VLOOKUP(YEAR($A1260),'Festive dates'!$A$2:$J$5,2,FALSE),1,0)</f>
        <v>0</v>
      </c>
      <c r="T1260" s="9">
        <f>IF($A1260=VLOOKUP(YEAR($A1260),'Festive dates'!$A$2:$J$5,3,FALSE),1,0)</f>
        <v>0</v>
      </c>
      <c r="U1260" s="9">
        <f>IF($A1260=VLOOKUP(YEAR($A1260),'Festive dates'!$A$2:$J$5,4,FALSE),1,0)</f>
        <v>0</v>
      </c>
      <c r="V1260" s="9">
        <f>IF(AND($A1260&gt;=VLOOKUP(YEAR($A1260),'Festive dates'!$A$2:$J$5,9,FALSE),$A1260&lt;=VLOOKUP(YEAR($A1260),'Festive dates'!$A$2:$J$5,10,FALSE)),1,0)</f>
        <v>0</v>
      </c>
      <c r="W1260" s="9">
        <f>IF($A1260=VLOOKUP(YEAR($A1260),'Festive dates'!$A$2:$J$5,7,FALSE),1,0)</f>
        <v>0</v>
      </c>
      <c r="X1260" s="1"/>
      <c r="Y1260" s="1"/>
      <c r="Z1260" s="1"/>
      <c r="AA1260" s="1"/>
      <c r="AB1260" s="1"/>
      <c r="AC1260" s="1"/>
      <c r="AD1260" s="1"/>
      <c r="AE1260" s="1"/>
      <c r="AF1260" s="1"/>
      <c r="AG1260" s="1"/>
      <c r="AH1260" s="1"/>
      <c r="AI1260" s="1"/>
      <c r="AJ1260" s="1"/>
      <c r="AK1260" s="1"/>
      <c r="AL1260" s="1"/>
      <c r="AM1260" s="1"/>
      <c r="AN1260" s="1"/>
      <c r="AO1260" s="1"/>
      <c r="AP1260" s="1"/>
      <c r="AQ1260" s="1"/>
      <c r="AR1260" s="1"/>
      <c r="AS1260" s="1"/>
      <c r="AT1260" s="1"/>
      <c r="AU1260" s="1"/>
      <c r="AV1260" s="1"/>
      <c r="AW1260" s="1"/>
      <c r="AX1260" s="1"/>
      <c r="AY1260" s="1"/>
    </row>
    <row r="1261" spans="1:51">
      <c r="A1261" s="8">
        <v>46276</v>
      </c>
      <c r="B1261" s="9">
        <v>0</v>
      </c>
      <c r="C1261" s="9">
        <v>0</v>
      </c>
      <c r="D1261" s="9">
        <v>0</v>
      </c>
      <c r="E1261" s="9">
        <v>0</v>
      </c>
      <c r="F1261" s="9">
        <v>0</v>
      </c>
      <c r="G1261" s="9">
        <v>0</v>
      </c>
      <c r="H1261" s="9">
        <v>0</v>
      </c>
      <c r="I1261" s="9">
        <v>0</v>
      </c>
      <c r="J1261" s="9">
        <v>0</v>
      </c>
      <c r="K1261" s="9">
        <v>0</v>
      </c>
      <c r="L1261" s="9">
        <v>0</v>
      </c>
      <c r="M1261" s="9">
        <v>0</v>
      </c>
      <c r="N1261" s="9">
        <v>0</v>
      </c>
      <c r="O1261" s="9">
        <v>0</v>
      </c>
      <c r="P1261" s="9">
        <v>0</v>
      </c>
      <c r="Q1261" s="9">
        <f>MAX(-20,MIN(10,$A1261-VLOOKUP(YEAR($A1261),'Festive dates'!$A$2:$J$5,8,FALSE)))</f>
        <v>-20</v>
      </c>
      <c r="R1261" s="9">
        <f>IF(AND($A1261&gt;VLOOKUP(YEAR($A1261),'Festive dates'!$A$2:$J$5,2,FALSE),$A1261&lt;VLOOKUP(YEAR($A1261),'Festive dates'!$A$2:$J$5,3,FALSE)),1,0)</f>
        <v>0</v>
      </c>
      <c r="S1261" s="9">
        <f>IF($A1261=VLOOKUP(YEAR($A1261),'Festive dates'!$A$2:$J$5,2,FALSE),1,0)</f>
        <v>0</v>
      </c>
      <c r="T1261" s="9">
        <f>IF($A1261=VLOOKUP(YEAR($A1261),'Festive dates'!$A$2:$J$5,3,FALSE),1,0)</f>
        <v>0</v>
      </c>
      <c r="U1261" s="9">
        <f>IF($A1261=VLOOKUP(YEAR($A1261),'Festive dates'!$A$2:$J$5,4,FALSE),1,0)</f>
        <v>0</v>
      </c>
      <c r="V1261" s="9">
        <f>IF(AND($A1261&gt;=VLOOKUP(YEAR($A1261),'Festive dates'!$A$2:$J$5,9,FALSE),$A1261&lt;=VLOOKUP(YEAR($A1261),'Festive dates'!$A$2:$J$5,10,FALSE)),1,0)</f>
        <v>0</v>
      </c>
      <c r="W1261" s="9">
        <f>IF($A1261=VLOOKUP(YEAR($A1261),'Festive dates'!$A$2:$J$5,7,FALSE),1,0)</f>
        <v>0</v>
      </c>
      <c r="X1261" s="1"/>
      <c r="Y1261" s="1"/>
      <c r="Z1261" s="1"/>
      <c r="AA1261" s="1"/>
      <c r="AB1261" s="1"/>
      <c r="AC1261" s="1"/>
      <c r="AD1261" s="1"/>
      <c r="AE1261" s="1"/>
      <c r="AF1261" s="1"/>
      <c r="AG1261" s="1"/>
      <c r="AH1261" s="1"/>
      <c r="AI1261" s="1"/>
      <c r="AJ1261" s="1"/>
      <c r="AK1261" s="1"/>
      <c r="AL1261" s="1"/>
      <c r="AM1261" s="1"/>
      <c r="AN1261" s="1"/>
      <c r="AO1261" s="1"/>
      <c r="AP1261" s="1"/>
      <c r="AQ1261" s="1"/>
      <c r="AR1261" s="1"/>
      <c r="AS1261" s="1"/>
      <c r="AT1261" s="1"/>
      <c r="AU1261" s="1"/>
      <c r="AV1261" s="1"/>
      <c r="AW1261" s="1"/>
      <c r="AX1261" s="1"/>
      <c r="AY1261" s="1"/>
    </row>
    <row r="1262" spans="1:51">
      <c r="A1262" s="8">
        <v>46277</v>
      </c>
      <c r="B1262" s="9">
        <v>0</v>
      </c>
      <c r="C1262" s="9">
        <v>0</v>
      </c>
      <c r="D1262" s="9">
        <v>0</v>
      </c>
      <c r="E1262" s="9">
        <v>0</v>
      </c>
      <c r="F1262" s="9">
        <v>0</v>
      </c>
      <c r="G1262" s="9">
        <v>0</v>
      </c>
      <c r="H1262" s="9">
        <v>0</v>
      </c>
      <c r="I1262" s="9">
        <v>0</v>
      </c>
      <c r="J1262" s="9">
        <v>0</v>
      </c>
      <c r="K1262" s="9">
        <v>0</v>
      </c>
      <c r="L1262" s="9">
        <v>0</v>
      </c>
      <c r="M1262" s="9">
        <v>0</v>
      </c>
      <c r="N1262" s="9">
        <v>0</v>
      </c>
      <c r="O1262" s="9">
        <v>0</v>
      </c>
      <c r="P1262" s="9">
        <v>0</v>
      </c>
      <c r="Q1262" s="9">
        <f>MAX(-20,MIN(10,$A1262-VLOOKUP(YEAR($A1262),'Festive dates'!$A$2:$J$5,8,FALSE)))</f>
        <v>-20</v>
      </c>
      <c r="R1262" s="9">
        <f>IF(AND($A1262&gt;VLOOKUP(YEAR($A1262),'Festive dates'!$A$2:$J$5,2,FALSE),$A1262&lt;VLOOKUP(YEAR($A1262),'Festive dates'!$A$2:$J$5,3,FALSE)),1,0)</f>
        <v>0</v>
      </c>
      <c r="S1262" s="9">
        <f>IF($A1262=VLOOKUP(YEAR($A1262),'Festive dates'!$A$2:$J$5,2,FALSE),1,0)</f>
        <v>0</v>
      </c>
      <c r="T1262" s="9">
        <f>IF($A1262=VLOOKUP(YEAR($A1262),'Festive dates'!$A$2:$J$5,3,FALSE),1,0)</f>
        <v>0</v>
      </c>
      <c r="U1262" s="9">
        <f>IF($A1262=VLOOKUP(YEAR($A1262),'Festive dates'!$A$2:$J$5,4,FALSE),1,0)</f>
        <v>0</v>
      </c>
      <c r="V1262" s="9">
        <f>IF(AND($A1262&gt;=VLOOKUP(YEAR($A1262),'Festive dates'!$A$2:$J$5,9,FALSE),$A1262&lt;=VLOOKUP(YEAR($A1262),'Festive dates'!$A$2:$J$5,10,FALSE)),1,0)</f>
        <v>0</v>
      </c>
      <c r="W1262" s="9">
        <f>IF($A1262=VLOOKUP(YEAR($A1262),'Festive dates'!$A$2:$J$5,7,FALSE),1,0)</f>
        <v>0</v>
      </c>
      <c r="X1262" s="1"/>
      <c r="Y1262" s="1"/>
      <c r="Z1262" s="1"/>
      <c r="AA1262" s="1"/>
      <c r="AB1262" s="1"/>
      <c r="AC1262" s="1"/>
      <c r="AD1262" s="1"/>
      <c r="AE1262" s="1"/>
      <c r="AF1262" s="1"/>
      <c r="AG1262" s="1"/>
      <c r="AH1262" s="1"/>
      <c r="AI1262" s="1"/>
      <c r="AJ1262" s="1"/>
      <c r="AK1262" s="1"/>
      <c r="AL1262" s="1"/>
      <c r="AM1262" s="1"/>
      <c r="AN1262" s="1"/>
      <c r="AO1262" s="1"/>
      <c r="AP1262" s="1"/>
      <c r="AQ1262" s="1"/>
      <c r="AR1262" s="1"/>
      <c r="AS1262" s="1"/>
      <c r="AT1262" s="1"/>
      <c r="AU1262" s="1"/>
      <c r="AV1262" s="1"/>
      <c r="AW1262" s="1"/>
      <c r="AX1262" s="1"/>
      <c r="AY1262" s="1"/>
    </row>
    <row r="1263" spans="1:51">
      <c r="A1263" s="8">
        <v>46278</v>
      </c>
      <c r="B1263" s="9">
        <v>1</v>
      </c>
      <c r="C1263" s="9">
        <v>0</v>
      </c>
      <c r="D1263" s="9">
        <v>0</v>
      </c>
      <c r="E1263" s="9">
        <v>0</v>
      </c>
      <c r="F1263" s="9">
        <v>0</v>
      </c>
      <c r="G1263" s="9">
        <v>0</v>
      </c>
      <c r="H1263" s="9">
        <v>0</v>
      </c>
      <c r="I1263" s="9">
        <v>0</v>
      </c>
      <c r="J1263" s="9">
        <v>0</v>
      </c>
      <c r="K1263" s="9">
        <v>0</v>
      </c>
      <c r="L1263" s="9">
        <v>0</v>
      </c>
      <c r="M1263" s="9">
        <v>0</v>
      </c>
      <c r="N1263" s="9">
        <v>0</v>
      </c>
      <c r="O1263" s="9">
        <v>0</v>
      </c>
      <c r="P1263" s="9">
        <v>0</v>
      </c>
      <c r="Q1263" s="9">
        <f>MAX(-20,MIN(10,$A1263-VLOOKUP(YEAR($A1263),'Festive dates'!$A$2:$J$5,8,FALSE)))</f>
        <v>-20</v>
      </c>
      <c r="R1263" s="9">
        <f>IF(AND($A1263&gt;VLOOKUP(YEAR($A1263),'Festive dates'!$A$2:$J$5,2,FALSE),$A1263&lt;VLOOKUP(YEAR($A1263),'Festive dates'!$A$2:$J$5,3,FALSE)),1,0)</f>
        <v>0</v>
      </c>
      <c r="S1263" s="9">
        <f>IF($A1263=VLOOKUP(YEAR($A1263),'Festive dates'!$A$2:$J$5,2,FALSE),1,0)</f>
        <v>0</v>
      </c>
      <c r="T1263" s="9">
        <f>IF($A1263=VLOOKUP(YEAR($A1263),'Festive dates'!$A$2:$J$5,3,FALSE),1,0)</f>
        <v>0</v>
      </c>
      <c r="U1263" s="9">
        <f>IF($A1263=VLOOKUP(YEAR($A1263),'Festive dates'!$A$2:$J$5,4,FALSE),1,0)</f>
        <v>0</v>
      </c>
      <c r="V1263" s="9">
        <f>IF(AND($A1263&gt;=VLOOKUP(YEAR($A1263),'Festive dates'!$A$2:$J$5,9,FALSE),$A1263&lt;=VLOOKUP(YEAR($A1263),'Festive dates'!$A$2:$J$5,10,FALSE)),1,0)</f>
        <v>0</v>
      </c>
      <c r="W1263" s="9">
        <f>IF($A1263=VLOOKUP(YEAR($A1263),'Festive dates'!$A$2:$J$5,7,FALSE),1,0)</f>
        <v>0</v>
      </c>
      <c r="X1263" s="1"/>
      <c r="Y1263" s="1"/>
      <c r="Z1263" s="1"/>
      <c r="AA1263" s="1"/>
      <c r="AB1263" s="1"/>
      <c r="AC1263" s="1"/>
      <c r="AD1263" s="1"/>
      <c r="AE1263" s="1"/>
      <c r="AF1263" s="1"/>
      <c r="AG1263" s="1"/>
      <c r="AH1263" s="1"/>
      <c r="AI1263" s="1"/>
      <c r="AJ1263" s="1"/>
      <c r="AK1263" s="1"/>
      <c r="AL1263" s="1"/>
      <c r="AM1263" s="1"/>
      <c r="AN1263" s="1"/>
      <c r="AO1263" s="1"/>
      <c r="AP1263" s="1"/>
      <c r="AQ1263" s="1"/>
      <c r="AR1263" s="1"/>
      <c r="AS1263" s="1"/>
      <c r="AT1263" s="1"/>
      <c r="AU1263" s="1"/>
      <c r="AV1263" s="1"/>
      <c r="AW1263" s="1"/>
      <c r="AX1263" s="1"/>
      <c r="AY1263" s="1"/>
    </row>
    <row r="1264" spans="1:51">
      <c r="A1264" s="8">
        <v>46279</v>
      </c>
      <c r="B1264" s="9">
        <v>0</v>
      </c>
      <c r="C1264" s="9">
        <v>1</v>
      </c>
      <c r="D1264" s="9">
        <v>0</v>
      </c>
      <c r="E1264" s="9">
        <v>0</v>
      </c>
      <c r="F1264" s="9">
        <v>0</v>
      </c>
      <c r="G1264" s="9">
        <v>0</v>
      </c>
      <c r="H1264" s="9">
        <v>0</v>
      </c>
      <c r="I1264" s="9">
        <v>0</v>
      </c>
      <c r="J1264" s="9">
        <v>0</v>
      </c>
      <c r="K1264" s="9">
        <v>0</v>
      </c>
      <c r="L1264" s="9">
        <v>0</v>
      </c>
      <c r="M1264" s="9">
        <v>0</v>
      </c>
      <c r="N1264" s="9">
        <v>0</v>
      </c>
      <c r="O1264" s="9">
        <v>0</v>
      </c>
      <c r="P1264" s="9">
        <v>0</v>
      </c>
      <c r="Q1264" s="9">
        <f>MAX(-20,MIN(10,$A1264-VLOOKUP(YEAR($A1264),'Festive dates'!$A$2:$J$5,8,FALSE)))</f>
        <v>-20</v>
      </c>
      <c r="R1264" s="9">
        <f>IF(AND($A1264&gt;VLOOKUP(YEAR($A1264),'Festive dates'!$A$2:$J$5,2,FALSE),$A1264&lt;VLOOKUP(YEAR($A1264),'Festive dates'!$A$2:$J$5,3,FALSE)),1,0)</f>
        <v>0</v>
      </c>
      <c r="S1264" s="9">
        <f>IF($A1264=VLOOKUP(YEAR($A1264),'Festive dates'!$A$2:$J$5,2,FALSE),1,0)</f>
        <v>0</v>
      </c>
      <c r="T1264" s="9">
        <f>IF($A1264=VLOOKUP(YEAR($A1264),'Festive dates'!$A$2:$J$5,3,FALSE),1,0)</f>
        <v>0</v>
      </c>
      <c r="U1264" s="9">
        <f>IF($A1264=VLOOKUP(YEAR($A1264),'Festive dates'!$A$2:$J$5,4,FALSE),1,0)</f>
        <v>0</v>
      </c>
      <c r="V1264" s="9">
        <f>IF(AND($A1264&gt;=VLOOKUP(YEAR($A1264),'Festive dates'!$A$2:$J$5,9,FALSE),$A1264&lt;=VLOOKUP(YEAR($A1264),'Festive dates'!$A$2:$J$5,10,FALSE)),1,0)</f>
        <v>0</v>
      </c>
      <c r="W1264" s="9">
        <f>IF($A1264=VLOOKUP(YEAR($A1264),'Festive dates'!$A$2:$J$5,7,FALSE),1,0)</f>
        <v>0</v>
      </c>
      <c r="X1264" s="1"/>
      <c r="Y1264" s="1"/>
      <c r="Z1264" s="1"/>
      <c r="AA1264" s="1"/>
      <c r="AB1264" s="1"/>
      <c r="AC1264" s="1"/>
      <c r="AD1264" s="1"/>
      <c r="AE1264" s="1"/>
      <c r="AF1264" s="1"/>
      <c r="AG1264" s="1"/>
      <c r="AH1264" s="1"/>
      <c r="AI1264" s="1"/>
      <c r="AJ1264" s="1"/>
      <c r="AK1264" s="1"/>
      <c r="AL1264" s="1"/>
      <c r="AM1264" s="1"/>
      <c r="AN1264" s="1"/>
      <c r="AO1264" s="1"/>
      <c r="AP1264" s="1"/>
      <c r="AQ1264" s="1"/>
      <c r="AR1264" s="1"/>
      <c r="AS1264" s="1"/>
      <c r="AT1264" s="1"/>
      <c r="AU1264" s="1"/>
      <c r="AV1264" s="1"/>
      <c r="AW1264" s="1"/>
      <c r="AX1264" s="1"/>
      <c r="AY1264" s="1"/>
    </row>
    <row r="1265" spans="1:51">
      <c r="A1265" s="8">
        <v>46280</v>
      </c>
      <c r="B1265" s="9">
        <v>0</v>
      </c>
      <c r="C1265" s="9">
        <v>0</v>
      </c>
      <c r="D1265" s="9">
        <v>0</v>
      </c>
      <c r="E1265" s="9">
        <v>0</v>
      </c>
      <c r="F1265" s="9">
        <v>0</v>
      </c>
      <c r="G1265" s="9">
        <v>0</v>
      </c>
      <c r="H1265" s="9">
        <v>0</v>
      </c>
      <c r="I1265" s="9">
        <v>0</v>
      </c>
      <c r="J1265" s="9">
        <v>0</v>
      </c>
      <c r="K1265" s="9">
        <v>0</v>
      </c>
      <c r="L1265" s="9">
        <v>0</v>
      </c>
      <c r="M1265" s="9">
        <v>0</v>
      </c>
      <c r="N1265" s="9">
        <v>0</v>
      </c>
      <c r="O1265" s="9">
        <v>0</v>
      </c>
      <c r="P1265" s="9">
        <v>0</v>
      </c>
      <c r="Q1265" s="9">
        <f>MAX(-20,MIN(10,$A1265-VLOOKUP(YEAR($A1265),'Festive dates'!$A$2:$J$5,8,FALSE)))</f>
        <v>-20</v>
      </c>
      <c r="R1265" s="9">
        <f>IF(AND($A1265&gt;VLOOKUP(YEAR($A1265),'Festive dates'!$A$2:$J$5,2,FALSE),$A1265&lt;VLOOKUP(YEAR($A1265),'Festive dates'!$A$2:$J$5,3,FALSE)),1,0)</f>
        <v>0</v>
      </c>
      <c r="S1265" s="9">
        <f>IF($A1265=VLOOKUP(YEAR($A1265),'Festive dates'!$A$2:$J$5,2,FALSE),1,0)</f>
        <v>0</v>
      </c>
      <c r="T1265" s="9">
        <f>IF($A1265=VLOOKUP(YEAR($A1265),'Festive dates'!$A$2:$J$5,3,FALSE),1,0)</f>
        <v>0</v>
      </c>
      <c r="U1265" s="9">
        <f>IF($A1265=VLOOKUP(YEAR($A1265),'Festive dates'!$A$2:$J$5,4,FALSE),1,0)</f>
        <v>0</v>
      </c>
      <c r="V1265" s="9">
        <f>IF(AND($A1265&gt;=VLOOKUP(YEAR($A1265),'Festive dates'!$A$2:$J$5,9,FALSE),$A1265&lt;=VLOOKUP(YEAR($A1265),'Festive dates'!$A$2:$J$5,10,FALSE)),1,0)</f>
        <v>0</v>
      </c>
      <c r="W1265" s="9">
        <f>IF($A1265=VLOOKUP(YEAR($A1265),'Festive dates'!$A$2:$J$5,7,FALSE),1,0)</f>
        <v>0</v>
      </c>
      <c r="X1265" s="1"/>
      <c r="Y1265" s="1"/>
      <c r="Z1265" s="1"/>
      <c r="AA1265" s="1"/>
      <c r="AB1265" s="1"/>
      <c r="AC1265" s="1"/>
      <c r="AD1265" s="1"/>
      <c r="AE1265" s="1"/>
      <c r="AF1265" s="1"/>
      <c r="AG1265" s="1"/>
      <c r="AH1265" s="1"/>
      <c r="AI1265" s="1"/>
      <c r="AJ1265" s="1"/>
      <c r="AK1265" s="1"/>
      <c r="AL1265" s="1"/>
      <c r="AM1265" s="1"/>
      <c r="AN1265" s="1"/>
      <c r="AO1265" s="1"/>
      <c r="AP1265" s="1"/>
      <c r="AQ1265" s="1"/>
      <c r="AR1265" s="1"/>
      <c r="AS1265" s="1"/>
      <c r="AT1265" s="1"/>
      <c r="AU1265" s="1"/>
      <c r="AV1265" s="1"/>
      <c r="AW1265" s="1"/>
      <c r="AX1265" s="1"/>
      <c r="AY1265" s="1"/>
    </row>
    <row r="1266" spans="1:51">
      <c r="A1266" s="8">
        <v>46281</v>
      </c>
      <c r="B1266" s="9">
        <v>0</v>
      </c>
      <c r="C1266" s="9">
        <v>0</v>
      </c>
      <c r="D1266" s="9">
        <v>0</v>
      </c>
      <c r="E1266" s="9">
        <v>0</v>
      </c>
      <c r="F1266" s="9">
        <v>0</v>
      </c>
      <c r="G1266" s="9">
        <v>0</v>
      </c>
      <c r="H1266" s="9">
        <v>0</v>
      </c>
      <c r="I1266" s="9">
        <v>0</v>
      </c>
      <c r="J1266" s="9">
        <v>0</v>
      </c>
      <c r="K1266" s="9">
        <v>0</v>
      </c>
      <c r="L1266" s="9">
        <v>0</v>
      </c>
      <c r="M1266" s="9">
        <v>0</v>
      </c>
      <c r="N1266" s="9">
        <v>0</v>
      </c>
      <c r="O1266" s="9">
        <v>0</v>
      </c>
      <c r="P1266" s="9">
        <v>0</v>
      </c>
      <c r="Q1266" s="9">
        <f>MAX(-20,MIN(10,$A1266-VLOOKUP(YEAR($A1266),'Festive dates'!$A$2:$J$5,8,FALSE)))</f>
        <v>-20</v>
      </c>
      <c r="R1266" s="9">
        <f>IF(AND($A1266&gt;VLOOKUP(YEAR($A1266),'Festive dates'!$A$2:$J$5,2,FALSE),$A1266&lt;VLOOKUP(YEAR($A1266),'Festive dates'!$A$2:$J$5,3,FALSE)),1,0)</f>
        <v>0</v>
      </c>
      <c r="S1266" s="9">
        <f>IF($A1266=VLOOKUP(YEAR($A1266),'Festive dates'!$A$2:$J$5,2,FALSE),1,0)</f>
        <v>0</v>
      </c>
      <c r="T1266" s="9">
        <f>IF($A1266=VLOOKUP(YEAR($A1266),'Festive dates'!$A$2:$J$5,3,FALSE),1,0)</f>
        <v>0</v>
      </c>
      <c r="U1266" s="9">
        <f>IF($A1266=VLOOKUP(YEAR($A1266),'Festive dates'!$A$2:$J$5,4,FALSE),1,0)</f>
        <v>0</v>
      </c>
      <c r="V1266" s="9">
        <f>IF(AND($A1266&gt;=VLOOKUP(YEAR($A1266),'Festive dates'!$A$2:$J$5,9,FALSE),$A1266&lt;=VLOOKUP(YEAR($A1266),'Festive dates'!$A$2:$J$5,10,FALSE)),1,0)</f>
        <v>0</v>
      </c>
      <c r="W1266" s="9">
        <f>IF($A1266=VLOOKUP(YEAR($A1266),'Festive dates'!$A$2:$J$5,7,FALSE),1,0)</f>
        <v>0</v>
      </c>
      <c r="X1266" s="1"/>
      <c r="Y1266" s="1"/>
      <c r="Z1266" s="1"/>
      <c r="AA1266" s="1"/>
      <c r="AB1266" s="1"/>
      <c r="AC1266" s="1"/>
      <c r="AD1266" s="1"/>
      <c r="AE1266" s="1"/>
      <c r="AF1266" s="1"/>
      <c r="AG1266" s="1"/>
      <c r="AH1266" s="1"/>
      <c r="AI1266" s="1"/>
      <c r="AJ1266" s="1"/>
      <c r="AK1266" s="1"/>
      <c r="AL1266" s="1"/>
      <c r="AM1266" s="1"/>
      <c r="AN1266" s="1"/>
      <c r="AO1266" s="1"/>
      <c r="AP1266" s="1"/>
      <c r="AQ1266" s="1"/>
      <c r="AR1266" s="1"/>
      <c r="AS1266" s="1"/>
      <c r="AT1266" s="1"/>
      <c r="AU1266" s="1"/>
      <c r="AV1266" s="1"/>
      <c r="AW1266" s="1"/>
      <c r="AX1266" s="1"/>
      <c r="AY1266" s="1"/>
    </row>
    <row r="1267" spans="1:51">
      <c r="A1267" s="8">
        <v>46282</v>
      </c>
      <c r="B1267" s="9">
        <v>0</v>
      </c>
      <c r="C1267" s="9">
        <v>0</v>
      </c>
      <c r="D1267" s="9">
        <v>0</v>
      </c>
      <c r="E1267" s="9">
        <v>1</v>
      </c>
      <c r="F1267" s="9">
        <v>0</v>
      </c>
      <c r="G1267" s="9">
        <v>0</v>
      </c>
      <c r="H1267" s="9">
        <v>0</v>
      </c>
      <c r="I1267" s="9">
        <v>0</v>
      </c>
      <c r="J1267" s="9">
        <v>0</v>
      </c>
      <c r="K1267" s="9">
        <v>0</v>
      </c>
      <c r="L1267" s="9">
        <v>0</v>
      </c>
      <c r="M1267" s="9">
        <v>0</v>
      </c>
      <c r="N1267" s="9">
        <v>0</v>
      </c>
      <c r="O1267" s="9">
        <v>0</v>
      </c>
      <c r="P1267" s="9">
        <v>0</v>
      </c>
      <c r="Q1267" s="9">
        <f>MAX(-20,MIN(10,$A1267-VLOOKUP(YEAR($A1267),'Festive dates'!$A$2:$J$5,8,FALSE)))</f>
        <v>-20</v>
      </c>
      <c r="R1267" s="9">
        <f>IF(AND($A1267&gt;VLOOKUP(YEAR($A1267),'Festive dates'!$A$2:$J$5,2,FALSE),$A1267&lt;VLOOKUP(YEAR($A1267),'Festive dates'!$A$2:$J$5,3,FALSE)),1,0)</f>
        <v>0</v>
      </c>
      <c r="S1267" s="9">
        <f>IF($A1267=VLOOKUP(YEAR($A1267),'Festive dates'!$A$2:$J$5,2,FALSE),1,0)</f>
        <v>0</v>
      </c>
      <c r="T1267" s="9">
        <f>IF($A1267=VLOOKUP(YEAR($A1267),'Festive dates'!$A$2:$J$5,3,FALSE),1,0)</f>
        <v>0</v>
      </c>
      <c r="U1267" s="9">
        <f>IF($A1267=VLOOKUP(YEAR($A1267),'Festive dates'!$A$2:$J$5,4,FALSE),1,0)</f>
        <v>0</v>
      </c>
      <c r="V1267" s="9">
        <f>IF(AND($A1267&gt;=VLOOKUP(YEAR($A1267),'Festive dates'!$A$2:$J$5,9,FALSE),$A1267&lt;=VLOOKUP(YEAR($A1267),'Festive dates'!$A$2:$J$5,10,FALSE)),1,0)</f>
        <v>0</v>
      </c>
      <c r="W1267" s="9">
        <f>IF($A1267=VLOOKUP(YEAR($A1267),'Festive dates'!$A$2:$J$5,7,FALSE),1,0)</f>
        <v>0</v>
      </c>
      <c r="X1267" s="1"/>
      <c r="Y1267" s="1"/>
      <c r="Z1267" s="1"/>
      <c r="AA1267" s="1"/>
      <c r="AB1267" s="1"/>
      <c r="AC1267" s="1"/>
      <c r="AD1267" s="1"/>
      <c r="AE1267" s="1"/>
      <c r="AF1267" s="1"/>
      <c r="AG1267" s="1"/>
      <c r="AH1267" s="1"/>
      <c r="AI1267" s="1"/>
      <c r="AJ1267" s="1"/>
      <c r="AK1267" s="1"/>
      <c r="AL1267" s="1"/>
      <c r="AM1267" s="1"/>
      <c r="AN1267" s="1"/>
      <c r="AO1267" s="1"/>
      <c r="AP1267" s="1"/>
      <c r="AQ1267" s="1"/>
      <c r="AR1267" s="1"/>
      <c r="AS1267" s="1"/>
      <c r="AT1267" s="1"/>
      <c r="AU1267" s="1"/>
      <c r="AV1267" s="1"/>
      <c r="AW1267" s="1"/>
      <c r="AX1267" s="1"/>
      <c r="AY1267" s="1"/>
    </row>
    <row r="1268" spans="1:51">
      <c r="A1268" s="8">
        <v>46283</v>
      </c>
      <c r="B1268" s="9">
        <v>0</v>
      </c>
      <c r="C1268" s="9">
        <v>0</v>
      </c>
      <c r="D1268" s="9">
        <v>0</v>
      </c>
      <c r="E1268" s="9">
        <v>0</v>
      </c>
      <c r="F1268" s="9">
        <v>0</v>
      </c>
      <c r="G1268" s="9">
        <v>0</v>
      </c>
      <c r="H1268" s="9">
        <v>0</v>
      </c>
      <c r="I1268" s="9">
        <v>0</v>
      </c>
      <c r="J1268" s="9">
        <v>0</v>
      </c>
      <c r="K1268" s="9">
        <v>0</v>
      </c>
      <c r="L1268" s="9">
        <v>0</v>
      </c>
      <c r="M1268" s="9">
        <v>0</v>
      </c>
      <c r="N1268" s="9">
        <v>0</v>
      </c>
      <c r="O1268" s="9">
        <v>0</v>
      </c>
      <c r="P1268" s="9">
        <v>0</v>
      </c>
      <c r="Q1268" s="9">
        <f>MAX(-20,MIN(10,$A1268-VLOOKUP(YEAR($A1268),'Festive dates'!$A$2:$J$5,8,FALSE)))</f>
        <v>-20</v>
      </c>
      <c r="R1268" s="9">
        <f>IF(AND($A1268&gt;VLOOKUP(YEAR($A1268),'Festive dates'!$A$2:$J$5,2,FALSE),$A1268&lt;VLOOKUP(YEAR($A1268),'Festive dates'!$A$2:$J$5,3,FALSE)),1,0)</f>
        <v>0</v>
      </c>
      <c r="S1268" s="9">
        <f>IF($A1268=VLOOKUP(YEAR($A1268),'Festive dates'!$A$2:$J$5,2,FALSE),1,0)</f>
        <v>0</v>
      </c>
      <c r="T1268" s="9">
        <f>IF($A1268=VLOOKUP(YEAR($A1268),'Festive dates'!$A$2:$J$5,3,FALSE),1,0)</f>
        <v>0</v>
      </c>
      <c r="U1268" s="9">
        <f>IF($A1268=VLOOKUP(YEAR($A1268),'Festive dates'!$A$2:$J$5,4,FALSE),1,0)</f>
        <v>0</v>
      </c>
      <c r="V1268" s="9">
        <f>IF(AND($A1268&gt;=VLOOKUP(YEAR($A1268),'Festive dates'!$A$2:$J$5,9,FALSE),$A1268&lt;=VLOOKUP(YEAR($A1268),'Festive dates'!$A$2:$J$5,10,FALSE)),1,0)</f>
        <v>0</v>
      </c>
      <c r="W1268" s="9">
        <f>IF($A1268=VLOOKUP(YEAR($A1268),'Festive dates'!$A$2:$J$5,7,FALSE),1,0)</f>
        <v>0</v>
      </c>
      <c r="X1268" s="1"/>
      <c r="Y1268" s="1"/>
      <c r="Z1268" s="1"/>
      <c r="AA1268" s="1"/>
      <c r="AB1268" s="1"/>
      <c r="AC1268" s="1"/>
      <c r="AD1268" s="1"/>
      <c r="AE1268" s="1"/>
      <c r="AF1268" s="1"/>
      <c r="AG1268" s="1"/>
      <c r="AH1268" s="1"/>
      <c r="AI1268" s="1"/>
      <c r="AJ1268" s="1"/>
      <c r="AK1268" s="1"/>
      <c r="AL1268" s="1"/>
      <c r="AM1268" s="1"/>
      <c r="AN1268" s="1"/>
      <c r="AO1268" s="1"/>
      <c r="AP1268" s="1"/>
      <c r="AQ1268" s="1"/>
      <c r="AR1268" s="1"/>
      <c r="AS1268" s="1"/>
      <c r="AT1268" s="1"/>
      <c r="AU1268" s="1"/>
      <c r="AV1268" s="1"/>
      <c r="AW1268" s="1"/>
      <c r="AX1268" s="1"/>
      <c r="AY1268" s="1"/>
    </row>
    <row r="1269" spans="1:51">
      <c r="A1269" s="8">
        <v>46284</v>
      </c>
      <c r="B1269" s="9">
        <v>0</v>
      </c>
      <c r="C1269" s="9">
        <v>0</v>
      </c>
      <c r="D1269" s="9">
        <v>0</v>
      </c>
      <c r="E1269" s="9">
        <v>0</v>
      </c>
      <c r="F1269" s="9">
        <v>0</v>
      </c>
      <c r="G1269" s="9">
        <v>0</v>
      </c>
      <c r="H1269" s="9">
        <v>0</v>
      </c>
      <c r="I1269" s="9">
        <v>0</v>
      </c>
      <c r="J1269" s="9">
        <v>0</v>
      </c>
      <c r="K1269" s="9">
        <v>0</v>
      </c>
      <c r="L1269" s="9">
        <v>0</v>
      </c>
      <c r="M1269" s="9">
        <v>0</v>
      </c>
      <c r="N1269" s="9">
        <v>0</v>
      </c>
      <c r="O1269" s="9">
        <v>0</v>
      </c>
      <c r="P1269" s="9">
        <v>0</v>
      </c>
      <c r="Q1269" s="9">
        <f>MAX(-20,MIN(10,$A1269-VLOOKUP(YEAR($A1269),'Festive dates'!$A$2:$J$5,8,FALSE)))</f>
        <v>-20</v>
      </c>
      <c r="R1269" s="9">
        <f>IF(AND($A1269&gt;VLOOKUP(YEAR($A1269),'Festive dates'!$A$2:$J$5,2,FALSE),$A1269&lt;VLOOKUP(YEAR($A1269),'Festive dates'!$A$2:$J$5,3,FALSE)),1,0)</f>
        <v>0</v>
      </c>
      <c r="S1269" s="9">
        <f>IF($A1269=VLOOKUP(YEAR($A1269),'Festive dates'!$A$2:$J$5,2,FALSE),1,0)</f>
        <v>0</v>
      </c>
      <c r="T1269" s="9">
        <f>IF($A1269=VLOOKUP(YEAR($A1269),'Festive dates'!$A$2:$J$5,3,FALSE),1,0)</f>
        <v>0</v>
      </c>
      <c r="U1269" s="9">
        <f>IF($A1269=VLOOKUP(YEAR($A1269),'Festive dates'!$A$2:$J$5,4,FALSE),1,0)</f>
        <v>0</v>
      </c>
      <c r="V1269" s="9">
        <f>IF(AND($A1269&gt;=VLOOKUP(YEAR($A1269),'Festive dates'!$A$2:$J$5,9,FALSE),$A1269&lt;=VLOOKUP(YEAR($A1269),'Festive dates'!$A$2:$J$5,10,FALSE)),1,0)</f>
        <v>0</v>
      </c>
      <c r="W1269" s="9">
        <f>IF($A1269=VLOOKUP(YEAR($A1269),'Festive dates'!$A$2:$J$5,7,FALSE),1,0)</f>
        <v>0</v>
      </c>
      <c r="X1269" s="1"/>
      <c r="Y1269" s="1"/>
      <c r="Z1269" s="1"/>
      <c r="AA1269" s="1"/>
      <c r="AB1269" s="1"/>
      <c r="AC1269" s="1"/>
      <c r="AD1269" s="1"/>
      <c r="AE1269" s="1"/>
      <c r="AF1269" s="1"/>
      <c r="AG1269" s="1"/>
      <c r="AH1269" s="1"/>
      <c r="AI1269" s="1"/>
      <c r="AJ1269" s="1"/>
      <c r="AK1269" s="1"/>
      <c r="AL1269" s="1"/>
      <c r="AM1269" s="1"/>
      <c r="AN1269" s="1"/>
      <c r="AO1269" s="1"/>
      <c r="AP1269" s="1"/>
      <c r="AQ1269" s="1"/>
      <c r="AR1269" s="1"/>
      <c r="AS1269" s="1"/>
      <c r="AT1269" s="1"/>
      <c r="AU1269" s="1"/>
      <c r="AV1269" s="1"/>
      <c r="AW1269" s="1"/>
      <c r="AX1269" s="1"/>
      <c r="AY1269" s="1"/>
    </row>
    <row r="1270" spans="1:51">
      <c r="A1270" s="8">
        <v>46285</v>
      </c>
      <c r="B1270" s="9">
        <v>0</v>
      </c>
      <c r="C1270" s="9">
        <v>0</v>
      </c>
      <c r="D1270" s="9">
        <v>0</v>
      </c>
      <c r="E1270" s="9">
        <v>0</v>
      </c>
      <c r="F1270" s="9">
        <v>0</v>
      </c>
      <c r="G1270" s="9">
        <v>0</v>
      </c>
      <c r="H1270" s="9">
        <v>0</v>
      </c>
      <c r="I1270" s="9">
        <v>0</v>
      </c>
      <c r="J1270" s="9">
        <v>0</v>
      </c>
      <c r="K1270" s="9">
        <v>0</v>
      </c>
      <c r="L1270" s="9">
        <v>0</v>
      </c>
      <c r="M1270" s="9">
        <v>0</v>
      </c>
      <c r="N1270" s="9">
        <v>0</v>
      </c>
      <c r="O1270" s="9">
        <v>0</v>
      </c>
      <c r="P1270" s="9">
        <v>0</v>
      </c>
      <c r="Q1270" s="9">
        <f>MAX(-20,MIN(10,$A1270-VLOOKUP(YEAR($A1270),'Festive dates'!$A$2:$J$5,8,FALSE)))</f>
        <v>-20</v>
      </c>
      <c r="R1270" s="9">
        <f>IF(AND($A1270&gt;VLOOKUP(YEAR($A1270),'Festive dates'!$A$2:$J$5,2,FALSE),$A1270&lt;VLOOKUP(YEAR($A1270),'Festive dates'!$A$2:$J$5,3,FALSE)),1,0)</f>
        <v>0</v>
      </c>
      <c r="S1270" s="9">
        <f>IF($A1270=VLOOKUP(YEAR($A1270),'Festive dates'!$A$2:$J$5,2,FALSE),1,0)</f>
        <v>0</v>
      </c>
      <c r="T1270" s="9">
        <f>IF($A1270=VLOOKUP(YEAR($A1270),'Festive dates'!$A$2:$J$5,3,FALSE),1,0)</f>
        <v>0</v>
      </c>
      <c r="U1270" s="9">
        <f>IF($A1270=VLOOKUP(YEAR($A1270),'Festive dates'!$A$2:$J$5,4,FALSE),1,0)</f>
        <v>0</v>
      </c>
      <c r="V1270" s="9">
        <f>IF(AND($A1270&gt;=VLOOKUP(YEAR($A1270),'Festive dates'!$A$2:$J$5,9,FALSE),$A1270&lt;=VLOOKUP(YEAR($A1270),'Festive dates'!$A$2:$J$5,10,FALSE)),1,0)</f>
        <v>0</v>
      </c>
      <c r="W1270" s="9">
        <f>IF($A1270=VLOOKUP(YEAR($A1270),'Festive dates'!$A$2:$J$5,7,FALSE),1,0)</f>
        <v>0</v>
      </c>
      <c r="X1270" s="1"/>
      <c r="Y1270" s="1"/>
      <c r="Z1270" s="1"/>
      <c r="AA1270" s="1"/>
      <c r="AB1270" s="1"/>
      <c r="AC1270" s="1"/>
      <c r="AD1270" s="1"/>
      <c r="AE1270" s="1"/>
      <c r="AF1270" s="1"/>
      <c r="AG1270" s="1"/>
      <c r="AH1270" s="1"/>
      <c r="AI1270" s="1"/>
      <c r="AJ1270" s="1"/>
      <c r="AK1270" s="1"/>
      <c r="AL1270" s="1"/>
      <c r="AM1270" s="1"/>
      <c r="AN1270" s="1"/>
      <c r="AO1270" s="1"/>
      <c r="AP1270" s="1"/>
      <c r="AQ1270" s="1"/>
      <c r="AR1270" s="1"/>
      <c r="AS1270" s="1"/>
      <c r="AT1270" s="1"/>
      <c r="AU1270" s="1"/>
      <c r="AV1270" s="1"/>
      <c r="AW1270" s="1"/>
      <c r="AX1270" s="1"/>
      <c r="AY1270" s="1"/>
    </row>
    <row r="1271" spans="1:51">
      <c r="A1271" s="8">
        <v>46286</v>
      </c>
      <c r="B1271" s="9">
        <v>0</v>
      </c>
      <c r="C1271" s="9">
        <v>0</v>
      </c>
      <c r="D1271" s="9">
        <v>0</v>
      </c>
      <c r="E1271" s="9">
        <v>0</v>
      </c>
      <c r="F1271" s="9">
        <v>0</v>
      </c>
      <c r="G1271" s="9">
        <v>0</v>
      </c>
      <c r="H1271" s="9">
        <v>0</v>
      </c>
      <c r="I1271" s="9">
        <v>0</v>
      </c>
      <c r="J1271" s="9">
        <v>0</v>
      </c>
      <c r="K1271" s="9">
        <v>0</v>
      </c>
      <c r="L1271" s="9">
        <v>0</v>
      </c>
      <c r="M1271" s="9">
        <v>0</v>
      </c>
      <c r="N1271" s="9">
        <v>0</v>
      </c>
      <c r="O1271" s="9">
        <v>0</v>
      </c>
      <c r="P1271" s="9">
        <v>0</v>
      </c>
      <c r="Q1271" s="9">
        <f>MAX(-20,MIN(10,$A1271-VLOOKUP(YEAR($A1271),'Festive dates'!$A$2:$J$5,8,FALSE)))</f>
        <v>-20</v>
      </c>
      <c r="R1271" s="9">
        <f>IF(AND($A1271&gt;VLOOKUP(YEAR($A1271),'Festive dates'!$A$2:$J$5,2,FALSE),$A1271&lt;VLOOKUP(YEAR($A1271),'Festive dates'!$A$2:$J$5,3,FALSE)),1,0)</f>
        <v>0</v>
      </c>
      <c r="S1271" s="9">
        <f>IF($A1271=VLOOKUP(YEAR($A1271),'Festive dates'!$A$2:$J$5,2,FALSE),1,0)</f>
        <v>0</v>
      </c>
      <c r="T1271" s="9">
        <f>IF($A1271=VLOOKUP(YEAR($A1271),'Festive dates'!$A$2:$J$5,3,FALSE),1,0)</f>
        <v>0</v>
      </c>
      <c r="U1271" s="9">
        <f>IF($A1271=VLOOKUP(YEAR($A1271),'Festive dates'!$A$2:$J$5,4,FALSE),1,0)</f>
        <v>0</v>
      </c>
      <c r="V1271" s="9">
        <f>IF(AND($A1271&gt;=VLOOKUP(YEAR($A1271),'Festive dates'!$A$2:$J$5,9,FALSE),$A1271&lt;=VLOOKUP(YEAR($A1271),'Festive dates'!$A$2:$J$5,10,FALSE)),1,0)</f>
        <v>0</v>
      </c>
      <c r="W1271" s="9">
        <f>IF($A1271=VLOOKUP(YEAR($A1271),'Festive dates'!$A$2:$J$5,7,FALSE),1,0)</f>
        <v>0</v>
      </c>
      <c r="X1271" s="1"/>
      <c r="Y1271" s="1"/>
      <c r="Z1271" s="1"/>
      <c r="AA1271" s="1"/>
      <c r="AB1271" s="1"/>
      <c r="AC1271" s="1"/>
      <c r="AD1271" s="1"/>
      <c r="AE1271" s="1"/>
      <c r="AF1271" s="1"/>
      <c r="AG1271" s="1"/>
      <c r="AH1271" s="1"/>
      <c r="AI1271" s="1"/>
      <c r="AJ1271" s="1"/>
      <c r="AK1271" s="1"/>
      <c r="AL1271" s="1"/>
      <c r="AM1271" s="1"/>
      <c r="AN1271" s="1"/>
      <c r="AO1271" s="1"/>
      <c r="AP1271" s="1"/>
      <c r="AQ1271" s="1"/>
      <c r="AR1271" s="1"/>
      <c r="AS1271" s="1"/>
      <c r="AT1271" s="1"/>
      <c r="AU1271" s="1"/>
      <c r="AV1271" s="1"/>
      <c r="AW1271" s="1"/>
      <c r="AX1271" s="1"/>
      <c r="AY1271" s="1"/>
    </row>
    <row r="1272" spans="1:51">
      <c r="A1272" s="8">
        <v>46287</v>
      </c>
      <c r="B1272" s="9">
        <v>0</v>
      </c>
      <c r="C1272" s="9">
        <v>0</v>
      </c>
      <c r="D1272" s="9">
        <v>0</v>
      </c>
      <c r="E1272" s="9">
        <v>0</v>
      </c>
      <c r="F1272" s="9">
        <v>0</v>
      </c>
      <c r="G1272" s="9">
        <v>0</v>
      </c>
      <c r="H1272" s="9">
        <v>0</v>
      </c>
      <c r="I1272" s="9">
        <v>0</v>
      </c>
      <c r="J1272" s="9">
        <v>0</v>
      </c>
      <c r="K1272" s="9">
        <v>0</v>
      </c>
      <c r="L1272" s="9">
        <v>0</v>
      </c>
      <c r="M1272" s="9">
        <v>0</v>
      </c>
      <c r="N1272" s="9">
        <v>0</v>
      </c>
      <c r="O1272" s="9">
        <v>0</v>
      </c>
      <c r="P1272" s="9">
        <v>0</v>
      </c>
      <c r="Q1272" s="9">
        <f>MAX(-20,MIN(10,$A1272-VLOOKUP(YEAR($A1272),'Festive dates'!$A$2:$J$5,8,FALSE)))</f>
        <v>-20</v>
      </c>
      <c r="R1272" s="9">
        <f>IF(AND($A1272&gt;VLOOKUP(YEAR($A1272),'Festive dates'!$A$2:$J$5,2,FALSE),$A1272&lt;VLOOKUP(YEAR($A1272),'Festive dates'!$A$2:$J$5,3,FALSE)),1,0)</f>
        <v>0</v>
      </c>
      <c r="S1272" s="9">
        <f>IF($A1272=VLOOKUP(YEAR($A1272),'Festive dates'!$A$2:$J$5,2,FALSE),1,0)</f>
        <v>0</v>
      </c>
      <c r="T1272" s="9">
        <f>IF($A1272=VLOOKUP(YEAR($A1272),'Festive dates'!$A$2:$J$5,3,FALSE),1,0)</f>
        <v>0</v>
      </c>
      <c r="U1272" s="9">
        <f>IF($A1272=VLOOKUP(YEAR($A1272),'Festive dates'!$A$2:$J$5,4,FALSE),1,0)</f>
        <v>0</v>
      </c>
      <c r="V1272" s="9">
        <f>IF(AND($A1272&gt;=VLOOKUP(YEAR($A1272),'Festive dates'!$A$2:$J$5,9,FALSE),$A1272&lt;=VLOOKUP(YEAR($A1272),'Festive dates'!$A$2:$J$5,10,FALSE)),1,0)</f>
        <v>0</v>
      </c>
      <c r="W1272" s="9">
        <f>IF($A1272=VLOOKUP(YEAR($A1272),'Festive dates'!$A$2:$J$5,7,FALSE),1,0)</f>
        <v>0</v>
      </c>
      <c r="X1272" s="1"/>
      <c r="Y1272" s="1"/>
      <c r="Z1272" s="1"/>
      <c r="AA1272" s="1"/>
      <c r="AB1272" s="1"/>
      <c r="AC1272" s="1"/>
      <c r="AD1272" s="1"/>
      <c r="AE1272" s="1"/>
      <c r="AF1272" s="1"/>
      <c r="AG1272" s="1"/>
      <c r="AH1272" s="1"/>
      <c r="AI1272" s="1"/>
      <c r="AJ1272" s="1"/>
      <c r="AK1272" s="1"/>
      <c r="AL1272" s="1"/>
      <c r="AM1272" s="1"/>
      <c r="AN1272" s="1"/>
      <c r="AO1272" s="1"/>
      <c r="AP1272" s="1"/>
      <c r="AQ1272" s="1"/>
      <c r="AR1272" s="1"/>
      <c r="AS1272" s="1"/>
      <c r="AT1272" s="1"/>
      <c r="AU1272" s="1"/>
      <c r="AV1272" s="1"/>
      <c r="AW1272" s="1"/>
      <c r="AX1272" s="1"/>
      <c r="AY1272" s="1"/>
    </row>
    <row r="1273" spans="1:51">
      <c r="A1273" s="8">
        <v>46288</v>
      </c>
      <c r="B1273" s="9">
        <v>0</v>
      </c>
      <c r="C1273" s="9">
        <v>0</v>
      </c>
      <c r="D1273" s="9">
        <v>0</v>
      </c>
      <c r="E1273" s="9">
        <v>0</v>
      </c>
      <c r="F1273" s="9">
        <v>0</v>
      </c>
      <c r="G1273" s="9">
        <v>0</v>
      </c>
      <c r="H1273" s="9">
        <v>0</v>
      </c>
      <c r="I1273" s="9">
        <v>0</v>
      </c>
      <c r="J1273" s="9">
        <v>0</v>
      </c>
      <c r="K1273" s="9">
        <v>0</v>
      </c>
      <c r="L1273" s="9">
        <v>0</v>
      </c>
      <c r="M1273" s="9">
        <v>0</v>
      </c>
      <c r="N1273" s="9">
        <v>0</v>
      </c>
      <c r="O1273" s="9">
        <v>0</v>
      </c>
      <c r="P1273" s="9">
        <v>0</v>
      </c>
      <c r="Q1273" s="9">
        <f>MAX(-20,MIN(10,$A1273-VLOOKUP(YEAR($A1273),'Festive dates'!$A$2:$J$5,8,FALSE)))</f>
        <v>-20</v>
      </c>
      <c r="R1273" s="9">
        <f>IF(AND($A1273&gt;VLOOKUP(YEAR($A1273),'Festive dates'!$A$2:$J$5,2,FALSE),$A1273&lt;VLOOKUP(YEAR($A1273),'Festive dates'!$A$2:$J$5,3,FALSE)),1,0)</f>
        <v>0</v>
      </c>
      <c r="S1273" s="9">
        <f>IF($A1273=VLOOKUP(YEAR($A1273),'Festive dates'!$A$2:$J$5,2,FALSE),1,0)</f>
        <v>0</v>
      </c>
      <c r="T1273" s="9">
        <f>IF($A1273=VLOOKUP(YEAR($A1273),'Festive dates'!$A$2:$J$5,3,FALSE),1,0)</f>
        <v>0</v>
      </c>
      <c r="U1273" s="9">
        <f>IF($A1273=VLOOKUP(YEAR($A1273),'Festive dates'!$A$2:$J$5,4,FALSE),1,0)</f>
        <v>0</v>
      </c>
      <c r="V1273" s="9">
        <f>IF(AND($A1273&gt;=VLOOKUP(YEAR($A1273),'Festive dates'!$A$2:$J$5,9,FALSE),$A1273&lt;=VLOOKUP(YEAR($A1273),'Festive dates'!$A$2:$J$5,10,FALSE)),1,0)</f>
        <v>0</v>
      </c>
      <c r="W1273" s="9">
        <f>IF($A1273=VLOOKUP(YEAR($A1273),'Festive dates'!$A$2:$J$5,7,FALSE),1,0)</f>
        <v>0</v>
      </c>
      <c r="X1273" s="1"/>
      <c r="Y1273" s="1"/>
      <c r="Z1273" s="1"/>
      <c r="AA1273" s="1"/>
      <c r="AB1273" s="1"/>
      <c r="AC1273" s="1"/>
      <c r="AD1273" s="1"/>
      <c r="AE1273" s="1"/>
      <c r="AF1273" s="1"/>
      <c r="AG1273" s="1"/>
      <c r="AH1273" s="1"/>
      <c r="AI1273" s="1"/>
      <c r="AJ1273" s="1"/>
      <c r="AK1273" s="1"/>
      <c r="AL1273" s="1"/>
      <c r="AM1273" s="1"/>
      <c r="AN1273" s="1"/>
      <c r="AO1273" s="1"/>
      <c r="AP1273" s="1"/>
      <c r="AQ1273" s="1"/>
      <c r="AR1273" s="1"/>
      <c r="AS1273" s="1"/>
      <c r="AT1273" s="1"/>
      <c r="AU1273" s="1"/>
      <c r="AV1273" s="1"/>
      <c r="AW1273" s="1"/>
      <c r="AX1273" s="1"/>
      <c r="AY1273" s="1"/>
    </row>
    <row r="1274" spans="1:51">
      <c r="A1274" s="8">
        <v>46289</v>
      </c>
      <c r="B1274" s="9">
        <v>0</v>
      </c>
      <c r="C1274" s="9">
        <v>0</v>
      </c>
      <c r="D1274" s="9">
        <v>0</v>
      </c>
      <c r="E1274" s="9">
        <v>0</v>
      </c>
      <c r="F1274" s="9">
        <v>0</v>
      </c>
      <c r="G1274" s="9">
        <v>0</v>
      </c>
      <c r="H1274" s="9">
        <v>0</v>
      </c>
      <c r="I1274" s="9">
        <v>0</v>
      </c>
      <c r="J1274" s="9">
        <v>0</v>
      </c>
      <c r="K1274" s="9">
        <v>0</v>
      </c>
      <c r="L1274" s="9">
        <v>0</v>
      </c>
      <c r="M1274" s="9">
        <v>0</v>
      </c>
      <c r="N1274" s="9">
        <v>0</v>
      </c>
      <c r="O1274" s="9">
        <v>0</v>
      </c>
      <c r="P1274" s="9">
        <v>0</v>
      </c>
      <c r="Q1274" s="9">
        <f>MAX(-20,MIN(10,$A1274-VLOOKUP(YEAR($A1274),'Festive dates'!$A$2:$J$5,8,FALSE)))</f>
        <v>-20</v>
      </c>
      <c r="R1274" s="9">
        <f>IF(AND($A1274&gt;VLOOKUP(YEAR($A1274),'Festive dates'!$A$2:$J$5,2,FALSE),$A1274&lt;VLOOKUP(YEAR($A1274),'Festive dates'!$A$2:$J$5,3,FALSE)),1,0)</f>
        <v>0</v>
      </c>
      <c r="S1274" s="9">
        <f>IF($A1274=VLOOKUP(YEAR($A1274),'Festive dates'!$A$2:$J$5,2,FALSE),1,0)</f>
        <v>0</v>
      </c>
      <c r="T1274" s="9">
        <f>IF($A1274=VLOOKUP(YEAR($A1274),'Festive dates'!$A$2:$J$5,3,FALSE),1,0)</f>
        <v>0</v>
      </c>
      <c r="U1274" s="9">
        <f>IF($A1274=VLOOKUP(YEAR($A1274),'Festive dates'!$A$2:$J$5,4,FALSE),1,0)</f>
        <v>0</v>
      </c>
      <c r="V1274" s="9">
        <f>IF(AND($A1274&gt;=VLOOKUP(YEAR($A1274),'Festive dates'!$A$2:$J$5,9,FALSE),$A1274&lt;=VLOOKUP(YEAR($A1274),'Festive dates'!$A$2:$J$5,10,FALSE)),1,0)</f>
        <v>0</v>
      </c>
      <c r="W1274" s="9">
        <f>IF($A1274=VLOOKUP(YEAR($A1274),'Festive dates'!$A$2:$J$5,7,FALSE),1,0)</f>
        <v>0</v>
      </c>
      <c r="X1274" s="1"/>
      <c r="Y1274" s="1"/>
      <c r="Z1274" s="1"/>
      <c r="AA1274" s="1"/>
      <c r="AB1274" s="1"/>
      <c r="AC1274" s="1"/>
      <c r="AD1274" s="1"/>
      <c r="AE1274" s="1"/>
      <c r="AF1274" s="1"/>
      <c r="AG1274" s="1"/>
      <c r="AH1274" s="1"/>
      <c r="AI1274" s="1"/>
      <c r="AJ1274" s="1"/>
      <c r="AK1274" s="1"/>
      <c r="AL1274" s="1"/>
      <c r="AM1274" s="1"/>
      <c r="AN1274" s="1"/>
      <c r="AO1274" s="1"/>
      <c r="AP1274" s="1"/>
      <c r="AQ1274" s="1"/>
      <c r="AR1274" s="1"/>
      <c r="AS1274" s="1"/>
      <c r="AT1274" s="1"/>
      <c r="AU1274" s="1"/>
      <c r="AV1274" s="1"/>
      <c r="AW1274" s="1"/>
      <c r="AX1274" s="1"/>
      <c r="AY1274" s="1"/>
    </row>
    <row r="1275" spans="1:51">
      <c r="A1275" s="8">
        <v>46290</v>
      </c>
      <c r="B1275" s="9">
        <v>0</v>
      </c>
      <c r="C1275" s="9">
        <v>0</v>
      </c>
      <c r="D1275" s="9">
        <v>0</v>
      </c>
      <c r="E1275" s="9">
        <v>0</v>
      </c>
      <c r="F1275" s="9">
        <v>0</v>
      </c>
      <c r="G1275" s="9">
        <v>0</v>
      </c>
      <c r="H1275" s="9">
        <v>0</v>
      </c>
      <c r="I1275" s="9">
        <v>0</v>
      </c>
      <c r="J1275" s="9">
        <v>0</v>
      </c>
      <c r="K1275" s="9">
        <v>0</v>
      </c>
      <c r="L1275" s="9">
        <v>0</v>
      </c>
      <c r="M1275" s="9">
        <v>0</v>
      </c>
      <c r="N1275" s="9">
        <v>0</v>
      </c>
      <c r="O1275" s="9">
        <v>0</v>
      </c>
      <c r="P1275" s="9">
        <v>0</v>
      </c>
      <c r="Q1275" s="9">
        <f>MAX(-20,MIN(10,$A1275-VLOOKUP(YEAR($A1275),'Festive dates'!$A$2:$J$5,8,FALSE)))</f>
        <v>-20</v>
      </c>
      <c r="R1275" s="9">
        <f>IF(AND($A1275&gt;VLOOKUP(YEAR($A1275),'Festive dates'!$A$2:$J$5,2,FALSE),$A1275&lt;VLOOKUP(YEAR($A1275),'Festive dates'!$A$2:$J$5,3,FALSE)),1,0)</f>
        <v>0</v>
      </c>
      <c r="S1275" s="9">
        <f>IF($A1275=VLOOKUP(YEAR($A1275),'Festive dates'!$A$2:$J$5,2,FALSE),1,0)</f>
        <v>0</v>
      </c>
      <c r="T1275" s="9">
        <f>IF($A1275=VLOOKUP(YEAR($A1275),'Festive dates'!$A$2:$J$5,3,FALSE),1,0)</f>
        <v>0</v>
      </c>
      <c r="U1275" s="9">
        <f>IF($A1275=VLOOKUP(YEAR($A1275),'Festive dates'!$A$2:$J$5,4,FALSE),1,0)</f>
        <v>0</v>
      </c>
      <c r="V1275" s="9">
        <f>IF(AND($A1275&gt;=VLOOKUP(YEAR($A1275),'Festive dates'!$A$2:$J$5,9,FALSE),$A1275&lt;=VLOOKUP(YEAR($A1275),'Festive dates'!$A$2:$J$5,10,FALSE)),1,0)</f>
        <v>1</v>
      </c>
      <c r="W1275" s="9">
        <f>IF($A1275=VLOOKUP(YEAR($A1275),'Festive dates'!$A$2:$J$5,7,FALSE),1,0)</f>
        <v>0</v>
      </c>
      <c r="X1275" s="1"/>
      <c r="Y1275" s="1"/>
      <c r="Z1275" s="1"/>
      <c r="AA1275" s="1"/>
      <c r="AB1275" s="1"/>
      <c r="AC1275" s="1"/>
      <c r="AD1275" s="1"/>
      <c r="AE1275" s="1"/>
      <c r="AF1275" s="1"/>
      <c r="AG1275" s="1"/>
      <c r="AH1275" s="1"/>
      <c r="AI1275" s="1"/>
      <c r="AJ1275" s="1"/>
      <c r="AK1275" s="1"/>
      <c r="AL1275" s="1"/>
      <c r="AM1275" s="1"/>
      <c r="AN1275" s="1"/>
      <c r="AO1275" s="1"/>
      <c r="AP1275" s="1"/>
      <c r="AQ1275" s="1"/>
      <c r="AR1275" s="1"/>
      <c r="AS1275" s="1"/>
      <c r="AT1275" s="1"/>
      <c r="AU1275" s="1"/>
      <c r="AV1275" s="1"/>
      <c r="AW1275" s="1"/>
      <c r="AX1275" s="1"/>
      <c r="AY1275" s="1"/>
    </row>
    <row r="1276" spans="1:51">
      <c r="A1276" s="8">
        <v>46291</v>
      </c>
      <c r="B1276" s="9">
        <v>0</v>
      </c>
      <c r="C1276" s="9">
        <v>0</v>
      </c>
      <c r="D1276" s="9">
        <v>0</v>
      </c>
      <c r="E1276" s="9">
        <v>0</v>
      </c>
      <c r="F1276" s="9">
        <v>0</v>
      </c>
      <c r="G1276" s="9">
        <v>0</v>
      </c>
      <c r="H1276" s="9">
        <v>0</v>
      </c>
      <c r="I1276" s="9">
        <v>0</v>
      </c>
      <c r="J1276" s="9">
        <v>0</v>
      </c>
      <c r="K1276" s="9">
        <v>0</v>
      </c>
      <c r="L1276" s="9">
        <v>0</v>
      </c>
      <c r="M1276" s="9">
        <v>0</v>
      </c>
      <c r="N1276" s="9">
        <v>0</v>
      </c>
      <c r="O1276" s="9">
        <v>0</v>
      </c>
      <c r="P1276" s="9">
        <v>0</v>
      </c>
      <c r="Q1276" s="9">
        <f>MAX(-20,MIN(10,$A1276-VLOOKUP(YEAR($A1276),'Festive dates'!$A$2:$J$5,8,FALSE)))</f>
        <v>-20</v>
      </c>
      <c r="R1276" s="9">
        <f>IF(AND($A1276&gt;VLOOKUP(YEAR($A1276),'Festive dates'!$A$2:$J$5,2,FALSE),$A1276&lt;VLOOKUP(YEAR($A1276),'Festive dates'!$A$2:$J$5,3,FALSE)),1,0)</f>
        <v>0</v>
      </c>
      <c r="S1276" s="9">
        <f>IF($A1276=VLOOKUP(YEAR($A1276),'Festive dates'!$A$2:$J$5,2,FALSE),1,0)</f>
        <v>0</v>
      </c>
      <c r="T1276" s="9">
        <f>IF($A1276=VLOOKUP(YEAR($A1276),'Festive dates'!$A$2:$J$5,3,FALSE),1,0)</f>
        <v>0</v>
      </c>
      <c r="U1276" s="9">
        <f>IF($A1276=VLOOKUP(YEAR($A1276),'Festive dates'!$A$2:$J$5,4,FALSE),1,0)</f>
        <v>0</v>
      </c>
      <c r="V1276" s="9">
        <f>IF(AND($A1276&gt;=VLOOKUP(YEAR($A1276),'Festive dates'!$A$2:$J$5,9,FALSE),$A1276&lt;=VLOOKUP(YEAR($A1276),'Festive dates'!$A$2:$J$5,10,FALSE)),1,0)</f>
        <v>1</v>
      </c>
      <c r="W1276" s="9">
        <f>IF($A1276=VLOOKUP(YEAR($A1276),'Festive dates'!$A$2:$J$5,7,FALSE),1,0)</f>
        <v>0</v>
      </c>
      <c r="X1276" s="1"/>
      <c r="Y1276" s="1"/>
      <c r="Z1276" s="1"/>
      <c r="AA1276" s="1"/>
      <c r="AB1276" s="1"/>
      <c r="AC1276" s="1"/>
      <c r="AD1276" s="1"/>
      <c r="AE1276" s="1"/>
      <c r="AF1276" s="1"/>
      <c r="AG1276" s="1"/>
      <c r="AH1276" s="1"/>
      <c r="AI1276" s="1"/>
      <c r="AJ1276" s="1"/>
      <c r="AK1276" s="1"/>
      <c r="AL1276" s="1"/>
      <c r="AM1276" s="1"/>
      <c r="AN1276" s="1"/>
      <c r="AO1276" s="1"/>
      <c r="AP1276" s="1"/>
      <c r="AQ1276" s="1"/>
      <c r="AR1276" s="1"/>
      <c r="AS1276" s="1"/>
      <c r="AT1276" s="1"/>
      <c r="AU1276" s="1"/>
      <c r="AV1276" s="1"/>
      <c r="AW1276" s="1"/>
      <c r="AX1276" s="1"/>
      <c r="AY1276" s="1"/>
    </row>
    <row r="1277" spans="1:51">
      <c r="A1277" s="8">
        <v>46292</v>
      </c>
      <c r="B1277" s="9">
        <v>0</v>
      </c>
      <c r="C1277" s="9">
        <v>0</v>
      </c>
      <c r="D1277" s="9">
        <v>0</v>
      </c>
      <c r="E1277" s="9">
        <v>0</v>
      </c>
      <c r="F1277" s="9">
        <v>0</v>
      </c>
      <c r="G1277" s="9">
        <v>0</v>
      </c>
      <c r="H1277" s="9">
        <v>0</v>
      </c>
      <c r="I1277" s="9">
        <v>0</v>
      </c>
      <c r="J1277" s="9">
        <v>0</v>
      </c>
      <c r="K1277" s="9">
        <v>0</v>
      </c>
      <c r="L1277" s="9">
        <v>0</v>
      </c>
      <c r="M1277" s="9">
        <v>0</v>
      </c>
      <c r="N1277" s="9">
        <v>0</v>
      </c>
      <c r="O1277" s="9">
        <v>0</v>
      </c>
      <c r="P1277" s="9">
        <v>0</v>
      </c>
      <c r="Q1277" s="9">
        <f>MAX(-20,MIN(10,$A1277-VLOOKUP(YEAR($A1277),'Festive dates'!$A$2:$J$5,8,FALSE)))</f>
        <v>-20</v>
      </c>
      <c r="R1277" s="9">
        <f>IF(AND($A1277&gt;VLOOKUP(YEAR($A1277),'Festive dates'!$A$2:$J$5,2,FALSE),$A1277&lt;VLOOKUP(YEAR($A1277),'Festive dates'!$A$2:$J$5,3,FALSE)),1,0)</f>
        <v>0</v>
      </c>
      <c r="S1277" s="9">
        <f>IF($A1277=VLOOKUP(YEAR($A1277),'Festive dates'!$A$2:$J$5,2,FALSE),1,0)</f>
        <v>0</v>
      </c>
      <c r="T1277" s="9">
        <f>IF($A1277=VLOOKUP(YEAR($A1277),'Festive dates'!$A$2:$J$5,3,FALSE),1,0)</f>
        <v>0</v>
      </c>
      <c r="U1277" s="9">
        <f>IF($A1277=VLOOKUP(YEAR($A1277),'Festive dates'!$A$2:$J$5,4,FALSE),1,0)</f>
        <v>0</v>
      </c>
      <c r="V1277" s="9">
        <f>IF(AND($A1277&gt;=VLOOKUP(YEAR($A1277),'Festive dates'!$A$2:$J$5,9,FALSE),$A1277&lt;=VLOOKUP(YEAR($A1277),'Festive dates'!$A$2:$J$5,10,FALSE)),1,0)</f>
        <v>1</v>
      </c>
      <c r="W1277" s="9">
        <f>IF($A1277=VLOOKUP(YEAR($A1277),'Festive dates'!$A$2:$J$5,7,FALSE),1,0)</f>
        <v>0</v>
      </c>
      <c r="X1277" s="1"/>
      <c r="Y1277" s="1"/>
      <c r="Z1277" s="1"/>
      <c r="AA1277" s="1"/>
      <c r="AB1277" s="1"/>
      <c r="AC1277" s="1"/>
      <c r="AD1277" s="1"/>
      <c r="AE1277" s="1"/>
      <c r="AF1277" s="1"/>
      <c r="AG1277" s="1"/>
      <c r="AH1277" s="1"/>
      <c r="AI1277" s="1"/>
      <c r="AJ1277" s="1"/>
      <c r="AK1277" s="1"/>
      <c r="AL1277" s="1"/>
      <c r="AM1277" s="1"/>
      <c r="AN1277" s="1"/>
      <c r="AO1277" s="1"/>
      <c r="AP1277" s="1"/>
      <c r="AQ1277" s="1"/>
      <c r="AR1277" s="1"/>
      <c r="AS1277" s="1"/>
      <c r="AT1277" s="1"/>
      <c r="AU1277" s="1"/>
      <c r="AV1277" s="1"/>
      <c r="AW1277" s="1"/>
      <c r="AX1277" s="1"/>
      <c r="AY1277" s="1"/>
    </row>
    <row r="1278" spans="1:51">
      <c r="A1278" s="8">
        <v>46293</v>
      </c>
      <c r="B1278" s="9">
        <v>0</v>
      </c>
      <c r="C1278" s="9">
        <v>0</v>
      </c>
      <c r="D1278" s="9">
        <v>0</v>
      </c>
      <c r="E1278" s="9">
        <v>0</v>
      </c>
      <c r="F1278" s="9">
        <v>0</v>
      </c>
      <c r="G1278" s="9">
        <v>0</v>
      </c>
      <c r="H1278" s="9">
        <v>0</v>
      </c>
      <c r="I1278" s="9">
        <v>0</v>
      </c>
      <c r="J1278" s="9">
        <v>0</v>
      </c>
      <c r="K1278" s="9">
        <v>0</v>
      </c>
      <c r="L1278" s="9">
        <v>0</v>
      </c>
      <c r="M1278" s="9">
        <v>0</v>
      </c>
      <c r="N1278" s="9">
        <v>0</v>
      </c>
      <c r="O1278" s="9">
        <v>0</v>
      </c>
      <c r="P1278" s="9">
        <v>0</v>
      </c>
      <c r="Q1278" s="9">
        <f>MAX(-20,MIN(10,$A1278-VLOOKUP(YEAR($A1278),'Festive dates'!$A$2:$J$5,8,FALSE)))</f>
        <v>-20</v>
      </c>
      <c r="R1278" s="9">
        <f>IF(AND($A1278&gt;VLOOKUP(YEAR($A1278),'Festive dates'!$A$2:$J$5,2,FALSE),$A1278&lt;VLOOKUP(YEAR($A1278),'Festive dates'!$A$2:$J$5,3,FALSE)),1,0)</f>
        <v>0</v>
      </c>
      <c r="S1278" s="9">
        <f>IF($A1278=VLOOKUP(YEAR($A1278),'Festive dates'!$A$2:$J$5,2,FALSE),1,0)</f>
        <v>0</v>
      </c>
      <c r="T1278" s="9">
        <f>IF($A1278=VLOOKUP(YEAR($A1278),'Festive dates'!$A$2:$J$5,3,FALSE),1,0)</f>
        <v>0</v>
      </c>
      <c r="U1278" s="9">
        <f>IF($A1278=VLOOKUP(YEAR($A1278),'Festive dates'!$A$2:$J$5,4,FALSE),1,0)</f>
        <v>0</v>
      </c>
      <c r="V1278" s="9">
        <f>IF(AND($A1278&gt;=VLOOKUP(YEAR($A1278),'Festive dates'!$A$2:$J$5,9,FALSE),$A1278&lt;=VLOOKUP(YEAR($A1278),'Festive dates'!$A$2:$J$5,10,FALSE)),1,0)</f>
        <v>1</v>
      </c>
      <c r="W1278" s="9">
        <f>IF($A1278=VLOOKUP(YEAR($A1278),'Festive dates'!$A$2:$J$5,7,FALSE),1,0)</f>
        <v>0</v>
      </c>
      <c r="X1278" s="1"/>
      <c r="Y1278" s="1"/>
      <c r="Z1278" s="1"/>
      <c r="AA1278" s="1"/>
      <c r="AB1278" s="1"/>
      <c r="AC1278" s="1"/>
      <c r="AD1278" s="1"/>
      <c r="AE1278" s="1"/>
      <c r="AF1278" s="1"/>
      <c r="AG1278" s="1"/>
      <c r="AH1278" s="1"/>
      <c r="AI1278" s="1"/>
      <c r="AJ1278" s="1"/>
      <c r="AK1278" s="1"/>
      <c r="AL1278" s="1"/>
      <c r="AM1278" s="1"/>
      <c r="AN1278" s="1"/>
      <c r="AO1278" s="1"/>
      <c r="AP1278" s="1"/>
      <c r="AQ1278" s="1"/>
      <c r="AR1278" s="1"/>
      <c r="AS1278" s="1"/>
      <c r="AT1278" s="1"/>
      <c r="AU1278" s="1"/>
      <c r="AV1278" s="1"/>
      <c r="AW1278" s="1"/>
      <c r="AX1278" s="1"/>
      <c r="AY1278" s="1"/>
    </row>
    <row r="1279" spans="1:51">
      <c r="A1279" s="8">
        <v>46294</v>
      </c>
      <c r="B1279" s="9">
        <v>0</v>
      </c>
      <c r="C1279" s="9">
        <v>0</v>
      </c>
      <c r="D1279" s="9">
        <v>0</v>
      </c>
      <c r="E1279" s="9">
        <v>0</v>
      </c>
      <c r="F1279" s="9">
        <v>0</v>
      </c>
      <c r="G1279" s="9">
        <v>0</v>
      </c>
      <c r="H1279" s="9">
        <v>0</v>
      </c>
      <c r="I1279" s="9">
        <v>0</v>
      </c>
      <c r="J1279" s="9">
        <v>0</v>
      </c>
      <c r="K1279" s="9">
        <v>0</v>
      </c>
      <c r="L1279" s="9">
        <v>0</v>
      </c>
      <c r="M1279" s="9">
        <v>0</v>
      </c>
      <c r="N1279" s="9">
        <v>0</v>
      </c>
      <c r="O1279" s="9">
        <v>0</v>
      </c>
      <c r="P1279" s="9">
        <v>0</v>
      </c>
      <c r="Q1279" s="9">
        <f>MAX(-20,MIN(10,$A1279-VLOOKUP(YEAR($A1279),'Festive dates'!$A$2:$J$5,8,FALSE)))</f>
        <v>-20</v>
      </c>
      <c r="R1279" s="9">
        <f>IF(AND($A1279&gt;VLOOKUP(YEAR($A1279),'Festive dates'!$A$2:$J$5,2,FALSE),$A1279&lt;VLOOKUP(YEAR($A1279),'Festive dates'!$A$2:$J$5,3,FALSE)),1,0)</f>
        <v>0</v>
      </c>
      <c r="S1279" s="9">
        <f>IF($A1279=VLOOKUP(YEAR($A1279),'Festive dates'!$A$2:$J$5,2,FALSE),1,0)</f>
        <v>0</v>
      </c>
      <c r="T1279" s="9">
        <f>IF($A1279=VLOOKUP(YEAR($A1279),'Festive dates'!$A$2:$J$5,3,FALSE),1,0)</f>
        <v>0</v>
      </c>
      <c r="U1279" s="9">
        <f>IF($A1279=VLOOKUP(YEAR($A1279),'Festive dates'!$A$2:$J$5,4,FALSE),1,0)</f>
        <v>0</v>
      </c>
      <c r="V1279" s="9">
        <f>IF(AND($A1279&gt;=VLOOKUP(YEAR($A1279),'Festive dates'!$A$2:$J$5,9,FALSE),$A1279&lt;=VLOOKUP(YEAR($A1279),'Festive dates'!$A$2:$J$5,10,FALSE)),1,0)</f>
        <v>1</v>
      </c>
      <c r="W1279" s="9">
        <f>IF($A1279=VLOOKUP(YEAR($A1279),'Festive dates'!$A$2:$J$5,7,FALSE),1,0)</f>
        <v>0</v>
      </c>
      <c r="X1279" s="1"/>
      <c r="Y1279" s="1"/>
      <c r="Z1279" s="1"/>
      <c r="AA1279" s="1"/>
      <c r="AB1279" s="1"/>
      <c r="AC1279" s="1"/>
      <c r="AD1279" s="1"/>
      <c r="AE1279" s="1"/>
      <c r="AF1279" s="1"/>
      <c r="AG1279" s="1"/>
      <c r="AH1279" s="1"/>
      <c r="AI1279" s="1"/>
      <c r="AJ1279" s="1"/>
      <c r="AK1279" s="1"/>
      <c r="AL1279" s="1"/>
      <c r="AM1279" s="1"/>
      <c r="AN1279" s="1"/>
      <c r="AO1279" s="1"/>
      <c r="AP1279" s="1"/>
      <c r="AQ1279" s="1"/>
      <c r="AR1279" s="1"/>
      <c r="AS1279" s="1"/>
      <c r="AT1279" s="1"/>
      <c r="AU1279" s="1"/>
      <c r="AV1279" s="1"/>
      <c r="AW1279" s="1"/>
      <c r="AX1279" s="1"/>
      <c r="AY1279" s="1"/>
    </row>
    <row r="1280" spans="1:51">
      <c r="A1280" s="8">
        <v>46295</v>
      </c>
      <c r="B1280" s="9">
        <v>0</v>
      </c>
      <c r="C1280" s="9">
        <v>0</v>
      </c>
      <c r="D1280" s="9">
        <v>0</v>
      </c>
      <c r="E1280" s="9">
        <v>0</v>
      </c>
      <c r="F1280" s="9">
        <v>0</v>
      </c>
      <c r="G1280" s="9">
        <v>0</v>
      </c>
      <c r="H1280" s="9">
        <v>0</v>
      </c>
      <c r="I1280" s="9">
        <v>0</v>
      </c>
      <c r="J1280" s="9">
        <v>0</v>
      </c>
      <c r="K1280" s="9">
        <v>0</v>
      </c>
      <c r="L1280" s="9">
        <v>0</v>
      </c>
      <c r="M1280" s="9">
        <v>0</v>
      </c>
      <c r="N1280" s="9">
        <v>0</v>
      </c>
      <c r="O1280" s="9">
        <v>0</v>
      </c>
      <c r="P1280" s="9">
        <v>0</v>
      </c>
      <c r="Q1280" s="9">
        <f>MAX(-20,MIN(10,$A1280-VLOOKUP(YEAR($A1280),'Festive dates'!$A$2:$J$5,8,FALSE)))</f>
        <v>-20</v>
      </c>
      <c r="R1280" s="9">
        <f>IF(AND($A1280&gt;VLOOKUP(YEAR($A1280),'Festive dates'!$A$2:$J$5,2,FALSE),$A1280&lt;VLOOKUP(YEAR($A1280),'Festive dates'!$A$2:$J$5,3,FALSE)),1,0)</f>
        <v>0</v>
      </c>
      <c r="S1280" s="9">
        <f>IF($A1280=VLOOKUP(YEAR($A1280),'Festive dates'!$A$2:$J$5,2,FALSE),1,0)</f>
        <v>0</v>
      </c>
      <c r="T1280" s="9">
        <f>IF($A1280=VLOOKUP(YEAR($A1280),'Festive dates'!$A$2:$J$5,3,FALSE),1,0)</f>
        <v>0</v>
      </c>
      <c r="U1280" s="9">
        <f>IF($A1280=VLOOKUP(YEAR($A1280),'Festive dates'!$A$2:$J$5,4,FALSE),1,0)</f>
        <v>0</v>
      </c>
      <c r="V1280" s="9">
        <f>IF(AND($A1280&gt;=VLOOKUP(YEAR($A1280),'Festive dates'!$A$2:$J$5,9,FALSE),$A1280&lt;=VLOOKUP(YEAR($A1280),'Festive dates'!$A$2:$J$5,10,FALSE)),1,0)</f>
        <v>1</v>
      </c>
      <c r="W1280" s="9">
        <f>IF($A1280=VLOOKUP(YEAR($A1280),'Festive dates'!$A$2:$J$5,7,FALSE),1,0)</f>
        <v>0</v>
      </c>
      <c r="X1280" s="1"/>
      <c r="Y1280" s="1"/>
      <c r="Z1280" s="1"/>
      <c r="AA1280" s="1"/>
      <c r="AB1280" s="1"/>
      <c r="AC1280" s="1"/>
      <c r="AD1280" s="1"/>
      <c r="AE1280" s="1"/>
      <c r="AF1280" s="1"/>
      <c r="AG1280" s="1"/>
      <c r="AH1280" s="1"/>
      <c r="AI1280" s="1"/>
      <c r="AJ1280" s="1"/>
      <c r="AK1280" s="1"/>
      <c r="AL1280" s="1"/>
      <c r="AM1280" s="1"/>
      <c r="AN1280" s="1"/>
      <c r="AO1280" s="1"/>
      <c r="AP1280" s="1"/>
      <c r="AQ1280" s="1"/>
      <c r="AR1280" s="1"/>
      <c r="AS1280" s="1"/>
      <c r="AT1280" s="1"/>
      <c r="AU1280" s="1"/>
      <c r="AV1280" s="1"/>
      <c r="AW1280" s="1"/>
      <c r="AX1280" s="1"/>
      <c r="AY1280" s="1"/>
    </row>
    <row r="1281" spans="1:51">
      <c r="A1281" s="8">
        <v>46296</v>
      </c>
      <c r="B1281" s="9">
        <v>0</v>
      </c>
      <c r="C1281" s="9">
        <v>0</v>
      </c>
      <c r="D1281" s="9">
        <v>0</v>
      </c>
      <c r="E1281" s="9">
        <v>0</v>
      </c>
      <c r="F1281" s="9">
        <v>0</v>
      </c>
      <c r="G1281" s="9">
        <v>0</v>
      </c>
      <c r="H1281" s="9">
        <v>0</v>
      </c>
      <c r="I1281" s="9">
        <v>0</v>
      </c>
      <c r="J1281" s="9">
        <v>0</v>
      </c>
      <c r="K1281" s="9">
        <v>0</v>
      </c>
      <c r="L1281" s="9">
        <v>0</v>
      </c>
      <c r="M1281" s="9">
        <v>0</v>
      </c>
      <c r="N1281" s="9">
        <v>0</v>
      </c>
      <c r="O1281" s="9">
        <v>0</v>
      </c>
      <c r="P1281" s="9">
        <v>0</v>
      </c>
      <c r="Q1281" s="9">
        <f>MAX(-20,MIN(10,$A1281-VLOOKUP(YEAR($A1281),'Festive dates'!$A$2:$J$5,8,FALSE)))</f>
        <v>-20</v>
      </c>
      <c r="R1281" s="9">
        <f>IF(AND($A1281&gt;VLOOKUP(YEAR($A1281),'Festive dates'!$A$2:$J$5,2,FALSE),$A1281&lt;VLOOKUP(YEAR($A1281),'Festive dates'!$A$2:$J$5,3,FALSE)),1,0)</f>
        <v>0</v>
      </c>
      <c r="S1281" s="9">
        <f>IF($A1281=VLOOKUP(YEAR($A1281),'Festive dates'!$A$2:$J$5,2,FALSE),1,0)</f>
        <v>0</v>
      </c>
      <c r="T1281" s="9">
        <f>IF($A1281=VLOOKUP(YEAR($A1281),'Festive dates'!$A$2:$J$5,3,FALSE),1,0)</f>
        <v>0</v>
      </c>
      <c r="U1281" s="9">
        <f>IF($A1281=VLOOKUP(YEAR($A1281),'Festive dates'!$A$2:$J$5,4,FALSE),1,0)</f>
        <v>0</v>
      </c>
      <c r="V1281" s="9">
        <f>IF(AND($A1281&gt;=VLOOKUP(YEAR($A1281),'Festive dates'!$A$2:$J$5,9,FALSE),$A1281&lt;=VLOOKUP(YEAR($A1281),'Festive dates'!$A$2:$J$5,10,FALSE)),1,0)</f>
        <v>1</v>
      </c>
      <c r="W1281" s="9">
        <f>IF($A1281=VLOOKUP(YEAR($A1281),'Festive dates'!$A$2:$J$5,7,FALSE),1,0)</f>
        <v>0</v>
      </c>
      <c r="X1281" s="1"/>
      <c r="Y1281" s="1"/>
      <c r="Z1281" s="1"/>
      <c r="AA1281" s="1"/>
      <c r="AB1281" s="1"/>
      <c r="AC1281" s="1"/>
      <c r="AD1281" s="1"/>
      <c r="AE1281" s="1"/>
      <c r="AF1281" s="1"/>
      <c r="AG1281" s="1"/>
      <c r="AH1281" s="1"/>
      <c r="AI1281" s="1"/>
      <c r="AJ1281" s="1"/>
      <c r="AK1281" s="1"/>
      <c r="AL1281" s="1"/>
      <c r="AM1281" s="1"/>
      <c r="AN1281" s="1"/>
      <c r="AO1281" s="1"/>
      <c r="AP1281" s="1"/>
      <c r="AQ1281" s="1"/>
      <c r="AR1281" s="1"/>
      <c r="AS1281" s="1"/>
      <c r="AT1281" s="1"/>
      <c r="AU1281" s="1"/>
      <c r="AV1281" s="1"/>
      <c r="AW1281" s="1"/>
      <c r="AX1281" s="1"/>
      <c r="AY1281" s="1"/>
    </row>
    <row r="1282" spans="1:51">
      <c r="A1282" s="8">
        <v>46297</v>
      </c>
      <c r="B1282" s="9">
        <v>0</v>
      </c>
      <c r="C1282" s="9">
        <v>0</v>
      </c>
      <c r="D1282" s="9">
        <v>0</v>
      </c>
      <c r="E1282" s="9">
        <v>0</v>
      </c>
      <c r="F1282" s="9">
        <v>0</v>
      </c>
      <c r="G1282" s="9">
        <v>0</v>
      </c>
      <c r="H1282" s="9">
        <v>0</v>
      </c>
      <c r="I1282" s="9">
        <v>0</v>
      </c>
      <c r="J1282" s="9">
        <v>0</v>
      </c>
      <c r="K1282" s="9">
        <v>0</v>
      </c>
      <c r="L1282" s="9">
        <v>0</v>
      </c>
      <c r="M1282" s="9">
        <v>0</v>
      </c>
      <c r="N1282" s="9">
        <v>0</v>
      </c>
      <c r="O1282" s="9">
        <v>0</v>
      </c>
      <c r="P1282" s="9">
        <v>0</v>
      </c>
      <c r="Q1282" s="9">
        <f>MAX(-20,MIN(10,$A1282-VLOOKUP(YEAR($A1282),'Festive dates'!$A$2:$J$5,8,FALSE)))</f>
        <v>-20</v>
      </c>
      <c r="R1282" s="9">
        <f>IF(AND($A1282&gt;VLOOKUP(YEAR($A1282),'Festive dates'!$A$2:$J$5,2,FALSE),$A1282&lt;VLOOKUP(YEAR($A1282),'Festive dates'!$A$2:$J$5,3,FALSE)),1,0)</f>
        <v>0</v>
      </c>
      <c r="S1282" s="9">
        <f>IF($A1282=VLOOKUP(YEAR($A1282),'Festive dates'!$A$2:$J$5,2,FALSE),1,0)</f>
        <v>0</v>
      </c>
      <c r="T1282" s="9">
        <f>IF($A1282=VLOOKUP(YEAR($A1282),'Festive dates'!$A$2:$J$5,3,FALSE),1,0)</f>
        <v>0</v>
      </c>
      <c r="U1282" s="9">
        <f>IF($A1282=VLOOKUP(YEAR($A1282),'Festive dates'!$A$2:$J$5,4,FALSE),1,0)</f>
        <v>0</v>
      </c>
      <c r="V1282" s="9">
        <f>IF(AND($A1282&gt;=VLOOKUP(YEAR($A1282),'Festive dates'!$A$2:$J$5,9,FALSE),$A1282&lt;=VLOOKUP(YEAR($A1282),'Festive dates'!$A$2:$J$5,10,FALSE)),1,0)</f>
        <v>1</v>
      </c>
      <c r="W1282" s="9">
        <f>IF($A1282=VLOOKUP(YEAR($A1282),'Festive dates'!$A$2:$J$5,7,FALSE),1,0)</f>
        <v>0</v>
      </c>
      <c r="X1282" s="1"/>
      <c r="Y1282" s="1"/>
      <c r="Z1282" s="1"/>
      <c r="AA1282" s="1"/>
      <c r="AB1282" s="1"/>
      <c r="AC1282" s="1"/>
      <c r="AD1282" s="1"/>
      <c r="AE1282" s="1"/>
      <c r="AF1282" s="1"/>
      <c r="AG1282" s="1"/>
      <c r="AH1282" s="1"/>
      <c r="AI1282" s="1"/>
      <c r="AJ1282" s="1"/>
      <c r="AK1282" s="1"/>
      <c r="AL1282" s="1"/>
      <c r="AM1282" s="1"/>
      <c r="AN1282" s="1"/>
      <c r="AO1282" s="1"/>
      <c r="AP1282" s="1"/>
      <c r="AQ1282" s="1"/>
      <c r="AR1282" s="1"/>
      <c r="AS1282" s="1"/>
      <c r="AT1282" s="1"/>
      <c r="AU1282" s="1"/>
      <c r="AV1282" s="1"/>
      <c r="AW1282" s="1"/>
      <c r="AX1282" s="1"/>
      <c r="AY1282" s="1"/>
    </row>
    <row r="1283" spans="1:51">
      <c r="A1283" s="8">
        <v>46298</v>
      </c>
      <c r="B1283" s="9">
        <v>0</v>
      </c>
      <c r="C1283" s="9">
        <v>0</v>
      </c>
      <c r="D1283" s="9">
        <v>0</v>
      </c>
      <c r="E1283" s="9">
        <v>0</v>
      </c>
      <c r="F1283" s="9">
        <v>0</v>
      </c>
      <c r="G1283" s="9">
        <v>0</v>
      </c>
      <c r="H1283" s="9">
        <v>0</v>
      </c>
      <c r="I1283" s="9">
        <v>0</v>
      </c>
      <c r="J1283" s="9">
        <v>0</v>
      </c>
      <c r="K1283" s="9">
        <v>0</v>
      </c>
      <c r="L1283" s="9">
        <v>0</v>
      </c>
      <c r="M1283" s="9">
        <v>0</v>
      </c>
      <c r="N1283" s="9">
        <v>0</v>
      </c>
      <c r="O1283" s="9">
        <v>0</v>
      </c>
      <c r="P1283" s="9">
        <v>0</v>
      </c>
      <c r="Q1283" s="9">
        <f>MAX(-20,MIN(10,$A1283-VLOOKUP(YEAR($A1283),'Festive dates'!$A$2:$J$5,8,FALSE)))</f>
        <v>-20</v>
      </c>
      <c r="R1283" s="9">
        <f>IF(AND($A1283&gt;VLOOKUP(YEAR($A1283),'Festive dates'!$A$2:$J$5,2,FALSE),$A1283&lt;VLOOKUP(YEAR($A1283),'Festive dates'!$A$2:$J$5,3,FALSE)),1,0)</f>
        <v>0</v>
      </c>
      <c r="S1283" s="9">
        <f>IF($A1283=VLOOKUP(YEAR($A1283),'Festive dates'!$A$2:$J$5,2,FALSE),1,0)</f>
        <v>0</v>
      </c>
      <c r="T1283" s="9">
        <f>IF($A1283=VLOOKUP(YEAR($A1283),'Festive dates'!$A$2:$J$5,3,FALSE),1,0)</f>
        <v>0</v>
      </c>
      <c r="U1283" s="9">
        <f>IF($A1283=VLOOKUP(YEAR($A1283),'Festive dates'!$A$2:$J$5,4,FALSE),1,0)</f>
        <v>0</v>
      </c>
      <c r="V1283" s="9">
        <f>IF(AND($A1283&gt;=VLOOKUP(YEAR($A1283),'Festive dates'!$A$2:$J$5,9,FALSE),$A1283&lt;=VLOOKUP(YEAR($A1283),'Festive dates'!$A$2:$J$5,10,FALSE)),1,0)</f>
        <v>1</v>
      </c>
      <c r="W1283" s="9">
        <f>IF($A1283=VLOOKUP(YEAR($A1283),'Festive dates'!$A$2:$J$5,7,FALSE),1,0)</f>
        <v>0</v>
      </c>
      <c r="X1283" s="1"/>
      <c r="Y1283" s="1"/>
      <c r="Z1283" s="1"/>
      <c r="AA1283" s="1"/>
      <c r="AB1283" s="1"/>
      <c r="AC1283" s="1"/>
      <c r="AD1283" s="1"/>
      <c r="AE1283" s="1"/>
      <c r="AF1283" s="1"/>
      <c r="AG1283" s="1"/>
      <c r="AH1283" s="1"/>
      <c r="AI1283" s="1"/>
      <c r="AJ1283" s="1"/>
      <c r="AK1283" s="1"/>
      <c r="AL1283" s="1"/>
      <c r="AM1283" s="1"/>
      <c r="AN1283" s="1"/>
      <c r="AO1283" s="1"/>
      <c r="AP1283" s="1"/>
      <c r="AQ1283" s="1"/>
      <c r="AR1283" s="1"/>
      <c r="AS1283" s="1"/>
      <c r="AT1283" s="1"/>
      <c r="AU1283" s="1"/>
      <c r="AV1283" s="1"/>
      <c r="AW1283" s="1"/>
      <c r="AX1283" s="1"/>
      <c r="AY1283" s="1"/>
    </row>
    <row r="1284" spans="1:51">
      <c r="A1284" s="8">
        <v>46299</v>
      </c>
      <c r="B1284" s="9">
        <v>0</v>
      </c>
      <c r="C1284" s="9">
        <v>0</v>
      </c>
      <c r="D1284" s="9">
        <v>0</v>
      </c>
      <c r="E1284" s="9">
        <v>0</v>
      </c>
      <c r="F1284" s="9">
        <v>0</v>
      </c>
      <c r="G1284" s="9">
        <v>0</v>
      </c>
      <c r="H1284" s="9">
        <v>0</v>
      </c>
      <c r="I1284" s="9">
        <v>0</v>
      </c>
      <c r="J1284" s="9">
        <v>0</v>
      </c>
      <c r="K1284" s="9">
        <v>0</v>
      </c>
      <c r="L1284" s="9">
        <v>0</v>
      </c>
      <c r="M1284" s="9">
        <v>0</v>
      </c>
      <c r="N1284" s="9">
        <v>0</v>
      </c>
      <c r="O1284" s="9">
        <v>0</v>
      </c>
      <c r="P1284" s="9">
        <v>0</v>
      </c>
      <c r="Q1284" s="9">
        <f>MAX(-20,MIN(10,$A1284-VLOOKUP(YEAR($A1284),'Festive dates'!$A$2:$J$5,8,FALSE)))</f>
        <v>-20</v>
      </c>
      <c r="R1284" s="9">
        <f>IF(AND($A1284&gt;VLOOKUP(YEAR($A1284),'Festive dates'!$A$2:$J$5,2,FALSE),$A1284&lt;VLOOKUP(YEAR($A1284),'Festive dates'!$A$2:$J$5,3,FALSE)),1,0)</f>
        <v>0</v>
      </c>
      <c r="S1284" s="9">
        <f>IF($A1284=VLOOKUP(YEAR($A1284),'Festive dates'!$A$2:$J$5,2,FALSE),1,0)</f>
        <v>0</v>
      </c>
      <c r="T1284" s="9">
        <f>IF($A1284=VLOOKUP(YEAR($A1284),'Festive dates'!$A$2:$J$5,3,FALSE),1,0)</f>
        <v>0</v>
      </c>
      <c r="U1284" s="9">
        <f>IF($A1284=VLOOKUP(YEAR($A1284),'Festive dates'!$A$2:$J$5,4,FALSE),1,0)</f>
        <v>0</v>
      </c>
      <c r="V1284" s="9">
        <f>IF(AND($A1284&gt;=VLOOKUP(YEAR($A1284),'Festive dates'!$A$2:$J$5,9,FALSE),$A1284&lt;=VLOOKUP(YEAR($A1284),'Festive dates'!$A$2:$J$5,10,FALSE)),1,0)</f>
        <v>1</v>
      </c>
      <c r="W1284" s="9">
        <f>IF($A1284=VLOOKUP(YEAR($A1284),'Festive dates'!$A$2:$J$5,7,FALSE),1,0)</f>
        <v>0</v>
      </c>
      <c r="X1284" s="1"/>
      <c r="Y1284" s="1"/>
      <c r="Z1284" s="1"/>
      <c r="AA1284" s="1"/>
      <c r="AB1284" s="1"/>
      <c r="AC1284" s="1"/>
      <c r="AD1284" s="1"/>
      <c r="AE1284" s="1"/>
      <c r="AF1284" s="1"/>
      <c r="AG1284" s="1"/>
      <c r="AH1284" s="1"/>
      <c r="AI1284" s="1"/>
      <c r="AJ1284" s="1"/>
      <c r="AK1284" s="1"/>
      <c r="AL1284" s="1"/>
      <c r="AM1284" s="1"/>
      <c r="AN1284" s="1"/>
      <c r="AO1284" s="1"/>
      <c r="AP1284" s="1"/>
      <c r="AQ1284" s="1"/>
      <c r="AR1284" s="1"/>
      <c r="AS1284" s="1"/>
      <c r="AT1284" s="1"/>
      <c r="AU1284" s="1"/>
      <c r="AV1284" s="1"/>
      <c r="AW1284" s="1"/>
      <c r="AX1284" s="1"/>
      <c r="AY1284" s="1"/>
    </row>
    <row r="1285" spans="1:51">
      <c r="A1285" s="8">
        <v>46300</v>
      </c>
      <c r="B1285" s="9">
        <v>0</v>
      </c>
      <c r="C1285" s="9">
        <v>0</v>
      </c>
      <c r="D1285" s="9">
        <v>0</v>
      </c>
      <c r="E1285" s="9">
        <v>0</v>
      </c>
      <c r="F1285" s="9">
        <v>0</v>
      </c>
      <c r="G1285" s="9">
        <v>0</v>
      </c>
      <c r="H1285" s="9">
        <v>0</v>
      </c>
      <c r="I1285" s="9">
        <v>0</v>
      </c>
      <c r="J1285" s="9">
        <v>0</v>
      </c>
      <c r="K1285" s="9">
        <v>0</v>
      </c>
      <c r="L1285" s="9">
        <v>0</v>
      </c>
      <c r="M1285" s="9">
        <v>0</v>
      </c>
      <c r="N1285" s="9">
        <v>0</v>
      </c>
      <c r="O1285" s="9">
        <v>0</v>
      </c>
      <c r="P1285" s="9">
        <v>0</v>
      </c>
      <c r="Q1285" s="9">
        <f>MAX(-20,MIN(10,$A1285-VLOOKUP(YEAR($A1285),'Festive dates'!$A$2:$J$5,8,FALSE)))</f>
        <v>-20</v>
      </c>
      <c r="R1285" s="9">
        <f>IF(AND($A1285&gt;VLOOKUP(YEAR($A1285),'Festive dates'!$A$2:$J$5,2,FALSE),$A1285&lt;VLOOKUP(YEAR($A1285),'Festive dates'!$A$2:$J$5,3,FALSE)),1,0)</f>
        <v>0</v>
      </c>
      <c r="S1285" s="9">
        <f>IF($A1285=VLOOKUP(YEAR($A1285),'Festive dates'!$A$2:$J$5,2,FALSE),1,0)</f>
        <v>0</v>
      </c>
      <c r="T1285" s="9">
        <f>IF($A1285=VLOOKUP(YEAR($A1285),'Festive dates'!$A$2:$J$5,3,FALSE),1,0)</f>
        <v>0</v>
      </c>
      <c r="U1285" s="9">
        <f>IF($A1285=VLOOKUP(YEAR($A1285),'Festive dates'!$A$2:$J$5,4,FALSE),1,0)</f>
        <v>0</v>
      </c>
      <c r="V1285" s="9">
        <f>IF(AND($A1285&gt;=VLOOKUP(YEAR($A1285),'Festive dates'!$A$2:$J$5,9,FALSE),$A1285&lt;=VLOOKUP(YEAR($A1285),'Festive dates'!$A$2:$J$5,10,FALSE)),1,0)</f>
        <v>1</v>
      </c>
      <c r="W1285" s="9">
        <f>IF($A1285=VLOOKUP(YEAR($A1285),'Festive dates'!$A$2:$J$5,7,FALSE),1,0)</f>
        <v>0</v>
      </c>
      <c r="X1285" s="1"/>
      <c r="Y1285" s="1"/>
      <c r="Z1285" s="1"/>
      <c r="AA1285" s="1"/>
      <c r="AB1285" s="1"/>
      <c r="AC1285" s="1"/>
      <c r="AD1285" s="1"/>
      <c r="AE1285" s="1"/>
      <c r="AF1285" s="1"/>
      <c r="AG1285" s="1"/>
      <c r="AH1285" s="1"/>
      <c r="AI1285" s="1"/>
      <c r="AJ1285" s="1"/>
      <c r="AK1285" s="1"/>
      <c r="AL1285" s="1"/>
      <c r="AM1285" s="1"/>
      <c r="AN1285" s="1"/>
      <c r="AO1285" s="1"/>
      <c r="AP1285" s="1"/>
      <c r="AQ1285" s="1"/>
      <c r="AR1285" s="1"/>
      <c r="AS1285" s="1"/>
      <c r="AT1285" s="1"/>
      <c r="AU1285" s="1"/>
      <c r="AV1285" s="1"/>
      <c r="AW1285" s="1"/>
      <c r="AX1285" s="1"/>
      <c r="AY1285" s="1"/>
    </row>
    <row r="1286" spans="1:51">
      <c r="A1286" s="8">
        <v>46301</v>
      </c>
      <c r="B1286" s="9">
        <v>0</v>
      </c>
      <c r="C1286" s="9">
        <v>0</v>
      </c>
      <c r="D1286" s="9">
        <v>0</v>
      </c>
      <c r="E1286" s="9">
        <v>0</v>
      </c>
      <c r="F1286" s="9">
        <v>0</v>
      </c>
      <c r="G1286" s="9">
        <v>0</v>
      </c>
      <c r="H1286" s="9">
        <v>0</v>
      </c>
      <c r="I1286" s="9">
        <v>0</v>
      </c>
      <c r="J1286" s="9">
        <v>0</v>
      </c>
      <c r="K1286" s="9">
        <v>0</v>
      </c>
      <c r="L1286" s="9">
        <v>0</v>
      </c>
      <c r="M1286" s="9">
        <v>0</v>
      </c>
      <c r="N1286" s="9">
        <v>0</v>
      </c>
      <c r="O1286" s="9">
        <v>0</v>
      </c>
      <c r="P1286" s="9">
        <v>0</v>
      </c>
      <c r="Q1286" s="9">
        <f>MAX(-20,MIN(10,$A1286-VLOOKUP(YEAR($A1286),'Festive dates'!$A$2:$J$5,8,FALSE)))</f>
        <v>-20</v>
      </c>
      <c r="R1286" s="9">
        <f>IF(AND($A1286&gt;VLOOKUP(YEAR($A1286),'Festive dates'!$A$2:$J$5,2,FALSE),$A1286&lt;VLOOKUP(YEAR($A1286),'Festive dates'!$A$2:$J$5,3,FALSE)),1,0)</f>
        <v>0</v>
      </c>
      <c r="S1286" s="9">
        <f>IF($A1286=VLOOKUP(YEAR($A1286),'Festive dates'!$A$2:$J$5,2,FALSE),1,0)</f>
        <v>0</v>
      </c>
      <c r="T1286" s="9">
        <f>IF($A1286=VLOOKUP(YEAR($A1286),'Festive dates'!$A$2:$J$5,3,FALSE),1,0)</f>
        <v>0</v>
      </c>
      <c r="U1286" s="9">
        <f>IF($A1286=VLOOKUP(YEAR($A1286),'Festive dates'!$A$2:$J$5,4,FALSE),1,0)</f>
        <v>0</v>
      </c>
      <c r="V1286" s="9">
        <f>IF(AND($A1286&gt;=VLOOKUP(YEAR($A1286),'Festive dates'!$A$2:$J$5,9,FALSE),$A1286&lt;=VLOOKUP(YEAR($A1286),'Festive dates'!$A$2:$J$5,10,FALSE)),1,0)</f>
        <v>1</v>
      </c>
      <c r="W1286" s="9">
        <f>IF($A1286=VLOOKUP(YEAR($A1286),'Festive dates'!$A$2:$J$5,7,FALSE),1,0)</f>
        <v>0</v>
      </c>
      <c r="X1286" s="1"/>
      <c r="Y1286" s="1"/>
      <c r="Z1286" s="1"/>
      <c r="AA1286" s="1"/>
      <c r="AB1286" s="1"/>
      <c r="AC1286" s="1"/>
      <c r="AD1286" s="1"/>
      <c r="AE1286" s="1"/>
      <c r="AF1286" s="1"/>
      <c r="AG1286" s="1"/>
      <c r="AH1286" s="1"/>
      <c r="AI1286" s="1"/>
      <c r="AJ1286" s="1"/>
      <c r="AK1286" s="1"/>
      <c r="AL1286" s="1"/>
      <c r="AM1286" s="1"/>
      <c r="AN1286" s="1"/>
      <c r="AO1286" s="1"/>
      <c r="AP1286" s="1"/>
      <c r="AQ1286" s="1"/>
      <c r="AR1286" s="1"/>
      <c r="AS1286" s="1"/>
      <c r="AT1286" s="1"/>
      <c r="AU1286" s="1"/>
      <c r="AV1286" s="1"/>
      <c r="AW1286" s="1"/>
      <c r="AX1286" s="1"/>
      <c r="AY1286" s="1"/>
    </row>
    <row r="1287" spans="1:51">
      <c r="A1287" s="8">
        <v>46302</v>
      </c>
      <c r="B1287" s="9">
        <v>0</v>
      </c>
      <c r="C1287" s="9">
        <v>0</v>
      </c>
      <c r="D1287" s="9">
        <v>0</v>
      </c>
      <c r="E1287" s="9">
        <v>0</v>
      </c>
      <c r="F1287" s="9">
        <v>0</v>
      </c>
      <c r="G1287" s="9">
        <v>0</v>
      </c>
      <c r="H1287" s="9">
        <v>0</v>
      </c>
      <c r="I1287" s="9">
        <v>0</v>
      </c>
      <c r="J1287" s="9">
        <v>0</v>
      </c>
      <c r="K1287" s="9">
        <v>0</v>
      </c>
      <c r="L1287" s="9">
        <v>0</v>
      </c>
      <c r="M1287" s="9">
        <v>0</v>
      </c>
      <c r="N1287" s="9">
        <v>0</v>
      </c>
      <c r="O1287" s="9">
        <v>0</v>
      </c>
      <c r="P1287" s="9">
        <v>0</v>
      </c>
      <c r="Q1287" s="9">
        <f>MAX(-20,MIN(10,$A1287-VLOOKUP(YEAR($A1287),'Festive dates'!$A$2:$J$5,8,FALSE)))</f>
        <v>-20</v>
      </c>
      <c r="R1287" s="9">
        <f>IF(AND($A1287&gt;VLOOKUP(YEAR($A1287),'Festive dates'!$A$2:$J$5,2,FALSE),$A1287&lt;VLOOKUP(YEAR($A1287),'Festive dates'!$A$2:$J$5,3,FALSE)),1,0)</f>
        <v>0</v>
      </c>
      <c r="S1287" s="9">
        <f>IF($A1287=VLOOKUP(YEAR($A1287),'Festive dates'!$A$2:$J$5,2,FALSE),1,0)</f>
        <v>0</v>
      </c>
      <c r="T1287" s="9">
        <f>IF($A1287=VLOOKUP(YEAR($A1287),'Festive dates'!$A$2:$J$5,3,FALSE),1,0)</f>
        <v>0</v>
      </c>
      <c r="U1287" s="9">
        <f>IF($A1287=VLOOKUP(YEAR($A1287),'Festive dates'!$A$2:$J$5,4,FALSE),1,0)</f>
        <v>0</v>
      </c>
      <c r="V1287" s="9">
        <f>IF(AND($A1287&gt;=VLOOKUP(YEAR($A1287),'Festive dates'!$A$2:$J$5,9,FALSE),$A1287&lt;=VLOOKUP(YEAR($A1287),'Festive dates'!$A$2:$J$5,10,FALSE)),1,0)</f>
        <v>1</v>
      </c>
      <c r="W1287" s="9">
        <f>IF($A1287=VLOOKUP(YEAR($A1287),'Festive dates'!$A$2:$J$5,7,FALSE),1,0)</f>
        <v>0</v>
      </c>
      <c r="X1287" s="1"/>
      <c r="Y1287" s="1"/>
      <c r="Z1287" s="1"/>
      <c r="AA1287" s="1"/>
      <c r="AB1287" s="1"/>
      <c r="AC1287" s="1"/>
      <c r="AD1287" s="1"/>
      <c r="AE1287" s="1"/>
      <c r="AF1287" s="1"/>
      <c r="AG1287" s="1"/>
      <c r="AH1287" s="1"/>
      <c r="AI1287" s="1"/>
      <c r="AJ1287" s="1"/>
      <c r="AK1287" s="1"/>
      <c r="AL1287" s="1"/>
      <c r="AM1287" s="1"/>
      <c r="AN1287" s="1"/>
      <c r="AO1287" s="1"/>
      <c r="AP1287" s="1"/>
      <c r="AQ1287" s="1"/>
      <c r="AR1287" s="1"/>
      <c r="AS1287" s="1"/>
      <c r="AT1287" s="1"/>
      <c r="AU1287" s="1"/>
      <c r="AV1287" s="1"/>
      <c r="AW1287" s="1"/>
      <c r="AX1287" s="1"/>
      <c r="AY1287" s="1"/>
    </row>
    <row r="1288" spans="1:51">
      <c r="A1288" s="8">
        <v>46303</v>
      </c>
      <c r="B1288" s="9">
        <v>0</v>
      </c>
      <c r="C1288" s="9">
        <v>0</v>
      </c>
      <c r="D1288" s="9">
        <v>0</v>
      </c>
      <c r="E1288" s="9">
        <v>0</v>
      </c>
      <c r="F1288" s="9">
        <v>0</v>
      </c>
      <c r="G1288" s="9">
        <v>0</v>
      </c>
      <c r="H1288" s="9">
        <v>0</v>
      </c>
      <c r="I1288" s="9">
        <v>0</v>
      </c>
      <c r="J1288" s="9">
        <v>0</v>
      </c>
      <c r="K1288" s="9">
        <v>0</v>
      </c>
      <c r="L1288" s="9">
        <v>0</v>
      </c>
      <c r="M1288" s="9">
        <v>0</v>
      </c>
      <c r="N1288" s="9">
        <v>0</v>
      </c>
      <c r="O1288" s="9">
        <v>0</v>
      </c>
      <c r="P1288" s="9">
        <v>0</v>
      </c>
      <c r="Q1288" s="9">
        <f>MAX(-20,MIN(10,$A1288-VLOOKUP(YEAR($A1288),'Festive dates'!$A$2:$J$5,8,FALSE)))</f>
        <v>-20</v>
      </c>
      <c r="R1288" s="9">
        <f>IF(AND($A1288&gt;VLOOKUP(YEAR($A1288),'Festive dates'!$A$2:$J$5,2,FALSE),$A1288&lt;VLOOKUP(YEAR($A1288),'Festive dates'!$A$2:$J$5,3,FALSE)),1,0)</f>
        <v>0</v>
      </c>
      <c r="S1288" s="9">
        <f>IF($A1288=VLOOKUP(YEAR($A1288),'Festive dates'!$A$2:$J$5,2,FALSE),1,0)</f>
        <v>0</v>
      </c>
      <c r="T1288" s="9">
        <f>IF($A1288=VLOOKUP(YEAR($A1288),'Festive dates'!$A$2:$J$5,3,FALSE),1,0)</f>
        <v>0</v>
      </c>
      <c r="U1288" s="9">
        <f>IF($A1288=VLOOKUP(YEAR($A1288),'Festive dates'!$A$2:$J$5,4,FALSE),1,0)</f>
        <v>0</v>
      </c>
      <c r="V1288" s="9">
        <f>IF(AND($A1288&gt;=VLOOKUP(YEAR($A1288),'Festive dates'!$A$2:$J$5,9,FALSE),$A1288&lt;=VLOOKUP(YEAR($A1288),'Festive dates'!$A$2:$J$5,10,FALSE)),1,0)</f>
        <v>1</v>
      </c>
      <c r="W1288" s="9">
        <f>IF($A1288=VLOOKUP(YEAR($A1288),'Festive dates'!$A$2:$J$5,7,FALSE),1,0)</f>
        <v>0</v>
      </c>
      <c r="X1288" s="1"/>
      <c r="Y1288" s="1"/>
      <c r="Z1288" s="1"/>
      <c r="AA1288" s="1"/>
      <c r="AB1288" s="1"/>
      <c r="AC1288" s="1"/>
      <c r="AD1288" s="1"/>
      <c r="AE1288" s="1"/>
      <c r="AF1288" s="1"/>
      <c r="AG1288" s="1"/>
      <c r="AH1288" s="1"/>
      <c r="AI1288" s="1"/>
      <c r="AJ1288" s="1"/>
      <c r="AK1288" s="1"/>
      <c r="AL1288" s="1"/>
      <c r="AM1288" s="1"/>
      <c r="AN1288" s="1"/>
      <c r="AO1288" s="1"/>
      <c r="AP1288" s="1"/>
      <c r="AQ1288" s="1"/>
      <c r="AR1288" s="1"/>
      <c r="AS1288" s="1"/>
      <c r="AT1288" s="1"/>
      <c r="AU1288" s="1"/>
      <c r="AV1288" s="1"/>
      <c r="AW1288" s="1"/>
      <c r="AX1288" s="1"/>
      <c r="AY1288" s="1"/>
    </row>
    <row r="1289" spans="1:51">
      <c r="A1289" s="8">
        <v>46304</v>
      </c>
      <c r="B1289" s="9">
        <v>0</v>
      </c>
      <c r="C1289" s="9">
        <v>0</v>
      </c>
      <c r="D1289" s="9">
        <v>0</v>
      </c>
      <c r="E1289" s="9">
        <v>0</v>
      </c>
      <c r="F1289" s="9">
        <v>0</v>
      </c>
      <c r="G1289" s="9">
        <v>0</v>
      </c>
      <c r="H1289" s="9">
        <v>0</v>
      </c>
      <c r="I1289" s="9">
        <v>0</v>
      </c>
      <c r="J1289" s="9">
        <v>0</v>
      </c>
      <c r="K1289" s="9">
        <v>0</v>
      </c>
      <c r="L1289" s="9">
        <v>0</v>
      </c>
      <c r="M1289" s="9">
        <v>0</v>
      </c>
      <c r="N1289" s="9">
        <v>0</v>
      </c>
      <c r="O1289" s="9">
        <v>0</v>
      </c>
      <c r="P1289" s="9">
        <v>0</v>
      </c>
      <c r="Q1289" s="9">
        <f>MAX(-20,MIN(10,$A1289-VLOOKUP(YEAR($A1289),'Festive dates'!$A$2:$J$5,8,FALSE)))</f>
        <v>-20</v>
      </c>
      <c r="R1289" s="9">
        <f>IF(AND($A1289&gt;VLOOKUP(YEAR($A1289),'Festive dates'!$A$2:$J$5,2,FALSE),$A1289&lt;VLOOKUP(YEAR($A1289),'Festive dates'!$A$2:$J$5,3,FALSE)),1,0)</f>
        <v>0</v>
      </c>
      <c r="S1289" s="9">
        <f>IF($A1289=VLOOKUP(YEAR($A1289),'Festive dates'!$A$2:$J$5,2,FALSE),1,0)</f>
        <v>0</v>
      </c>
      <c r="T1289" s="9">
        <f>IF($A1289=VLOOKUP(YEAR($A1289),'Festive dates'!$A$2:$J$5,3,FALSE),1,0)</f>
        <v>0</v>
      </c>
      <c r="U1289" s="9">
        <f>IF($A1289=VLOOKUP(YEAR($A1289),'Festive dates'!$A$2:$J$5,4,FALSE),1,0)</f>
        <v>0</v>
      </c>
      <c r="V1289" s="9">
        <f>IF(AND($A1289&gt;=VLOOKUP(YEAR($A1289),'Festive dates'!$A$2:$J$5,9,FALSE),$A1289&lt;=VLOOKUP(YEAR($A1289),'Festive dates'!$A$2:$J$5,10,FALSE)),1,0)</f>
        <v>1</v>
      </c>
      <c r="W1289" s="9">
        <f>IF($A1289=VLOOKUP(YEAR($A1289),'Festive dates'!$A$2:$J$5,7,FALSE),1,0)</f>
        <v>0</v>
      </c>
      <c r="X1289" s="1"/>
      <c r="Y1289" s="1"/>
      <c r="Z1289" s="1"/>
      <c r="AA1289" s="1"/>
      <c r="AB1289" s="1"/>
      <c r="AC1289" s="1"/>
      <c r="AD1289" s="1"/>
      <c r="AE1289" s="1"/>
      <c r="AF1289" s="1"/>
      <c r="AG1289" s="1"/>
      <c r="AH1289" s="1"/>
      <c r="AI1289" s="1"/>
      <c r="AJ1289" s="1"/>
      <c r="AK1289" s="1"/>
      <c r="AL1289" s="1"/>
      <c r="AM1289" s="1"/>
      <c r="AN1289" s="1"/>
      <c r="AO1289" s="1"/>
      <c r="AP1289" s="1"/>
      <c r="AQ1289" s="1"/>
      <c r="AR1289" s="1"/>
      <c r="AS1289" s="1"/>
      <c r="AT1289" s="1"/>
      <c r="AU1289" s="1"/>
      <c r="AV1289" s="1"/>
      <c r="AW1289" s="1"/>
      <c r="AX1289" s="1"/>
      <c r="AY1289" s="1"/>
    </row>
    <row r="1290" spans="1:51">
      <c r="A1290" s="8">
        <v>46305</v>
      </c>
      <c r="B1290" s="9">
        <v>0</v>
      </c>
      <c r="C1290" s="9">
        <v>0</v>
      </c>
      <c r="D1290" s="9">
        <v>0</v>
      </c>
      <c r="E1290" s="9">
        <v>0</v>
      </c>
      <c r="F1290" s="9">
        <v>0</v>
      </c>
      <c r="G1290" s="9">
        <v>0</v>
      </c>
      <c r="H1290" s="9">
        <v>0</v>
      </c>
      <c r="I1290" s="9">
        <v>0</v>
      </c>
      <c r="J1290" s="9">
        <v>0</v>
      </c>
      <c r="K1290" s="9">
        <v>0</v>
      </c>
      <c r="L1290" s="9">
        <v>0</v>
      </c>
      <c r="M1290" s="9">
        <v>0</v>
      </c>
      <c r="N1290" s="9">
        <v>0</v>
      </c>
      <c r="O1290" s="9">
        <v>0</v>
      </c>
      <c r="P1290" s="9">
        <v>0</v>
      </c>
      <c r="Q1290" s="9">
        <f>MAX(-20,MIN(10,$A1290-VLOOKUP(YEAR($A1290),'Festive dates'!$A$2:$J$5,8,FALSE)))</f>
        <v>-20</v>
      </c>
      <c r="R1290" s="9">
        <f>IF(AND($A1290&gt;VLOOKUP(YEAR($A1290),'Festive dates'!$A$2:$J$5,2,FALSE),$A1290&lt;VLOOKUP(YEAR($A1290),'Festive dates'!$A$2:$J$5,3,FALSE)),1,0)</f>
        <v>0</v>
      </c>
      <c r="S1290" s="9">
        <f>IF($A1290=VLOOKUP(YEAR($A1290),'Festive dates'!$A$2:$J$5,2,FALSE),1,0)</f>
        <v>0</v>
      </c>
      <c r="T1290" s="9">
        <f>IF($A1290=VLOOKUP(YEAR($A1290),'Festive dates'!$A$2:$J$5,3,FALSE),1,0)</f>
        <v>0</v>
      </c>
      <c r="U1290" s="9">
        <f>IF($A1290=VLOOKUP(YEAR($A1290),'Festive dates'!$A$2:$J$5,4,FALSE),1,0)</f>
        <v>0</v>
      </c>
      <c r="V1290" s="9">
        <f>IF(AND($A1290&gt;=VLOOKUP(YEAR($A1290),'Festive dates'!$A$2:$J$5,9,FALSE),$A1290&lt;=VLOOKUP(YEAR($A1290),'Festive dates'!$A$2:$J$5,10,FALSE)),1,0)</f>
        <v>1</v>
      </c>
      <c r="W1290" s="9">
        <f>IF($A1290=VLOOKUP(YEAR($A1290),'Festive dates'!$A$2:$J$5,7,FALSE),1,0)</f>
        <v>0</v>
      </c>
      <c r="X1290" s="1"/>
      <c r="Y1290" s="1"/>
      <c r="Z1290" s="1"/>
      <c r="AA1290" s="1"/>
      <c r="AB1290" s="1"/>
      <c r="AC1290" s="1"/>
      <c r="AD1290" s="1"/>
      <c r="AE1290" s="1"/>
      <c r="AF1290" s="1"/>
      <c r="AG1290" s="1"/>
      <c r="AH1290" s="1"/>
      <c r="AI1290" s="1"/>
      <c r="AJ1290" s="1"/>
      <c r="AK1290" s="1"/>
      <c r="AL1290" s="1"/>
      <c r="AM1290" s="1"/>
      <c r="AN1290" s="1"/>
      <c r="AO1290" s="1"/>
      <c r="AP1290" s="1"/>
      <c r="AQ1290" s="1"/>
      <c r="AR1290" s="1"/>
      <c r="AS1290" s="1"/>
      <c r="AT1290" s="1"/>
      <c r="AU1290" s="1"/>
      <c r="AV1290" s="1"/>
      <c r="AW1290" s="1"/>
      <c r="AX1290" s="1"/>
      <c r="AY1290" s="1"/>
    </row>
    <row r="1291" spans="1:51">
      <c r="A1291" s="8">
        <v>46306</v>
      </c>
      <c r="B1291" s="9">
        <v>0</v>
      </c>
      <c r="C1291" s="9">
        <v>0</v>
      </c>
      <c r="D1291" s="9">
        <v>0</v>
      </c>
      <c r="E1291" s="9">
        <v>0</v>
      </c>
      <c r="F1291" s="9">
        <v>0</v>
      </c>
      <c r="G1291" s="9">
        <v>0</v>
      </c>
      <c r="H1291" s="9">
        <v>0</v>
      </c>
      <c r="I1291" s="9">
        <v>0</v>
      </c>
      <c r="J1291" s="9">
        <v>0</v>
      </c>
      <c r="K1291" s="9">
        <v>0</v>
      </c>
      <c r="L1291" s="9">
        <v>0</v>
      </c>
      <c r="M1291" s="9">
        <v>0</v>
      </c>
      <c r="N1291" s="9">
        <v>0</v>
      </c>
      <c r="O1291" s="9">
        <v>0</v>
      </c>
      <c r="P1291" s="9">
        <v>0</v>
      </c>
      <c r="Q1291" s="9">
        <f>MAX(-20,MIN(10,$A1291-VLOOKUP(YEAR($A1291),'Festive dates'!$A$2:$J$5,8,FALSE)))</f>
        <v>-20</v>
      </c>
      <c r="R1291" s="9">
        <f>IF(AND($A1291&gt;VLOOKUP(YEAR($A1291),'Festive dates'!$A$2:$J$5,2,FALSE),$A1291&lt;VLOOKUP(YEAR($A1291),'Festive dates'!$A$2:$J$5,3,FALSE)),1,0)</f>
        <v>0</v>
      </c>
      <c r="S1291" s="9">
        <f>IF($A1291=VLOOKUP(YEAR($A1291),'Festive dates'!$A$2:$J$5,2,FALSE),1,0)</f>
        <v>1</v>
      </c>
      <c r="T1291" s="9">
        <f>IF($A1291=VLOOKUP(YEAR($A1291),'Festive dates'!$A$2:$J$5,3,FALSE),1,0)</f>
        <v>0</v>
      </c>
      <c r="U1291" s="9">
        <f>IF($A1291=VLOOKUP(YEAR($A1291),'Festive dates'!$A$2:$J$5,4,FALSE),1,0)</f>
        <v>0</v>
      </c>
      <c r="V1291" s="9">
        <f>IF(AND($A1291&gt;=VLOOKUP(YEAR($A1291),'Festive dates'!$A$2:$J$5,9,FALSE),$A1291&lt;=VLOOKUP(YEAR($A1291),'Festive dates'!$A$2:$J$5,10,FALSE)),1,0)</f>
        <v>0</v>
      </c>
      <c r="W1291" s="9">
        <f>IF($A1291=VLOOKUP(YEAR($A1291),'Festive dates'!$A$2:$J$5,7,FALSE),1,0)</f>
        <v>0</v>
      </c>
      <c r="X1291" s="1"/>
      <c r="Y1291" s="1"/>
      <c r="Z1291" s="1"/>
      <c r="AA1291" s="1"/>
      <c r="AB1291" s="1"/>
      <c r="AC1291" s="1"/>
      <c r="AD1291" s="1"/>
      <c r="AE1291" s="1"/>
      <c r="AF1291" s="1"/>
      <c r="AG1291" s="1"/>
      <c r="AH1291" s="1"/>
      <c r="AI1291" s="1"/>
      <c r="AJ1291" s="1"/>
      <c r="AK1291" s="1"/>
      <c r="AL1291" s="1"/>
      <c r="AM1291" s="1"/>
      <c r="AN1291" s="1"/>
      <c r="AO1291" s="1"/>
      <c r="AP1291" s="1"/>
      <c r="AQ1291" s="1"/>
      <c r="AR1291" s="1"/>
      <c r="AS1291" s="1"/>
      <c r="AT1291" s="1"/>
      <c r="AU1291" s="1"/>
      <c r="AV1291" s="1"/>
      <c r="AW1291" s="1"/>
      <c r="AX1291" s="1"/>
      <c r="AY1291" s="1"/>
    </row>
    <row r="1292" spans="1:51">
      <c r="A1292" s="8">
        <v>46307</v>
      </c>
      <c r="B1292" s="9">
        <v>0</v>
      </c>
      <c r="C1292" s="9">
        <v>0</v>
      </c>
      <c r="D1292" s="9">
        <v>0</v>
      </c>
      <c r="E1292" s="9">
        <v>0</v>
      </c>
      <c r="F1292" s="9">
        <v>0</v>
      </c>
      <c r="G1292" s="9">
        <v>0</v>
      </c>
      <c r="H1292" s="9">
        <v>0</v>
      </c>
      <c r="I1292" s="9">
        <v>0</v>
      </c>
      <c r="J1292" s="9">
        <v>0</v>
      </c>
      <c r="K1292" s="9">
        <v>0</v>
      </c>
      <c r="L1292" s="9">
        <v>0</v>
      </c>
      <c r="M1292" s="9">
        <v>0</v>
      </c>
      <c r="N1292" s="9">
        <v>0</v>
      </c>
      <c r="O1292" s="9">
        <v>0</v>
      </c>
      <c r="P1292" s="9">
        <v>0</v>
      </c>
      <c r="Q1292" s="9">
        <f>MAX(-20,MIN(10,$A1292-VLOOKUP(YEAR($A1292),'Festive dates'!$A$2:$J$5,8,FALSE)))</f>
        <v>-20</v>
      </c>
      <c r="R1292" s="9">
        <f>IF(AND($A1292&gt;VLOOKUP(YEAR($A1292),'Festive dates'!$A$2:$J$5,2,FALSE),$A1292&lt;VLOOKUP(YEAR($A1292),'Festive dates'!$A$2:$J$5,3,FALSE)),1,0)</f>
        <v>1</v>
      </c>
      <c r="S1292" s="9">
        <f>IF($A1292=VLOOKUP(YEAR($A1292),'Festive dates'!$A$2:$J$5,2,FALSE),1,0)</f>
        <v>0</v>
      </c>
      <c r="T1292" s="9">
        <f>IF($A1292=VLOOKUP(YEAR($A1292),'Festive dates'!$A$2:$J$5,3,FALSE),1,0)</f>
        <v>0</v>
      </c>
      <c r="U1292" s="9">
        <f>IF($A1292=VLOOKUP(YEAR($A1292),'Festive dates'!$A$2:$J$5,4,FALSE),1,0)</f>
        <v>0</v>
      </c>
      <c r="V1292" s="9">
        <f>IF(AND($A1292&gt;=VLOOKUP(YEAR($A1292),'Festive dates'!$A$2:$J$5,9,FALSE),$A1292&lt;=VLOOKUP(YEAR($A1292),'Festive dates'!$A$2:$J$5,10,FALSE)),1,0)</f>
        <v>0</v>
      </c>
      <c r="W1292" s="9">
        <f>IF($A1292=VLOOKUP(YEAR($A1292),'Festive dates'!$A$2:$J$5,7,FALSE),1,0)</f>
        <v>0</v>
      </c>
      <c r="X1292" s="1"/>
      <c r="Y1292" s="1"/>
      <c r="Z1292" s="1"/>
      <c r="AA1292" s="1"/>
      <c r="AB1292" s="1"/>
      <c r="AC1292" s="1"/>
      <c r="AD1292" s="1"/>
      <c r="AE1292" s="1"/>
      <c r="AF1292" s="1"/>
      <c r="AG1292" s="1"/>
      <c r="AH1292" s="1"/>
      <c r="AI1292" s="1"/>
      <c r="AJ1292" s="1"/>
      <c r="AK1292" s="1"/>
      <c r="AL1292" s="1"/>
      <c r="AM1292" s="1"/>
      <c r="AN1292" s="1"/>
      <c r="AO1292" s="1"/>
      <c r="AP1292" s="1"/>
      <c r="AQ1292" s="1"/>
      <c r="AR1292" s="1"/>
      <c r="AS1292" s="1"/>
      <c r="AT1292" s="1"/>
      <c r="AU1292" s="1"/>
      <c r="AV1292" s="1"/>
      <c r="AW1292" s="1"/>
      <c r="AX1292" s="1"/>
      <c r="AY1292" s="1"/>
    </row>
    <row r="1293" spans="1:51">
      <c r="A1293" s="8">
        <v>46308</v>
      </c>
      <c r="B1293" s="9">
        <v>0</v>
      </c>
      <c r="C1293" s="9">
        <v>0</v>
      </c>
      <c r="D1293" s="9">
        <v>0</v>
      </c>
      <c r="E1293" s="9">
        <v>0</v>
      </c>
      <c r="F1293" s="9">
        <v>0</v>
      </c>
      <c r="G1293" s="9">
        <v>0</v>
      </c>
      <c r="H1293" s="9">
        <v>0</v>
      </c>
      <c r="I1293" s="9">
        <v>0</v>
      </c>
      <c r="J1293" s="9">
        <v>0</v>
      </c>
      <c r="K1293" s="9">
        <v>0</v>
      </c>
      <c r="L1293" s="9">
        <v>0</v>
      </c>
      <c r="M1293" s="9">
        <v>0</v>
      </c>
      <c r="N1293" s="9">
        <v>0</v>
      </c>
      <c r="O1293" s="9">
        <v>0</v>
      </c>
      <c r="P1293" s="9">
        <v>0</v>
      </c>
      <c r="Q1293" s="9">
        <f>MAX(-20,MIN(10,$A1293-VLOOKUP(YEAR($A1293),'Festive dates'!$A$2:$J$5,8,FALSE)))</f>
        <v>-20</v>
      </c>
      <c r="R1293" s="9">
        <f>IF(AND($A1293&gt;VLOOKUP(YEAR($A1293),'Festive dates'!$A$2:$J$5,2,FALSE),$A1293&lt;VLOOKUP(YEAR($A1293),'Festive dates'!$A$2:$J$5,3,FALSE)),1,0)</f>
        <v>1</v>
      </c>
      <c r="S1293" s="9">
        <f>IF($A1293=VLOOKUP(YEAR($A1293),'Festive dates'!$A$2:$J$5,2,FALSE),1,0)</f>
        <v>0</v>
      </c>
      <c r="T1293" s="9">
        <f>IF($A1293=VLOOKUP(YEAR($A1293),'Festive dates'!$A$2:$J$5,3,FALSE),1,0)</f>
        <v>0</v>
      </c>
      <c r="U1293" s="9">
        <f>IF($A1293=VLOOKUP(YEAR($A1293),'Festive dates'!$A$2:$J$5,4,FALSE),1,0)</f>
        <v>0</v>
      </c>
      <c r="V1293" s="9">
        <f>IF(AND($A1293&gt;=VLOOKUP(YEAR($A1293),'Festive dates'!$A$2:$J$5,9,FALSE),$A1293&lt;=VLOOKUP(YEAR($A1293),'Festive dates'!$A$2:$J$5,10,FALSE)),1,0)</f>
        <v>0</v>
      </c>
      <c r="W1293" s="9">
        <f>IF($A1293=VLOOKUP(YEAR($A1293),'Festive dates'!$A$2:$J$5,7,FALSE),1,0)</f>
        <v>0</v>
      </c>
      <c r="X1293" s="1"/>
      <c r="Y1293" s="1"/>
      <c r="Z1293" s="1"/>
      <c r="AA1293" s="1"/>
      <c r="AB1293" s="1"/>
      <c r="AC1293" s="1"/>
      <c r="AD1293" s="1"/>
      <c r="AE1293" s="1"/>
      <c r="AF1293" s="1"/>
      <c r="AG1293" s="1"/>
      <c r="AH1293" s="1"/>
      <c r="AI1293" s="1"/>
      <c r="AJ1293" s="1"/>
      <c r="AK1293" s="1"/>
      <c r="AL1293" s="1"/>
      <c r="AM1293" s="1"/>
      <c r="AN1293" s="1"/>
      <c r="AO1293" s="1"/>
      <c r="AP1293" s="1"/>
      <c r="AQ1293" s="1"/>
      <c r="AR1293" s="1"/>
      <c r="AS1293" s="1"/>
      <c r="AT1293" s="1"/>
      <c r="AU1293" s="1"/>
      <c r="AV1293" s="1"/>
      <c r="AW1293" s="1"/>
      <c r="AX1293" s="1"/>
      <c r="AY1293" s="1"/>
    </row>
    <row r="1294" spans="1:51">
      <c r="A1294" s="8">
        <v>46309</v>
      </c>
      <c r="B1294" s="9">
        <v>0</v>
      </c>
      <c r="C1294" s="9">
        <v>0</v>
      </c>
      <c r="D1294" s="9">
        <v>0</v>
      </c>
      <c r="E1294" s="9">
        <v>0</v>
      </c>
      <c r="F1294" s="9">
        <v>0</v>
      </c>
      <c r="G1294" s="9">
        <v>0</v>
      </c>
      <c r="H1294" s="9">
        <v>0</v>
      </c>
      <c r="I1294" s="9">
        <v>0</v>
      </c>
      <c r="J1294" s="9">
        <v>0</v>
      </c>
      <c r="K1294" s="9">
        <v>0</v>
      </c>
      <c r="L1294" s="9">
        <v>0</v>
      </c>
      <c r="M1294" s="9">
        <v>0</v>
      </c>
      <c r="N1294" s="9">
        <v>0</v>
      </c>
      <c r="O1294" s="9">
        <v>0</v>
      </c>
      <c r="P1294" s="9">
        <v>0</v>
      </c>
      <c r="Q1294" s="9">
        <f>MAX(-20,MIN(10,$A1294-VLOOKUP(YEAR($A1294),'Festive dates'!$A$2:$J$5,8,FALSE)))</f>
        <v>-20</v>
      </c>
      <c r="R1294" s="9">
        <f>IF(AND($A1294&gt;VLOOKUP(YEAR($A1294),'Festive dates'!$A$2:$J$5,2,FALSE),$A1294&lt;VLOOKUP(YEAR($A1294),'Festive dates'!$A$2:$J$5,3,FALSE)),1,0)</f>
        <v>1</v>
      </c>
      <c r="S1294" s="9">
        <f>IF($A1294=VLOOKUP(YEAR($A1294),'Festive dates'!$A$2:$J$5,2,FALSE),1,0)</f>
        <v>0</v>
      </c>
      <c r="T1294" s="9">
        <f>IF($A1294=VLOOKUP(YEAR($A1294),'Festive dates'!$A$2:$J$5,3,FALSE),1,0)</f>
        <v>0</v>
      </c>
      <c r="U1294" s="9">
        <f>IF($A1294=VLOOKUP(YEAR($A1294),'Festive dates'!$A$2:$J$5,4,FALSE),1,0)</f>
        <v>0</v>
      </c>
      <c r="V1294" s="9">
        <f>IF(AND($A1294&gt;=VLOOKUP(YEAR($A1294),'Festive dates'!$A$2:$J$5,9,FALSE),$A1294&lt;=VLOOKUP(YEAR($A1294),'Festive dates'!$A$2:$J$5,10,FALSE)),1,0)</f>
        <v>0</v>
      </c>
      <c r="W1294" s="9">
        <f>IF($A1294=VLOOKUP(YEAR($A1294),'Festive dates'!$A$2:$J$5,7,FALSE),1,0)</f>
        <v>0</v>
      </c>
      <c r="X1294" s="1"/>
      <c r="Y1294" s="1"/>
      <c r="Z1294" s="1"/>
      <c r="AA1294" s="1"/>
      <c r="AB1294" s="1"/>
      <c r="AC1294" s="1"/>
      <c r="AD1294" s="1"/>
      <c r="AE1294" s="1"/>
      <c r="AF1294" s="1"/>
      <c r="AG1294" s="1"/>
      <c r="AH1294" s="1"/>
      <c r="AI1294" s="1"/>
      <c r="AJ1294" s="1"/>
      <c r="AK1294" s="1"/>
      <c r="AL1294" s="1"/>
      <c r="AM1294" s="1"/>
      <c r="AN1294" s="1"/>
      <c r="AO1294" s="1"/>
      <c r="AP1294" s="1"/>
      <c r="AQ1294" s="1"/>
      <c r="AR1294" s="1"/>
      <c r="AS1294" s="1"/>
      <c r="AT1294" s="1"/>
      <c r="AU1294" s="1"/>
      <c r="AV1294" s="1"/>
      <c r="AW1294" s="1"/>
      <c r="AX1294" s="1"/>
      <c r="AY1294" s="1"/>
    </row>
    <row r="1295" spans="1:51">
      <c r="A1295" s="8">
        <v>46310</v>
      </c>
      <c r="B1295" s="9">
        <v>0</v>
      </c>
      <c r="C1295" s="9">
        <v>0</v>
      </c>
      <c r="D1295" s="9">
        <v>0</v>
      </c>
      <c r="E1295" s="9">
        <v>0</v>
      </c>
      <c r="F1295" s="9">
        <v>0</v>
      </c>
      <c r="G1295" s="9">
        <v>0</v>
      </c>
      <c r="H1295" s="9">
        <v>0</v>
      </c>
      <c r="I1295" s="9">
        <v>0</v>
      </c>
      <c r="J1295" s="9">
        <v>0</v>
      </c>
      <c r="K1295" s="9">
        <v>0</v>
      </c>
      <c r="L1295" s="9">
        <v>0</v>
      </c>
      <c r="M1295" s="9">
        <v>0</v>
      </c>
      <c r="N1295" s="9">
        <v>0</v>
      </c>
      <c r="O1295" s="9">
        <v>0</v>
      </c>
      <c r="P1295" s="9">
        <v>0</v>
      </c>
      <c r="Q1295" s="9">
        <f>MAX(-20,MIN(10,$A1295-VLOOKUP(YEAR($A1295),'Festive dates'!$A$2:$J$5,8,FALSE)))</f>
        <v>-20</v>
      </c>
      <c r="R1295" s="9">
        <f>IF(AND($A1295&gt;VLOOKUP(YEAR($A1295),'Festive dates'!$A$2:$J$5,2,FALSE),$A1295&lt;VLOOKUP(YEAR($A1295),'Festive dates'!$A$2:$J$5,3,FALSE)),1,0)</f>
        <v>1</v>
      </c>
      <c r="S1295" s="9">
        <f>IF($A1295=VLOOKUP(YEAR($A1295),'Festive dates'!$A$2:$J$5,2,FALSE),1,0)</f>
        <v>0</v>
      </c>
      <c r="T1295" s="9">
        <f>IF($A1295=VLOOKUP(YEAR($A1295),'Festive dates'!$A$2:$J$5,3,FALSE),1,0)</f>
        <v>0</v>
      </c>
      <c r="U1295" s="9">
        <f>IF($A1295=VLOOKUP(YEAR($A1295),'Festive dates'!$A$2:$J$5,4,FALSE),1,0)</f>
        <v>0</v>
      </c>
      <c r="V1295" s="9">
        <f>IF(AND($A1295&gt;=VLOOKUP(YEAR($A1295),'Festive dates'!$A$2:$J$5,9,FALSE),$A1295&lt;=VLOOKUP(YEAR($A1295),'Festive dates'!$A$2:$J$5,10,FALSE)),1,0)</f>
        <v>0</v>
      </c>
      <c r="W1295" s="9">
        <f>IF($A1295=VLOOKUP(YEAR($A1295),'Festive dates'!$A$2:$J$5,7,FALSE),1,0)</f>
        <v>0</v>
      </c>
      <c r="X1295" s="1"/>
      <c r="Y1295" s="1"/>
      <c r="Z1295" s="1"/>
      <c r="AA1295" s="1"/>
      <c r="AB1295" s="1"/>
      <c r="AC1295" s="1"/>
      <c r="AD1295" s="1"/>
      <c r="AE1295" s="1"/>
      <c r="AF1295" s="1"/>
      <c r="AG1295" s="1"/>
      <c r="AH1295" s="1"/>
      <c r="AI1295" s="1"/>
      <c r="AJ1295" s="1"/>
      <c r="AK1295" s="1"/>
      <c r="AL1295" s="1"/>
      <c r="AM1295" s="1"/>
      <c r="AN1295" s="1"/>
      <c r="AO1295" s="1"/>
      <c r="AP1295" s="1"/>
      <c r="AQ1295" s="1"/>
      <c r="AR1295" s="1"/>
      <c r="AS1295" s="1"/>
      <c r="AT1295" s="1"/>
      <c r="AU1295" s="1"/>
      <c r="AV1295" s="1"/>
      <c r="AW1295" s="1"/>
      <c r="AX1295" s="1"/>
      <c r="AY1295" s="1"/>
    </row>
    <row r="1296" spans="1:51">
      <c r="A1296" s="8">
        <v>46311</v>
      </c>
      <c r="B1296" s="9">
        <v>0</v>
      </c>
      <c r="C1296" s="9">
        <v>0</v>
      </c>
      <c r="D1296" s="9">
        <v>0</v>
      </c>
      <c r="E1296" s="9">
        <v>0</v>
      </c>
      <c r="F1296" s="9">
        <v>0</v>
      </c>
      <c r="G1296" s="9">
        <v>0</v>
      </c>
      <c r="H1296" s="9">
        <v>0</v>
      </c>
      <c r="I1296" s="9">
        <v>0</v>
      </c>
      <c r="J1296" s="9">
        <v>0</v>
      </c>
      <c r="K1296" s="9">
        <v>0</v>
      </c>
      <c r="L1296" s="9">
        <v>0</v>
      </c>
      <c r="M1296" s="9">
        <v>0</v>
      </c>
      <c r="N1296" s="9">
        <v>0</v>
      </c>
      <c r="O1296" s="9">
        <v>0</v>
      </c>
      <c r="P1296" s="9">
        <v>0</v>
      </c>
      <c r="Q1296" s="9">
        <f>MAX(-20,MIN(10,$A1296-VLOOKUP(YEAR($A1296),'Festive dates'!$A$2:$J$5,8,FALSE)))</f>
        <v>-20</v>
      </c>
      <c r="R1296" s="9">
        <f>IF(AND($A1296&gt;VLOOKUP(YEAR($A1296),'Festive dates'!$A$2:$J$5,2,FALSE),$A1296&lt;VLOOKUP(YEAR($A1296),'Festive dates'!$A$2:$J$5,3,FALSE)),1,0)</f>
        <v>1</v>
      </c>
      <c r="S1296" s="9">
        <f>IF($A1296=VLOOKUP(YEAR($A1296),'Festive dates'!$A$2:$J$5,2,FALSE),1,0)</f>
        <v>0</v>
      </c>
      <c r="T1296" s="9">
        <f>IF($A1296=VLOOKUP(YEAR($A1296),'Festive dates'!$A$2:$J$5,3,FALSE),1,0)</f>
        <v>0</v>
      </c>
      <c r="U1296" s="9">
        <f>IF($A1296=VLOOKUP(YEAR($A1296),'Festive dates'!$A$2:$J$5,4,FALSE),1,0)</f>
        <v>0</v>
      </c>
      <c r="V1296" s="9">
        <f>IF(AND($A1296&gt;=VLOOKUP(YEAR($A1296),'Festive dates'!$A$2:$J$5,9,FALSE),$A1296&lt;=VLOOKUP(YEAR($A1296),'Festive dates'!$A$2:$J$5,10,FALSE)),1,0)</f>
        <v>0</v>
      </c>
      <c r="W1296" s="9">
        <f>IF($A1296=VLOOKUP(YEAR($A1296),'Festive dates'!$A$2:$J$5,7,FALSE),1,0)</f>
        <v>0</v>
      </c>
      <c r="X1296" s="1"/>
      <c r="Y1296" s="1"/>
      <c r="Z1296" s="1"/>
      <c r="AA1296" s="1"/>
      <c r="AB1296" s="1"/>
      <c r="AC1296" s="1"/>
      <c r="AD1296" s="1"/>
      <c r="AE1296" s="1"/>
      <c r="AF1296" s="1"/>
      <c r="AG1296" s="1"/>
      <c r="AH1296" s="1"/>
      <c r="AI1296" s="1"/>
      <c r="AJ1296" s="1"/>
      <c r="AK1296" s="1"/>
      <c r="AL1296" s="1"/>
      <c r="AM1296" s="1"/>
      <c r="AN1296" s="1"/>
      <c r="AO1296" s="1"/>
      <c r="AP1296" s="1"/>
      <c r="AQ1296" s="1"/>
      <c r="AR1296" s="1"/>
      <c r="AS1296" s="1"/>
      <c r="AT1296" s="1"/>
      <c r="AU1296" s="1"/>
      <c r="AV1296" s="1"/>
      <c r="AW1296" s="1"/>
      <c r="AX1296" s="1"/>
      <c r="AY1296" s="1"/>
    </row>
    <row r="1297" spans="1:51">
      <c r="A1297" s="8">
        <v>46312</v>
      </c>
      <c r="B1297" s="9">
        <v>0</v>
      </c>
      <c r="C1297" s="9">
        <v>0</v>
      </c>
      <c r="D1297" s="9">
        <v>0</v>
      </c>
      <c r="E1297" s="9">
        <v>0</v>
      </c>
      <c r="F1297" s="9">
        <v>0</v>
      </c>
      <c r="G1297" s="9">
        <v>0</v>
      </c>
      <c r="H1297" s="9">
        <v>0</v>
      </c>
      <c r="I1297" s="9">
        <v>0</v>
      </c>
      <c r="J1297" s="9">
        <v>0</v>
      </c>
      <c r="K1297" s="9">
        <v>0</v>
      </c>
      <c r="L1297" s="9">
        <v>0</v>
      </c>
      <c r="M1297" s="9">
        <v>0</v>
      </c>
      <c r="N1297" s="9">
        <v>0</v>
      </c>
      <c r="O1297" s="9">
        <v>0</v>
      </c>
      <c r="P1297" s="9">
        <v>0</v>
      </c>
      <c r="Q1297" s="9">
        <f>MAX(-20,MIN(10,$A1297-VLOOKUP(YEAR($A1297),'Festive dates'!$A$2:$J$5,8,FALSE)))</f>
        <v>-20</v>
      </c>
      <c r="R1297" s="9">
        <f>IF(AND($A1297&gt;VLOOKUP(YEAR($A1297),'Festive dates'!$A$2:$J$5,2,FALSE),$A1297&lt;VLOOKUP(YEAR($A1297),'Festive dates'!$A$2:$J$5,3,FALSE)),1,0)</f>
        <v>1</v>
      </c>
      <c r="S1297" s="9">
        <f>IF($A1297=VLOOKUP(YEAR($A1297),'Festive dates'!$A$2:$J$5,2,FALSE),1,0)</f>
        <v>0</v>
      </c>
      <c r="T1297" s="9">
        <f>IF($A1297=VLOOKUP(YEAR($A1297),'Festive dates'!$A$2:$J$5,3,FALSE),1,0)</f>
        <v>0</v>
      </c>
      <c r="U1297" s="9">
        <f>IF($A1297=VLOOKUP(YEAR($A1297),'Festive dates'!$A$2:$J$5,4,FALSE),1,0)</f>
        <v>0</v>
      </c>
      <c r="V1297" s="9">
        <f>IF(AND($A1297&gt;=VLOOKUP(YEAR($A1297),'Festive dates'!$A$2:$J$5,9,FALSE),$A1297&lt;=VLOOKUP(YEAR($A1297),'Festive dates'!$A$2:$J$5,10,FALSE)),1,0)</f>
        <v>0</v>
      </c>
      <c r="W1297" s="9">
        <f>IF($A1297=VLOOKUP(YEAR($A1297),'Festive dates'!$A$2:$J$5,7,FALSE),1,0)</f>
        <v>0</v>
      </c>
      <c r="X1297" s="1"/>
      <c r="Y1297" s="1"/>
      <c r="Z1297" s="1"/>
      <c r="AA1297" s="1"/>
      <c r="AB1297" s="1"/>
      <c r="AC1297" s="1"/>
      <c r="AD1297" s="1"/>
      <c r="AE1297" s="1"/>
      <c r="AF1297" s="1"/>
      <c r="AG1297" s="1"/>
      <c r="AH1297" s="1"/>
      <c r="AI1297" s="1"/>
      <c r="AJ1297" s="1"/>
      <c r="AK1297" s="1"/>
      <c r="AL1297" s="1"/>
      <c r="AM1297" s="1"/>
      <c r="AN1297" s="1"/>
      <c r="AO1297" s="1"/>
      <c r="AP1297" s="1"/>
      <c r="AQ1297" s="1"/>
      <c r="AR1297" s="1"/>
      <c r="AS1297" s="1"/>
      <c r="AT1297" s="1"/>
      <c r="AU1297" s="1"/>
      <c r="AV1297" s="1"/>
      <c r="AW1297" s="1"/>
      <c r="AX1297" s="1"/>
      <c r="AY1297" s="1"/>
    </row>
    <row r="1298" spans="1:51">
      <c r="A1298" s="8">
        <v>46313</v>
      </c>
      <c r="B1298" s="9">
        <v>0</v>
      </c>
      <c r="C1298" s="9">
        <v>0</v>
      </c>
      <c r="D1298" s="9">
        <v>0</v>
      </c>
      <c r="E1298" s="9">
        <v>0</v>
      </c>
      <c r="F1298" s="9">
        <v>0</v>
      </c>
      <c r="G1298" s="9">
        <v>0</v>
      </c>
      <c r="H1298" s="9">
        <v>0</v>
      </c>
      <c r="I1298" s="9">
        <v>0</v>
      </c>
      <c r="J1298" s="9">
        <v>0</v>
      </c>
      <c r="K1298" s="9">
        <v>0</v>
      </c>
      <c r="L1298" s="9">
        <v>0</v>
      </c>
      <c r="M1298" s="9">
        <v>0</v>
      </c>
      <c r="N1298" s="9">
        <v>0</v>
      </c>
      <c r="O1298" s="9">
        <v>0</v>
      </c>
      <c r="P1298" s="9">
        <v>0</v>
      </c>
      <c r="Q1298" s="9">
        <f>MAX(-20,MIN(10,$A1298-VLOOKUP(YEAR($A1298),'Festive dates'!$A$2:$J$5,8,FALSE)))</f>
        <v>-20</v>
      </c>
      <c r="R1298" s="9">
        <f>IF(AND($A1298&gt;VLOOKUP(YEAR($A1298),'Festive dates'!$A$2:$J$5,2,FALSE),$A1298&lt;VLOOKUP(YEAR($A1298),'Festive dates'!$A$2:$J$5,3,FALSE)),1,0)</f>
        <v>1</v>
      </c>
      <c r="S1298" s="9">
        <f>IF($A1298=VLOOKUP(YEAR($A1298),'Festive dates'!$A$2:$J$5,2,FALSE),1,0)</f>
        <v>0</v>
      </c>
      <c r="T1298" s="9">
        <f>IF($A1298=VLOOKUP(YEAR($A1298),'Festive dates'!$A$2:$J$5,3,FALSE),1,0)</f>
        <v>0</v>
      </c>
      <c r="U1298" s="9">
        <f>IF($A1298=VLOOKUP(YEAR($A1298),'Festive dates'!$A$2:$J$5,4,FALSE),1,0)</f>
        <v>0</v>
      </c>
      <c r="V1298" s="9">
        <f>IF(AND($A1298&gt;=VLOOKUP(YEAR($A1298),'Festive dates'!$A$2:$J$5,9,FALSE),$A1298&lt;=VLOOKUP(YEAR($A1298),'Festive dates'!$A$2:$J$5,10,FALSE)),1,0)</f>
        <v>0</v>
      </c>
      <c r="W1298" s="9">
        <f>IF($A1298=VLOOKUP(YEAR($A1298),'Festive dates'!$A$2:$J$5,7,FALSE),1,0)</f>
        <v>0</v>
      </c>
      <c r="X1298" s="1"/>
      <c r="Y1298" s="1"/>
      <c r="Z1298" s="1"/>
      <c r="AA1298" s="1"/>
      <c r="AB1298" s="1"/>
      <c r="AC1298" s="1"/>
      <c r="AD1298" s="1"/>
      <c r="AE1298" s="1"/>
      <c r="AF1298" s="1"/>
      <c r="AG1298" s="1"/>
      <c r="AH1298" s="1"/>
      <c r="AI1298" s="1"/>
      <c r="AJ1298" s="1"/>
      <c r="AK1298" s="1"/>
      <c r="AL1298" s="1"/>
      <c r="AM1298" s="1"/>
      <c r="AN1298" s="1"/>
      <c r="AO1298" s="1"/>
      <c r="AP1298" s="1"/>
      <c r="AQ1298" s="1"/>
      <c r="AR1298" s="1"/>
      <c r="AS1298" s="1"/>
      <c r="AT1298" s="1"/>
      <c r="AU1298" s="1"/>
      <c r="AV1298" s="1"/>
      <c r="AW1298" s="1"/>
      <c r="AX1298" s="1"/>
      <c r="AY1298" s="1"/>
    </row>
    <row r="1299" spans="1:51">
      <c r="A1299" s="8">
        <v>46314</v>
      </c>
      <c r="B1299" s="9">
        <v>0</v>
      </c>
      <c r="C1299" s="9">
        <v>0</v>
      </c>
      <c r="D1299" s="9">
        <v>0</v>
      </c>
      <c r="E1299" s="9">
        <v>0</v>
      </c>
      <c r="F1299" s="9">
        <v>0</v>
      </c>
      <c r="G1299" s="9">
        <v>0</v>
      </c>
      <c r="H1299" s="9">
        <v>0</v>
      </c>
      <c r="I1299" s="9">
        <v>0</v>
      </c>
      <c r="J1299" s="9">
        <v>0</v>
      </c>
      <c r="K1299" s="9">
        <v>0</v>
      </c>
      <c r="L1299" s="9">
        <v>0</v>
      </c>
      <c r="M1299" s="9">
        <v>0</v>
      </c>
      <c r="N1299" s="9">
        <v>0</v>
      </c>
      <c r="O1299" s="9">
        <v>0</v>
      </c>
      <c r="P1299" s="9">
        <v>0</v>
      </c>
      <c r="Q1299" s="9">
        <f>MAX(-20,MIN(10,$A1299-VLOOKUP(YEAR($A1299),'Festive dates'!$A$2:$J$5,8,FALSE)))</f>
        <v>-20</v>
      </c>
      <c r="R1299" s="9">
        <f>IF(AND($A1299&gt;VLOOKUP(YEAR($A1299),'Festive dates'!$A$2:$J$5,2,FALSE),$A1299&lt;VLOOKUP(YEAR($A1299),'Festive dates'!$A$2:$J$5,3,FALSE)),1,0)</f>
        <v>0</v>
      </c>
      <c r="S1299" s="9">
        <f>IF($A1299=VLOOKUP(YEAR($A1299),'Festive dates'!$A$2:$J$5,2,FALSE),1,0)</f>
        <v>0</v>
      </c>
      <c r="T1299" s="9">
        <f>IF($A1299=VLOOKUP(YEAR($A1299),'Festive dates'!$A$2:$J$5,3,FALSE),1,0)</f>
        <v>1</v>
      </c>
      <c r="U1299" s="9">
        <f>IF($A1299=VLOOKUP(YEAR($A1299),'Festive dates'!$A$2:$J$5,4,FALSE),1,0)</f>
        <v>0</v>
      </c>
      <c r="V1299" s="9">
        <f>IF(AND($A1299&gt;=VLOOKUP(YEAR($A1299),'Festive dates'!$A$2:$J$5,9,FALSE),$A1299&lt;=VLOOKUP(YEAR($A1299),'Festive dates'!$A$2:$J$5,10,FALSE)),1,0)</f>
        <v>0</v>
      </c>
      <c r="W1299" s="9">
        <f>IF($A1299=VLOOKUP(YEAR($A1299),'Festive dates'!$A$2:$J$5,7,FALSE),1,0)</f>
        <v>0</v>
      </c>
      <c r="X1299" s="1"/>
      <c r="Y1299" s="1"/>
      <c r="Z1299" s="1"/>
      <c r="AA1299" s="1"/>
      <c r="AB1299" s="1"/>
      <c r="AC1299" s="1"/>
      <c r="AD1299" s="1"/>
      <c r="AE1299" s="1"/>
      <c r="AF1299" s="1"/>
      <c r="AG1299" s="1"/>
      <c r="AH1299" s="1"/>
      <c r="AI1299" s="1"/>
      <c r="AJ1299" s="1"/>
      <c r="AK1299" s="1"/>
      <c r="AL1299" s="1"/>
      <c r="AM1299" s="1"/>
      <c r="AN1299" s="1"/>
      <c r="AO1299" s="1"/>
      <c r="AP1299" s="1"/>
      <c r="AQ1299" s="1"/>
      <c r="AR1299" s="1"/>
      <c r="AS1299" s="1"/>
      <c r="AT1299" s="1"/>
      <c r="AU1299" s="1"/>
      <c r="AV1299" s="1"/>
      <c r="AW1299" s="1"/>
      <c r="AX1299" s="1"/>
      <c r="AY1299" s="1"/>
    </row>
    <row r="1300" spans="1:51">
      <c r="A1300" s="8">
        <v>46315</v>
      </c>
      <c r="B1300" s="9">
        <v>0</v>
      </c>
      <c r="C1300" s="9">
        <v>0</v>
      </c>
      <c r="D1300" s="9">
        <v>0</v>
      </c>
      <c r="E1300" s="9">
        <v>0</v>
      </c>
      <c r="F1300" s="9">
        <v>0</v>
      </c>
      <c r="G1300" s="9">
        <v>0</v>
      </c>
      <c r="H1300" s="9">
        <v>0</v>
      </c>
      <c r="I1300" s="9">
        <v>0</v>
      </c>
      <c r="J1300" s="9">
        <v>0</v>
      </c>
      <c r="K1300" s="9">
        <v>0</v>
      </c>
      <c r="L1300" s="9">
        <v>0</v>
      </c>
      <c r="M1300" s="9">
        <v>0</v>
      </c>
      <c r="N1300" s="9">
        <v>0</v>
      </c>
      <c r="O1300" s="9">
        <v>0</v>
      </c>
      <c r="P1300" s="9">
        <v>0</v>
      </c>
      <c r="Q1300" s="9">
        <f>MAX(-20,MIN(10,$A1300-VLOOKUP(YEAR($A1300),'Festive dates'!$A$2:$J$5,8,FALSE)))</f>
        <v>-19</v>
      </c>
      <c r="R1300" s="9">
        <f>IF(AND($A1300&gt;VLOOKUP(YEAR($A1300),'Festive dates'!$A$2:$J$5,2,FALSE),$A1300&lt;VLOOKUP(YEAR($A1300),'Festive dates'!$A$2:$J$5,3,FALSE)),1,0)</f>
        <v>0</v>
      </c>
      <c r="S1300" s="9">
        <f>IF($A1300=VLOOKUP(YEAR($A1300),'Festive dates'!$A$2:$J$5,2,FALSE),1,0)</f>
        <v>0</v>
      </c>
      <c r="T1300" s="9">
        <f>IF($A1300=VLOOKUP(YEAR($A1300),'Festive dates'!$A$2:$J$5,3,FALSE),1,0)</f>
        <v>0</v>
      </c>
      <c r="U1300" s="9">
        <f>IF($A1300=VLOOKUP(YEAR($A1300),'Festive dates'!$A$2:$J$5,4,FALSE),1,0)</f>
        <v>1</v>
      </c>
      <c r="V1300" s="9">
        <f>IF(AND($A1300&gt;=VLOOKUP(YEAR($A1300),'Festive dates'!$A$2:$J$5,9,FALSE),$A1300&lt;=VLOOKUP(YEAR($A1300),'Festive dates'!$A$2:$J$5,10,FALSE)),1,0)</f>
        <v>0</v>
      </c>
      <c r="W1300" s="9">
        <f>IF($A1300=VLOOKUP(YEAR($A1300),'Festive dates'!$A$2:$J$5,7,FALSE),1,0)</f>
        <v>0</v>
      </c>
      <c r="X1300" s="1"/>
      <c r="Y1300" s="1"/>
      <c r="Z1300" s="1"/>
      <c r="AA1300" s="1"/>
      <c r="AB1300" s="1"/>
      <c r="AC1300" s="1"/>
      <c r="AD1300" s="1"/>
      <c r="AE1300" s="1"/>
      <c r="AF1300" s="1"/>
      <c r="AG1300" s="1"/>
      <c r="AH1300" s="1"/>
      <c r="AI1300" s="1"/>
      <c r="AJ1300" s="1"/>
      <c r="AK1300" s="1"/>
      <c r="AL1300" s="1"/>
      <c r="AM1300" s="1"/>
      <c r="AN1300" s="1"/>
      <c r="AO1300" s="1"/>
      <c r="AP1300" s="1"/>
      <c r="AQ1300" s="1"/>
      <c r="AR1300" s="1"/>
      <c r="AS1300" s="1"/>
      <c r="AT1300" s="1"/>
      <c r="AU1300" s="1"/>
      <c r="AV1300" s="1"/>
      <c r="AW1300" s="1"/>
      <c r="AX1300" s="1"/>
      <c r="AY1300" s="1"/>
    </row>
    <row r="1301" spans="1:51">
      <c r="A1301" s="8">
        <v>46316</v>
      </c>
      <c r="B1301" s="9">
        <v>0</v>
      </c>
      <c r="C1301" s="9">
        <v>0</v>
      </c>
      <c r="D1301" s="9">
        <v>0</v>
      </c>
      <c r="E1301" s="9">
        <v>0</v>
      </c>
      <c r="F1301" s="9">
        <v>0</v>
      </c>
      <c r="G1301" s="9">
        <v>0</v>
      </c>
      <c r="H1301" s="9">
        <v>0</v>
      </c>
      <c r="I1301" s="9">
        <v>0</v>
      </c>
      <c r="J1301" s="9">
        <v>0</v>
      </c>
      <c r="K1301" s="9">
        <v>0</v>
      </c>
      <c r="L1301" s="9">
        <v>0</v>
      </c>
      <c r="M1301" s="9">
        <v>0</v>
      </c>
      <c r="N1301" s="9">
        <v>0</v>
      </c>
      <c r="O1301" s="9">
        <v>0</v>
      </c>
      <c r="P1301" s="9">
        <v>0</v>
      </c>
      <c r="Q1301" s="9">
        <f>MAX(-20,MIN(10,$A1301-VLOOKUP(YEAR($A1301),'Festive dates'!$A$2:$J$5,8,FALSE)))</f>
        <v>-18</v>
      </c>
      <c r="R1301" s="9">
        <f>IF(AND($A1301&gt;VLOOKUP(YEAR($A1301),'Festive dates'!$A$2:$J$5,2,FALSE),$A1301&lt;VLOOKUP(YEAR($A1301),'Festive dates'!$A$2:$J$5,3,FALSE)),1,0)</f>
        <v>0</v>
      </c>
      <c r="S1301" s="9">
        <f>IF($A1301=VLOOKUP(YEAR($A1301),'Festive dates'!$A$2:$J$5,2,FALSE),1,0)</f>
        <v>0</v>
      </c>
      <c r="T1301" s="9">
        <f>IF($A1301=VLOOKUP(YEAR($A1301),'Festive dates'!$A$2:$J$5,3,FALSE),1,0)</f>
        <v>0</v>
      </c>
      <c r="U1301" s="9">
        <f>IF($A1301=VLOOKUP(YEAR($A1301),'Festive dates'!$A$2:$J$5,4,FALSE),1,0)</f>
        <v>0</v>
      </c>
      <c r="V1301" s="9">
        <f>IF(AND($A1301&gt;=VLOOKUP(YEAR($A1301),'Festive dates'!$A$2:$J$5,9,FALSE),$A1301&lt;=VLOOKUP(YEAR($A1301),'Festive dates'!$A$2:$J$5,10,FALSE)),1,0)</f>
        <v>0</v>
      </c>
      <c r="W1301" s="9">
        <f>IF($A1301=VLOOKUP(YEAR($A1301),'Festive dates'!$A$2:$J$5,7,FALSE),1,0)</f>
        <v>0</v>
      </c>
      <c r="X1301" s="1"/>
      <c r="Y1301" s="1"/>
      <c r="Z1301" s="1"/>
      <c r="AA1301" s="1"/>
      <c r="AB1301" s="1"/>
      <c r="AC1301" s="1"/>
      <c r="AD1301" s="1"/>
      <c r="AE1301" s="1"/>
      <c r="AF1301" s="1"/>
      <c r="AG1301" s="1"/>
      <c r="AH1301" s="1"/>
      <c r="AI1301" s="1"/>
      <c r="AJ1301" s="1"/>
      <c r="AK1301" s="1"/>
      <c r="AL1301" s="1"/>
      <c r="AM1301" s="1"/>
      <c r="AN1301" s="1"/>
      <c r="AO1301" s="1"/>
      <c r="AP1301" s="1"/>
      <c r="AQ1301" s="1"/>
      <c r="AR1301" s="1"/>
      <c r="AS1301" s="1"/>
      <c r="AT1301" s="1"/>
      <c r="AU1301" s="1"/>
      <c r="AV1301" s="1"/>
      <c r="AW1301" s="1"/>
      <c r="AX1301" s="1"/>
      <c r="AY1301" s="1"/>
    </row>
    <row r="1302" spans="1:51">
      <c r="A1302" s="8">
        <v>46317</v>
      </c>
      <c r="B1302" s="9">
        <v>0</v>
      </c>
      <c r="C1302" s="9">
        <v>0</v>
      </c>
      <c r="D1302" s="9">
        <v>0</v>
      </c>
      <c r="E1302" s="9">
        <v>0</v>
      </c>
      <c r="F1302" s="9">
        <v>0</v>
      </c>
      <c r="G1302" s="9">
        <v>0</v>
      </c>
      <c r="H1302" s="9">
        <v>0</v>
      </c>
      <c r="I1302" s="9">
        <v>0</v>
      </c>
      <c r="J1302" s="9">
        <v>0</v>
      </c>
      <c r="K1302" s="9">
        <v>0</v>
      </c>
      <c r="L1302" s="9">
        <v>0</v>
      </c>
      <c r="M1302" s="9">
        <v>0</v>
      </c>
      <c r="N1302" s="9">
        <v>0</v>
      </c>
      <c r="O1302" s="9">
        <v>0</v>
      </c>
      <c r="P1302" s="9">
        <v>0</v>
      </c>
      <c r="Q1302" s="9">
        <f>MAX(-20,MIN(10,$A1302-VLOOKUP(YEAR($A1302),'Festive dates'!$A$2:$J$5,8,FALSE)))</f>
        <v>-17</v>
      </c>
      <c r="R1302" s="9">
        <f>IF(AND($A1302&gt;VLOOKUP(YEAR($A1302),'Festive dates'!$A$2:$J$5,2,FALSE),$A1302&lt;VLOOKUP(YEAR($A1302),'Festive dates'!$A$2:$J$5,3,FALSE)),1,0)</f>
        <v>0</v>
      </c>
      <c r="S1302" s="9">
        <f>IF($A1302=VLOOKUP(YEAR($A1302),'Festive dates'!$A$2:$J$5,2,FALSE),1,0)</f>
        <v>0</v>
      </c>
      <c r="T1302" s="9">
        <f>IF($A1302=VLOOKUP(YEAR($A1302),'Festive dates'!$A$2:$J$5,3,FALSE),1,0)</f>
        <v>0</v>
      </c>
      <c r="U1302" s="9">
        <f>IF($A1302=VLOOKUP(YEAR($A1302),'Festive dates'!$A$2:$J$5,4,FALSE),1,0)</f>
        <v>0</v>
      </c>
      <c r="V1302" s="9">
        <f>IF(AND($A1302&gt;=VLOOKUP(YEAR($A1302),'Festive dates'!$A$2:$J$5,9,FALSE),$A1302&lt;=VLOOKUP(YEAR($A1302),'Festive dates'!$A$2:$J$5,10,FALSE)),1,0)</f>
        <v>0</v>
      </c>
      <c r="W1302" s="9">
        <f>IF($A1302=VLOOKUP(YEAR($A1302),'Festive dates'!$A$2:$J$5,7,FALSE),1,0)</f>
        <v>0</v>
      </c>
      <c r="X1302" s="1"/>
      <c r="Y1302" s="1"/>
      <c r="Z1302" s="1"/>
      <c r="AA1302" s="1"/>
      <c r="AB1302" s="1"/>
      <c r="AC1302" s="1"/>
      <c r="AD1302" s="1"/>
      <c r="AE1302" s="1"/>
      <c r="AF1302" s="1"/>
      <c r="AG1302" s="1"/>
      <c r="AH1302" s="1"/>
      <c r="AI1302" s="1"/>
      <c r="AJ1302" s="1"/>
      <c r="AK1302" s="1"/>
      <c r="AL1302" s="1"/>
      <c r="AM1302" s="1"/>
      <c r="AN1302" s="1"/>
      <c r="AO1302" s="1"/>
      <c r="AP1302" s="1"/>
      <c r="AQ1302" s="1"/>
      <c r="AR1302" s="1"/>
      <c r="AS1302" s="1"/>
      <c r="AT1302" s="1"/>
      <c r="AU1302" s="1"/>
      <c r="AV1302" s="1"/>
      <c r="AW1302" s="1"/>
      <c r="AX1302" s="1"/>
      <c r="AY1302" s="1"/>
    </row>
    <row r="1303" spans="1:51">
      <c r="A1303" s="8">
        <v>46318</v>
      </c>
      <c r="B1303" s="9">
        <v>0</v>
      </c>
      <c r="C1303" s="9">
        <v>0</v>
      </c>
      <c r="D1303" s="9">
        <v>0</v>
      </c>
      <c r="E1303" s="9">
        <v>0</v>
      </c>
      <c r="F1303" s="9">
        <v>0</v>
      </c>
      <c r="G1303" s="9">
        <v>0</v>
      </c>
      <c r="H1303" s="9">
        <v>0</v>
      </c>
      <c r="I1303" s="9">
        <v>0</v>
      </c>
      <c r="J1303" s="9">
        <v>0</v>
      </c>
      <c r="K1303" s="9">
        <v>0</v>
      </c>
      <c r="L1303" s="9">
        <v>0</v>
      </c>
      <c r="M1303" s="9">
        <v>0</v>
      </c>
      <c r="N1303" s="9">
        <v>0</v>
      </c>
      <c r="O1303" s="9">
        <v>0</v>
      </c>
      <c r="P1303" s="9">
        <v>0</v>
      </c>
      <c r="Q1303" s="9">
        <f>MAX(-20,MIN(10,$A1303-VLOOKUP(YEAR($A1303),'Festive dates'!$A$2:$J$5,8,FALSE)))</f>
        <v>-16</v>
      </c>
      <c r="R1303" s="9">
        <f>IF(AND($A1303&gt;VLOOKUP(YEAR($A1303),'Festive dates'!$A$2:$J$5,2,FALSE),$A1303&lt;VLOOKUP(YEAR($A1303),'Festive dates'!$A$2:$J$5,3,FALSE)),1,0)</f>
        <v>0</v>
      </c>
      <c r="S1303" s="9">
        <f>IF($A1303=VLOOKUP(YEAR($A1303),'Festive dates'!$A$2:$J$5,2,FALSE),1,0)</f>
        <v>0</v>
      </c>
      <c r="T1303" s="9">
        <f>IF($A1303=VLOOKUP(YEAR($A1303),'Festive dates'!$A$2:$J$5,3,FALSE),1,0)</f>
        <v>0</v>
      </c>
      <c r="U1303" s="9">
        <f>IF($A1303=VLOOKUP(YEAR($A1303),'Festive dates'!$A$2:$J$5,4,FALSE),1,0)</f>
        <v>0</v>
      </c>
      <c r="V1303" s="9">
        <f>IF(AND($A1303&gt;=VLOOKUP(YEAR($A1303),'Festive dates'!$A$2:$J$5,9,FALSE),$A1303&lt;=VLOOKUP(YEAR($A1303),'Festive dates'!$A$2:$J$5,10,FALSE)),1,0)</f>
        <v>0</v>
      </c>
      <c r="W1303" s="9">
        <f>IF($A1303=VLOOKUP(YEAR($A1303),'Festive dates'!$A$2:$J$5,7,FALSE),1,0)</f>
        <v>0</v>
      </c>
      <c r="X1303" s="1"/>
      <c r="Y1303" s="1"/>
      <c r="Z1303" s="1"/>
      <c r="AA1303" s="1"/>
      <c r="AB1303" s="1"/>
      <c r="AC1303" s="1"/>
      <c r="AD1303" s="1"/>
      <c r="AE1303" s="1"/>
      <c r="AF1303" s="1"/>
      <c r="AG1303" s="1"/>
      <c r="AH1303" s="1"/>
      <c r="AI1303" s="1"/>
      <c r="AJ1303" s="1"/>
      <c r="AK1303" s="1"/>
      <c r="AL1303" s="1"/>
      <c r="AM1303" s="1"/>
      <c r="AN1303" s="1"/>
      <c r="AO1303" s="1"/>
      <c r="AP1303" s="1"/>
      <c r="AQ1303" s="1"/>
      <c r="AR1303" s="1"/>
      <c r="AS1303" s="1"/>
      <c r="AT1303" s="1"/>
      <c r="AU1303" s="1"/>
      <c r="AV1303" s="1"/>
      <c r="AW1303" s="1"/>
      <c r="AX1303" s="1"/>
      <c r="AY1303" s="1"/>
    </row>
    <row r="1304" spans="1:51">
      <c r="A1304" s="8">
        <v>46319</v>
      </c>
      <c r="B1304" s="9">
        <v>0</v>
      </c>
      <c r="C1304" s="9">
        <v>0</v>
      </c>
      <c r="D1304" s="9">
        <v>0</v>
      </c>
      <c r="E1304" s="9">
        <v>0</v>
      </c>
      <c r="F1304" s="9">
        <v>0</v>
      </c>
      <c r="G1304" s="9">
        <v>0</v>
      </c>
      <c r="H1304" s="9">
        <v>0</v>
      </c>
      <c r="I1304" s="9">
        <v>0</v>
      </c>
      <c r="J1304" s="9">
        <v>0</v>
      </c>
      <c r="K1304" s="9">
        <v>0</v>
      </c>
      <c r="L1304" s="9">
        <v>0</v>
      </c>
      <c r="M1304" s="9">
        <v>0</v>
      </c>
      <c r="N1304" s="9">
        <v>0</v>
      </c>
      <c r="O1304" s="9">
        <v>0</v>
      </c>
      <c r="P1304" s="9">
        <v>0</v>
      </c>
      <c r="Q1304" s="9">
        <f>MAX(-20,MIN(10,$A1304-VLOOKUP(YEAR($A1304),'Festive dates'!$A$2:$J$5,8,FALSE)))</f>
        <v>-15</v>
      </c>
      <c r="R1304" s="9">
        <f>IF(AND($A1304&gt;VLOOKUP(YEAR($A1304),'Festive dates'!$A$2:$J$5,2,FALSE),$A1304&lt;VLOOKUP(YEAR($A1304),'Festive dates'!$A$2:$J$5,3,FALSE)),1,0)</f>
        <v>0</v>
      </c>
      <c r="S1304" s="9">
        <f>IF($A1304=VLOOKUP(YEAR($A1304),'Festive dates'!$A$2:$J$5,2,FALSE),1,0)</f>
        <v>0</v>
      </c>
      <c r="T1304" s="9">
        <f>IF($A1304=VLOOKUP(YEAR($A1304),'Festive dates'!$A$2:$J$5,3,FALSE),1,0)</f>
        <v>0</v>
      </c>
      <c r="U1304" s="9">
        <f>IF($A1304=VLOOKUP(YEAR($A1304),'Festive dates'!$A$2:$J$5,4,FALSE),1,0)</f>
        <v>0</v>
      </c>
      <c r="V1304" s="9">
        <f>IF(AND($A1304&gt;=VLOOKUP(YEAR($A1304),'Festive dates'!$A$2:$J$5,9,FALSE),$A1304&lt;=VLOOKUP(YEAR($A1304),'Festive dates'!$A$2:$J$5,10,FALSE)),1,0)</f>
        <v>0</v>
      </c>
      <c r="W1304" s="9">
        <f>IF($A1304=VLOOKUP(YEAR($A1304),'Festive dates'!$A$2:$J$5,7,FALSE),1,0)</f>
        <v>0</v>
      </c>
      <c r="X1304" s="1"/>
      <c r="Y1304" s="1"/>
      <c r="Z1304" s="1"/>
      <c r="AA1304" s="1"/>
      <c r="AB1304" s="1"/>
      <c r="AC1304" s="1"/>
      <c r="AD1304" s="1"/>
      <c r="AE1304" s="1"/>
      <c r="AF1304" s="1"/>
      <c r="AG1304" s="1"/>
      <c r="AH1304" s="1"/>
      <c r="AI1304" s="1"/>
      <c r="AJ1304" s="1"/>
      <c r="AK1304" s="1"/>
      <c r="AL1304" s="1"/>
      <c r="AM1304" s="1"/>
      <c r="AN1304" s="1"/>
      <c r="AO1304" s="1"/>
      <c r="AP1304" s="1"/>
      <c r="AQ1304" s="1"/>
      <c r="AR1304" s="1"/>
      <c r="AS1304" s="1"/>
      <c r="AT1304" s="1"/>
      <c r="AU1304" s="1"/>
      <c r="AV1304" s="1"/>
      <c r="AW1304" s="1"/>
      <c r="AX1304" s="1"/>
      <c r="AY1304" s="1"/>
    </row>
    <row r="1305" spans="1:51">
      <c r="A1305" s="8">
        <v>46320</v>
      </c>
      <c r="B1305" s="9">
        <v>0</v>
      </c>
      <c r="C1305" s="9">
        <v>0</v>
      </c>
      <c r="D1305" s="9">
        <v>0</v>
      </c>
      <c r="E1305" s="9">
        <v>0</v>
      </c>
      <c r="F1305" s="9">
        <v>0</v>
      </c>
      <c r="G1305" s="9">
        <v>0</v>
      </c>
      <c r="H1305" s="9">
        <v>0</v>
      </c>
      <c r="I1305" s="9">
        <v>0</v>
      </c>
      <c r="J1305" s="9">
        <v>0</v>
      </c>
      <c r="K1305" s="9">
        <v>0</v>
      </c>
      <c r="L1305" s="9">
        <v>0</v>
      </c>
      <c r="M1305" s="9">
        <v>0</v>
      </c>
      <c r="N1305" s="9">
        <v>0</v>
      </c>
      <c r="O1305" s="9">
        <v>0</v>
      </c>
      <c r="P1305" s="9">
        <v>0</v>
      </c>
      <c r="Q1305" s="9">
        <f>MAX(-20,MIN(10,$A1305-VLOOKUP(YEAR($A1305),'Festive dates'!$A$2:$J$5,8,FALSE)))</f>
        <v>-14</v>
      </c>
      <c r="R1305" s="9">
        <f>IF(AND($A1305&gt;VLOOKUP(YEAR($A1305),'Festive dates'!$A$2:$J$5,2,FALSE),$A1305&lt;VLOOKUP(YEAR($A1305),'Festive dates'!$A$2:$J$5,3,FALSE)),1,0)</f>
        <v>0</v>
      </c>
      <c r="S1305" s="9">
        <f>IF($A1305=VLOOKUP(YEAR($A1305),'Festive dates'!$A$2:$J$5,2,FALSE),1,0)</f>
        <v>0</v>
      </c>
      <c r="T1305" s="9">
        <f>IF($A1305=VLOOKUP(YEAR($A1305),'Festive dates'!$A$2:$J$5,3,FALSE),1,0)</f>
        <v>0</v>
      </c>
      <c r="U1305" s="9">
        <f>IF($A1305=VLOOKUP(YEAR($A1305),'Festive dates'!$A$2:$J$5,4,FALSE),1,0)</f>
        <v>0</v>
      </c>
      <c r="V1305" s="9">
        <f>IF(AND($A1305&gt;=VLOOKUP(YEAR($A1305),'Festive dates'!$A$2:$J$5,9,FALSE),$A1305&lt;=VLOOKUP(YEAR($A1305),'Festive dates'!$A$2:$J$5,10,FALSE)),1,0)</f>
        <v>0</v>
      </c>
      <c r="W1305" s="9">
        <f>IF($A1305=VLOOKUP(YEAR($A1305),'Festive dates'!$A$2:$J$5,7,FALSE),1,0)</f>
        <v>0</v>
      </c>
      <c r="X1305" s="1"/>
      <c r="Y1305" s="1"/>
      <c r="Z1305" s="1"/>
      <c r="AA1305" s="1"/>
      <c r="AB1305" s="1"/>
      <c r="AC1305" s="1"/>
      <c r="AD1305" s="1"/>
      <c r="AE1305" s="1"/>
      <c r="AF1305" s="1"/>
      <c r="AG1305" s="1"/>
      <c r="AH1305" s="1"/>
      <c r="AI1305" s="1"/>
      <c r="AJ1305" s="1"/>
      <c r="AK1305" s="1"/>
      <c r="AL1305" s="1"/>
      <c r="AM1305" s="1"/>
      <c r="AN1305" s="1"/>
      <c r="AO1305" s="1"/>
      <c r="AP1305" s="1"/>
      <c r="AQ1305" s="1"/>
      <c r="AR1305" s="1"/>
      <c r="AS1305" s="1"/>
      <c r="AT1305" s="1"/>
      <c r="AU1305" s="1"/>
      <c r="AV1305" s="1"/>
      <c r="AW1305" s="1"/>
      <c r="AX1305" s="1"/>
      <c r="AY1305" s="1"/>
    </row>
    <row r="1306" spans="1:51">
      <c r="A1306" s="8">
        <v>46321</v>
      </c>
      <c r="B1306" s="9">
        <v>0</v>
      </c>
      <c r="C1306" s="9">
        <v>0</v>
      </c>
      <c r="D1306" s="9">
        <v>0</v>
      </c>
      <c r="E1306" s="9">
        <v>0</v>
      </c>
      <c r="F1306" s="9">
        <v>0</v>
      </c>
      <c r="G1306" s="9">
        <v>0</v>
      </c>
      <c r="H1306" s="9">
        <v>0</v>
      </c>
      <c r="I1306" s="9">
        <v>0</v>
      </c>
      <c r="J1306" s="9">
        <v>0</v>
      </c>
      <c r="K1306" s="9">
        <v>0</v>
      </c>
      <c r="L1306" s="9">
        <v>0</v>
      </c>
      <c r="M1306" s="9">
        <v>0</v>
      </c>
      <c r="N1306" s="9">
        <v>0</v>
      </c>
      <c r="O1306" s="9">
        <v>0</v>
      </c>
      <c r="P1306" s="9">
        <v>0</v>
      </c>
      <c r="Q1306" s="9">
        <f>MAX(-20,MIN(10,$A1306-VLOOKUP(YEAR($A1306),'Festive dates'!$A$2:$J$5,8,FALSE)))</f>
        <v>-13</v>
      </c>
      <c r="R1306" s="9">
        <f>IF(AND($A1306&gt;VLOOKUP(YEAR($A1306),'Festive dates'!$A$2:$J$5,2,FALSE),$A1306&lt;VLOOKUP(YEAR($A1306),'Festive dates'!$A$2:$J$5,3,FALSE)),1,0)</f>
        <v>0</v>
      </c>
      <c r="S1306" s="9">
        <f>IF($A1306=VLOOKUP(YEAR($A1306),'Festive dates'!$A$2:$J$5,2,FALSE),1,0)</f>
        <v>0</v>
      </c>
      <c r="T1306" s="9">
        <f>IF($A1306=VLOOKUP(YEAR($A1306),'Festive dates'!$A$2:$J$5,3,FALSE),1,0)</f>
        <v>0</v>
      </c>
      <c r="U1306" s="9">
        <f>IF($A1306=VLOOKUP(YEAR($A1306),'Festive dates'!$A$2:$J$5,4,FALSE),1,0)</f>
        <v>0</v>
      </c>
      <c r="V1306" s="9">
        <f>IF(AND($A1306&gt;=VLOOKUP(YEAR($A1306),'Festive dates'!$A$2:$J$5,9,FALSE),$A1306&lt;=VLOOKUP(YEAR($A1306),'Festive dates'!$A$2:$J$5,10,FALSE)),1,0)</f>
        <v>0</v>
      </c>
      <c r="W1306" s="9">
        <f>IF($A1306=VLOOKUP(YEAR($A1306),'Festive dates'!$A$2:$J$5,7,FALSE),1,0)</f>
        <v>0</v>
      </c>
      <c r="X1306" s="1"/>
      <c r="Y1306" s="1"/>
      <c r="Z1306" s="1"/>
      <c r="AA1306" s="1"/>
      <c r="AB1306" s="1"/>
      <c r="AC1306" s="1"/>
      <c r="AD1306" s="1"/>
      <c r="AE1306" s="1"/>
      <c r="AF1306" s="1"/>
      <c r="AG1306" s="1"/>
      <c r="AH1306" s="1"/>
      <c r="AI1306" s="1"/>
      <c r="AJ1306" s="1"/>
      <c r="AK1306" s="1"/>
      <c r="AL1306" s="1"/>
      <c r="AM1306" s="1"/>
      <c r="AN1306" s="1"/>
      <c r="AO1306" s="1"/>
      <c r="AP1306" s="1"/>
      <c r="AQ1306" s="1"/>
      <c r="AR1306" s="1"/>
      <c r="AS1306" s="1"/>
      <c r="AT1306" s="1"/>
      <c r="AU1306" s="1"/>
      <c r="AV1306" s="1"/>
      <c r="AW1306" s="1"/>
      <c r="AX1306" s="1"/>
      <c r="AY1306" s="1"/>
    </row>
    <row r="1307" spans="1:51">
      <c r="A1307" s="8">
        <v>46322</v>
      </c>
      <c r="B1307" s="9">
        <v>0</v>
      </c>
      <c r="C1307" s="9">
        <v>0</v>
      </c>
      <c r="D1307" s="9">
        <v>0</v>
      </c>
      <c r="E1307" s="9">
        <v>0</v>
      </c>
      <c r="F1307" s="9">
        <v>0</v>
      </c>
      <c r="G1307" s="9">
        <v>0</v>
      </c>
      <c r="H1307" s="9">
        <v>0</v>
      </c>
      <c r="I1307" s="9">
        <v>0</v>
      </c>
      <c r="J1307" s="9">
        <v>0</v>
      </c>
      <c r="K1307" s="9">
        <v>0</v>
      </c>
      <c r="L1307" s="9">
        <v>0</v>
      </c>
      <c r="M1307" s="9">
        <v>0</v>
      </c>
      <c r="N1307" s="9">
        <v>0</v>
      </c>
      <c r="O1307" s="9">
        <v>0</v>
      </c>
      <c r="P1307" s="9">
        <v>0</v>
      </c>
      <c r="Q1307" s="9">
        <f>MAX(-20,MIN(10,$A1307-VLOOKUP(YEAR($A1307),'Festive dates'!$A$2:$J$5,8,FALSE)))</f>
        <v>-12</v>
      </c>
      <c r="R1307" s="9">
        <f>IF(AND($A1307&gt;VLOOKUP(YEAR($A1307),'Festive dates'!$A$2:$J$5,2,FALSE),$A1307&lt;VLOOKUP(YEAR($A1307),'Festive dates'!$A$2:$J$5,3,FALSE)),1,0)</f>
        <v>0</v>
      </c>
      <c r="S1307" s="9">
        <f>IF($A1307=VLOOKUP(YEAR($A1307),'Festive dates'!$A$2:$J$5,2,FALSE),1,0)</f>
        <v>0</v>
      </c>
      <c r="T1307" s="9">
        <f>IF($A1307=VLOOKUP(YEAR($A1307),'Festive dates'!$A$2:$J$5,3,FALSE),1,0)</f>
        <v>0</v>
      </c>
      <c r="U1307" s="9">
        <f>IF($A1307=VLOOKUP(YEAR($A1307),'Festive dates'!$A$2:$J$5,4,FALSE),1,0)</f>
        <v>0</v>
      </c>
      <c r="V1307" s="9">
        <f>IF(AND($A1307&gt;=VLOOKUP(YEAR($A1307),'Festive dates'!$A$2:$J$5,9,FALSE),$A1307&lt;=VLOOKUP(YEAR($A1307),'Festive dates'!$A$2:$J$5,10,FALSE)),1,0)</f>
        <v>0</v>
      </c>
      <c r="W1307" s="9">
        <f>IF($A1307=VLOOKUP(YEAR($A1307),'Festive dates'!$A$2:$J$5,7,FALSE),1,0)</f>
        <v>0</v>
      </c>
      <c r="X1307" s="1"/>
      <c r="Y1307" s="1"/>
      <c r="Z1307" s="1"/>
      <c r="AA1307" s="1"/>
      <c r="AB1307" s="1"/>
      <c r="AC1307" s="1"/>
      <c r="AD1307" s="1"/>
      <c r="AE1307" s="1"/>
      <c r="AF1307" s="1"/>
      <c r="AG1307" s="1"/>
      <c r="AH1307" s="1"/>
      <c r="AI1307" s="1"/>
      <c r="AJ1307" s="1"/>
      <c r="AK1307" s="1"/>
      <c r="AL1307" s="1"/>
      <c r="AM1307" s="1"/>
      <c r="AN1307" s="1"/>
      <c r="AO1307" s="1"/>
      <c r="AP1307" s="1"/>
      <c r="AQ1307" s="1"/>
      <c r="AR1307" s="1"/>
      <c r="AS1307" s="1"/>
      <c r="AT1307" s="1"/>
      <c r="AU1307" s="1"/>
      <c r="AV1307" s="1"/>
      <c r="AW1307" s="1"/>
      <c r="AX1307" s="1"/>
      <c r="AY1307" s="1"/>
    </row>
    <row r="1308" spans="1:51">
      <c r="A1308" s="8">
        <v>46323</v>
      </c>
      <c r="B1308" s="9">
        <v>0</v>
      </c>
      <c r="C1308" s="9">
        <v>0</v>
      </c>
      <c r="D1308" s="9">
        <v>0</v>
      </c>
      <c r="E1308" s="9">
        <v>0</v>
      </c>
      <c r="F1308" s="9">
        <v>0</v>
      </c>
      <c r="G1308" s="9">
        <v>0</v>
      </c>
      <c r="H1308" s="9">
        <v>0</v>
      </c>
      <c r="I1308" s="9">
        <v>0</v>
      </c>
      <c r="J1308" s="9">
        <v>0</v>
      </c>
      <c r="K1308" s="9">
        <v>0</v>
      </c>
      <c r="L1308" s="9">
        <v>0</v>
      </c>
      <c r="M1308" s="9">
        <v>0</v>
      </c>
      <c r="N1308" s="9">
        <v>0</v>
      </c>
      <c r="O1308" s="9">
        <v>0</v>
      </c>
      <c r="P1308" s="9">
        <v>0</v>
      </c>
      <c r="Q1308" s="9">
        <f>MAX(-20,MIN(10,$A1308-VLOOKUP(YEAR($A1308),'Festive dates'!$A$2:$J$5,8,FALSE)))</f>
        <v>-11</v>
      </c>
      <c r="R1308" s="9">
        <f>IF(AND($A1308&gt;VLOOKUP(YEAR($A1308),'Festive dates'!$A$2:$J$5,2,FALSE),$A1308&lt;VLOOKUP(YEAR($A1308),'Festive dates'!$A$2:$J$5,3,FALSE)),1,0)</f>
        <v>0</v>
      </c>
      <c r="S1308" s="9">
        <f>IF($A1308=VLOOKUP(YEAR($A1308),'Festive dates'!$A$2:$J$5,2,FALSE),1,0)</f>
        <v>0</v>
      </c>
      <c r="T1308" s="9">
        <f>IF($A1308=VLOOKUP(YEAR($A1308),'Festive dates'!$A$2:$J$5,3,FALSE),1,0)</f>
        <v>0</v>
      </c>
      <c r="U1308" s="9">
        <f>IF($A1308=VLOOKUP(YEAR($A1308),'Festive dates'!$A$2:$J$5,4,FALSE),1,0)</f>
        <v>0</v>
      </c>
      <c r="V1308" s="9">
        <f>IF(AND($A1308&gt;=VLOOKUP(YEAR($A1308),'Festive dates'!$A$2:$J$5,9,FALSE),$A1308&lt;=VLOOKUP(YEAR($A1308),'Festive dates'!$A$2:$J$5,10,FALSE)),1,0)</f>
        <v>0</v>
      </c>
      <c r="W1308" s="9">
        <f>IF($A1308=VLOOKUP(YEAR($A1308),'Festive dates'!$A$2:$J$5,7,FALSE),1,0)</f>
        <v>0</v>
      </c>
      <c r="X1308" s="1"/>
      <c r="Y1308" s="1"/>
      <c r="Z1308" s="1"/>
      <c r="AA1308" s="1"/>
      <c r="AB1308" s="1"/>
      <c r="AC1308" s="1"/>
      <c r="AD1308" s="1"/>
      <c r="AE1308" s="1"/>
      <c r="AF1308" s="1"/>
      <c r="AG1308" s="1"/>
      <c r="AH1308" s="1"/>
      <c r="AI1308" s="1"/>
      <c r="AJ1308" s="1"/>
      <c r="AK1308" s="1"/>
      <c r="AL1308" s="1"/>
      <c r="AM1308" s="1"/>
      <c r="AN1308" s="1"/>
      <c r="AO1308" s="1"/>
      <c r="AP1308" s="1"/>
      <c r="AQ1308" s="1"/>
      <c r="AR1308" s="1"/>
      <c r="AS1308" s="1"/>
      <c r="AT1308" s="1"/>
      <c r="AU1308" s="1"/>
      <c r="AV1308" s="1"/>
      <c r="AW1308" s="1"/>
      <c r="AX1308" s="1"/>
      <c r="AY1308" s="1"/>
    </row>
    <row r="1309" spans="1:51">
      <c r="A1309" s="8">
        <v>46324</v>
      </c>
      <c r="B1309" s="9">
        <v>0</v>
      </c>
      <c r="C1309" s="9">
        <v>0</v>
      </c>
      <c r="D1309" s="9">
        <v>0</v>
      </c>
      <c r="E1309" s="9">
        <v>0</v>
      </c>
      <c r="F1309" s="9">
        <v>1</v>
      </c>
      <c r="G1309" s="9">
        <v>0</v>
      </c>
      <c r="H1309" s="9">
        <v>0</v>
      </c>
      <c r="I1309" s="9">
        <v>0</v>
      </c>
      <c r="J1309" s="9">
        <v>0</v>
      </c>
      <c r="K1309" s="9">
        <v>0</v>
      </c>
      <c r="L1309" s="9">
        <v>0</v>
      </c>
      <c r="M1309" s="9">
        <v>0</v>
      </c>
      <c r="N1309" s="9">
        <v>0</v>
      </c>
      <c r="O1309" s="9">
        <v>0</v>
      </c>
      <c r="P1309" s="9">
        <v>0</v>
      </c>
      <c r="Q1309" s="9">
        <f>MAX(-20,MIN(10,$A1309-VLOOKUP(YEAR($A1309),'Festive dates'!$A$2:$J$5,8,FALSE)))</f>
        <v>-10</v>
      </c>
      <c r="R1309" s="9">
        <f>IF(AND($A1309&gt;VLOOKUP(YEAR($A1309),'Festive dates'!$A$2:$J$5,2,FALSE),$A1309&lt;VLOOKUP(YEAR($A1309),'Festive dates'!$A$2:$J$5,3,FALSE)),1,0)</f>
        <v>0</v>
      </c>
      <c r="S1309" s="9">
        <f>IF($A1309=VLOOKUP(YEAR($A1309),'Festive dates'!$A$2:$J$5,2,FALSE),1,0)</f>
        <v>0</v>
      </c>
      <c r="T1309" s="9">
        <f>IF($A1309=VLOOKUP(YEAR($A1309),'Festive dates'!$A$2:$J$5,3,FALSE),1,0)</f>
        <v>0</v>
      </c>
      <c r="U1309" s="9">
        <f>IF($A1309=VLOOKUP(YEAR($A1309),'Festive dates'!$A$2:$J$5,4,FALSE),1,0)</f>
        <v>0</v>
      </c>
      <c r="V1309" s="9">
        <f>IF(AND($A1309&gt;=VLOOKUP(YEAR($A1309),'Festive dates'!$A$2:$J$5,9,FALSE),$A1309&lt;=VLOOKUP(YEAR($A1309),'Festive dates'!$A$2:$J$5,10,FALSE)),1,0)</f>
        <v>0</v>
      </c>
      <c r="W1309" s="9">
        <f>IF($A1309=VLOOKUP(YEAR($A1309),'Festive dates'!$A$2:$J$5,7,FALSE),1,0)</f>
        <v>0</v>
      </c>
      <c r="X1309" s="1"/>
      <c r="Y1309" s="1"/>
      <c r="Z1309" s="1"/>
      <c r="AA1309" s="1"/>
      <c r="AB1309" s="1"/>
      <c r="AC1309" s="1"/>
      <c r="AD1309" s="1"/>
      <c r="AE1309" s="1"/>
      <c r="AF1309" s="1"/>
      <c r="AG1309" s="1"/>
      <c r="AH1309" s="1"/>
      <c r="AI1309" s="1"/>
      <c r="AJ1309" s="1"/>
      <c r="AK1309" s="1"/>
      <c r="AL1309" s="1"/>
      <c r="AM1309" s="1"/>
      <c r="AN1309" s="1"/>
      <c r="AO1309" s="1"/>
      <c r="AP1309" s="1"/>
      <c r="AQ1309" s="1"/>
      <c r="AR1309" s="1"/>
      <c r="AS1309" s="1"/>
      <c r="AT1309" s="1"/>
      <c r="AU1309" s="1"/>
      <c r="AV1309" s="1"/>
      <c r="AW1309" s="1"/>
      <c r="AX1309" s="1"/>
      <c r="AY1309" s="1"/>
    </row>
    <row r="1310" spans="1:51">
      <c r="A1310" s="8">
        <v>46325</v>
      </c>
      <c r="B1310" s="9">
        <v>0</v>
      </c>
      <c r="C1310" s="9">
        <v>0</v>
      </c>
      <c r="D1310" s="9">
        <v>0</v>
      </c>
      <c r="E1310" s="9">
        <v>0</v>
      </c>
      <c r="F1310" s="9">
        <v>0</v>
      </c>
      <c r="G1310" s="9">
        <v>0</v>
      </c>
      <c r="H1310" s="9">
        <v>0</v>
      </c>
      <c r="I1310" s="9">
        <v>0</v>
      </c>
      <c r="J1310" s="9">
        <v>0</v>
      </c>
      <c r="K1310" s="9">
        <v>0</v>
      </c>
      <c r="L1310" s="9">
        <v>0</v>
      </c>
      <c r="M1310" s="9">
        <v>0</v>
      </c>
      <c r="N1310" s="9">
        <v>0</v>
      </c>
      <c r="O1310" s="9">
        <v>0</v>
      </c>
      <c r="P1310" s="9">
        <v>0</v>
      </c>
      <c r="Q1310" s="9">
        <f>MAX(-20,MIN(10,$A1310-VLOOKUP(YEAR($A1310),'Festive dates'!$A$2:$J$5,8,FALSE)))</f>
        <v>-9</v>
      </c>
      <c r="R1310" s="9">
        <f>IF(AND($A1310&gt;VLOOKUP(YEAR($A1310),'Festive dates'!$A$2:$J$5,2,FALSE),$A1310&lt;VLOOKUP(YEAR($A1310),'Festive dates'!$A$2:$J$5,3,FALSE)),1,0)</f>
        <v>0</v>
      </c>
      <c r="S1310" s="9">
        <f>IF($A1310=VLOOKUP(YEAR($A1310),'Festive dates'!$A$2:$J$5,2,FALSE),1,0)</f>
        <v>0</v>
      </c>
      <c r="T1310" s="9">
        <f>IF($A1310=VLOOKUP(YEAR($A1310),'Festive dates'!$A$2:$J$5,3,FALSE),1,0)</f>
        <v>0</v>
      </c>
      <c r="U1310" s="9">
        <f>IF($A1310=VLOOKUP(YEAR($A1310),'Festive dates'!$A$2:$J$5,4,FALSE),1,0)</f>
        <v>0</v>
      </c>
      <c r="V1310" s="9">
        <f>IF(AND($A1310&gt;=VLOOKUP(YEAR($A1310),'Festive dates'!$A$2:$J$5,9,FALSE),$A1310&lt;=VLOOKUP(YEAR($A1310),'Festive dates'!$A$2:$J$5,10,FALSE)),1,0)</f>
        <v>0</v>
      </c>
      <c r="W1310" s="9">
        <f>IF($A1310=VLOOKUP(YEAR($A1310),'Festive dates'!$A$2:$J$5,7,FALSE),1,0)</f>
        <v>0</v>
      </c>
      <c r="X1310" s="1"/>
      <c r="Y1310" s="1"/>
      <c r="Z1310" s="1"/>
      <c r="AA1310" s="1"/>
      <c r="AB1310" s="1"/>
      <c r="AC1310" s="1"/>
      <c r="AD1310" s="1"/>
      <c r="AE1310" s="1"/>
      <c r="AF1310" s="1"/>
      <c r="AG1310" s="1"/>
      <c r="AH1310" s="1"/>
      <c r="AI1310" s="1"/>
      <c r="AJ1310" s="1"/>
      <c r="AK1310" s="1"/>
      <c r="AL1310" s="1"/>
      <c r="AM1310" s="1"/>
      <c r="AN1310" s="1"/>
      <c r="AO1310" s="1"/>
      <c r="AP1310" s="1"/>
      <c r="AQ1310" s="1"/>
      <c r="AR1310" s="1"/>
      <c r="AS1310" s="1"/>
      <c r="AT1310" s="1"/>
      <c r="AU1310" s="1"/>
      <c r="AV1310" s="1"/>
      <c r="AW1310" s="1"/>
      <c r="AX1310" s="1"/>
      <c r="AY1310" s="1"/>
    </row>
    <row r="1311" spans="1:51">
      <c r="A1311" s="8">
        <v>46326</v>
      </c>
      <c r="B1311" s="9">
        <v>0</v>
      </c>
      <c r="C1311" s="9">
        <v>0</v>
      </c>
      <c r="D1311" s="9">
        <v>0</v>
      </c>
      <c r="E1311" s="9">
        <v>0</v>
      </c>
      <c r="F1311" s="9">
        <v>0</v>
      </c>
      <c r="G1311" s="9">
        <v>0</v>
      </c>
      <c r="H1311" s="9">
        <v>0</v>
      </c>
      <c r="I1311" s="9">
        <v>0</v>
      </c>
      <c r="J1311" s="9">
        <v>0</v>
      </c>
      <c r="K1311" s="9">
        <v>0</v>
      </c>
      <c r="L1311" s="9">
        <v>0</v>
      </c>
      <c r="M1311" s="9">
        <v>0</v>
      </c>
      <c r="N1311" s="9">
        <v>0</v>
      </c>
      <c r="O1311" s="9">
        <v>0</v>
      </c>
      <c r="P1311" s="9">
        <v>0</v>
      </c>
      <c r="Q1311" s="9">
        <f>MAX(-20,MIN(10,$A1311-VLOOKUP(YEAR($A1311),'Festive dates'!$A$2:$J$5,8,FALSE)))</f>
        <v>-8</v>
      </c>
      <c r="R1311" s="9">
        <f>IF(AND($A1311&gt;VLOOKUP(YEAR($A1311),'Festive dates'!$A$2:$J$5,2,FALSE),$A1311&lt;VLOOKUP(YEAR($A1311),'Festive dates'!$A$2:$J$5,3,FALSE)),1,0)</f>
        <v>0</v>
      </c>
      <c r="S1311" s="9">
        <f>IF($A1311=VLOOKUP(YEAR($A1311),'Festive dates'!$A$2:$J$5,2,FALSE),1,0)</f>
        <v>0</v>
      </c>
      <c r="T1311" s="9">
        <f>IF($A1311=VLOOKUP(YEAR($A1311),'Festive dates'!$A$2:$J$5,3,FALSE),1,0)</f>
        <v>0</v>
      </c>
      <c r="U1311" s="9">
        <f>IF($A1311=VLOOKUP(YEAR($A1311),'Festive dates'!$A$2:$J$5,4,FALSE),1,0)</f>
        <v>0</v>
      </c>
      <c r="V1311" s="9">
        <f>IF(AND($A1311&gt;=VLOOKUP(YEAR($A1311),'Festive dates'!$A$2:$J$5,9,FALSE),$A1311&lt;=VLOOKUP(YEAR($A1311),'Festive dates'!$A$2:$J$5,10,FALSE)),1,0)</f>
        <v>0</v>
      </c>
      <c r="W1311" s="9">
        <f>IF($A1311=VLOOKUP(YEAR($A1311),'Festive dates'!$A$2:$J$5,7,FALSE),1,0)</f>
        <v>0</v>
      </c>
      <c r="X1311" s="1"/>
      <c r="Y1311" s="1"/>
      <c r="Z1311" s="1"/>
      <c r="AA1311" s="1"/>
      <c r="AB1311" s="1"/>
      <c r="AC1311" s="1"/>
      <c r="AD1311" s="1"/>
      <c r="AE1311" s="1"/>
      <c r="AF1311" s="1"/>
      <c r="AG1311" s="1"/>
      <c r="AH1311" s="1"/>
      <c r="AI1311" s="1"/>
      <c r="AJ1311" s="1"/>
      <c r="AK1311" s="1"/>
      <c r="AL1311" s="1"/>
      <c r="AM1311" s="1"/>
      <c r="AN1311" s="1"/>
      <c r="AO1311" s="1"/>
      <c r="AP1311" s="1"/>
      <c r="AQ1311" s="1"/>
      <c r="AR1311" s="1"/>
      <c r="AS1311" s="1"/>
      <c r="AT1311" s="1"/>
      <c r="AU1311" s="1"/>
      <c r="AV1311" s="1"/>
      <c r="AW1311" s="1"/>
      <c r="AX1311" s="1"/>
      <c r="AY1311" s="1"/>
    </row>
    <row r="1312" spans="1:51">
      <c r="A1312" s="8">
        <v>46327</v>
      </c>
      <c r="B1312" s="9">
        <v>0</v>
      </c>
      <c r="C1312" s="9">
        <v>0</v>
      </c>
      <c r="D1312" s="9">
        <v>0</v>
      </c>
      <c r="E1312" s="9">
        <v>0</v>
      </c>
      <c r="F1312" s="9">
        <v>0</v>
      </c>
      <c r="G1312" s="9">
        <v>0</v>
      </c>
      <c r="H1312" s="9">
        <v>0</v>
      </c>
      <c r="I1312" s="9">
        <v>0</v>
      </c>
      <c r="J1312" s="9">
        <v>0</v>
      </c>
      <c r="K1312" s="9">
        <v>0</v>
      </c>
      <c r="L1312" s="9">
        <v>0</v>
      </c>
      <c r="M1312" s="9">
        <v>0</v>
      </c>
      <c r="N1312" s="9">
        <v>0</v>
      </c>
      <c r="O1312" s="9">
        <v>0</v>
      </c>
      <c r="P1312" s="9">
        <v>0</v>
      </c>
      <c r="Q1312" s="9">
        <f>MAX(-20,MIN(10,$A1312-VLOOKUP(YEAR($A1312),'Festive dates'!$A$2:$J$5,8,FALSE)))</f>
        <v>-7</v>
      </c>
      <c r="R1312" s="9">
        <f>IF(AND($A1312&gt;VLOOKUP(YEAR($A1312),'Festive dates'!$A$2:$J$5,2,FALSE),$A1312&lt;VLOOKUP(YEAR($A1312),'Festive dates'!$A$2:$J$5,3,FALSE)),1,0)</f>
        <v>0</v>
      </c>
      <c r="S1312" s="9">
        <f>IF($A1312=VLOOKUP(YEAR($A1312),'Festive dates'!$A$2:$J$5,2,FALSE),1,0)</f>
        <v>0</v>
      </c>
      <c r="T1312" s="9">
        <f>IF($A1312=VLOOKUP(YEAR($A1312),'Festive dates'!$A$2:$J$5,3,FALSE),1,0)</f>
        <v>0</v>
      </c>
      <c r="U1312" s="9">
        <f>IF($A1312=VLOOKUP(YEAR($A1312),'Festive dates'!$A$2:$J$5,4,FALSE),1,0)</f>
        <v>0</v>
      </c>
      <c r="V1312" s="9">
        <f>IF(AND($A1312&gt;=VLOOKUP(YEAR($A1312),'Festive dates'!$A$2:$J$5,9,FALSE),$A1312&lt;=VLOOKUP(YEAR($A1312),'Festive dates'!$A$2:$J$5,10,FALSE)),1,0)</f>
        <v>0</v>
      </c>
      <c r="W1312" s="9">
        <f>IF($A1312=VLOOKUP(YEAR($A1312),'Festive dates'!$A$2:$J$5,7,FALSE),1,0)</f>
        <v>0</v>
      </c>
      <c r="X1312" s="1"/>
      <c r="Y1312" s="1"/>
      <c r="Z1312" s="1"/>
      <c r="AA1312" s="1"/>
      <c r="AB1312" s="1"/>
      <c r="AC1312" s="1"/>
      <c r="AD1312" s="1"/>
      <c r="AE1312" s="1"/>
      <c r="AF1312" s="1"/>
      <c r="AG1312" s="1"/>
      <c r="AH1312" s="1"/>
      <c r="AI1312" s="1"/>
      <c r="AJ1312" s="1"/>
      <c r="AK1312" s="1"/>
      <c r="AL1312" s="1"/>
      <c r="AM1312" s="1"/>
      <c r="AN1312" s="1"/>
      <c r="AO1312" s="1"/>
      <c r="AP1312" s="1"/>
      <c r="AQ1312" s="1"/>
      <c r="AR1312" s="1"/>
      <c r="AS1312" s="1"/>
      <c r="AT1312" s="1"/>
      <c r="AU1312" s="1"/>
      <c r="AV1312" s="1"/>
      <c r="AW1312" s="1"/>
      <c r="AX1312" s="1"/>
      <c r="AY1312" s="1"/>
    </row>
    <row r="1313" spans="1:51">
      <c r="A1313" s="8">
        <v>46328</v>
      </c>
      <c r="B1313" s="9">
        <v>0</v>
      </c>
      <c r="C1313" s="9">
        <v>0</v>
      </c>
      <c r="D1313" s="9">
        <v>0</v>
      </c>
      <c r="E1313" s="9">
        <v>0</v>
      </c>
      <c r="F1313" s="9">
        <v>0</v>
      </c>
      <c r="G1313" s="9">
        <v>0</v>
      </c>
      <c r="H1313" s="9">
        <v>0</v>
      </c>
      <c r="I1313" s="9">
        <v>0</v>
      </c>
      <c r="J1313" s="9">
        <v>0</v>
      </c>
      <c r="K1313" s="9">
        <v>0</v>
      </c>
      <c r="L1313" s="9">
        <v>0</v>
      </c>
      <c r="M1313" s="9">
        <v>0</v>
      </c>
      <c r="N1313" s="9">
        <v>0</v>
      </c>
      <c r="O1313" s="9">
        <v>0</v>
      </c>
      <c r="P1313" s="9">
        <v>0</v>
      </c>
      <c r="Q1313" s="9">
        <f>MAX(-20,MIN(10,$A1313-VLOOKUP(YEAR($A1313),'Festive dates'!$A$2:$J$5,8,FALSE)))</f>
        <v>-6</v>
      </c>
      <c r="R1313" s="9">
        <f>IF(AND($A1313&gt;VLOOKUP(YEAR($A1313),'Festive dates'!$A$2:$J$5,2,FALSE),$A1313&lt;VLOOKUP(YEAR($A1313),'Festive dates'!$A$2:$J$5,3,FALSE)),1,0)</f>
        <v>0</v>
      </c>
      <c r="S1313" s="9">
        <f>IF($A1313=VLOOKUP(YEAR($A1313),'Festive dates'!$A$2:$J$5,2,FALSE),1,0)</f>
        <v>0</v>
      </c>
      <c r="T1313" s="9">
        <f>IF($A1313=VLOOKUP(YEAR($A1313),'Festive dates'!$A$2:$J$5,3,FALSE),1,0)</f>
        <v>0</v>
      </c>
      <c r="U1313" s="9">
        <f>IF($A1313=VLOOKUP(YEAR($A1313),'Festive dates'!$A$2:$J$5,4,FALSE),1,0)</f>
        <v>0</v>
      </c>
      <c r="V1313" s="9">
        <f>IF(AND($A1313&gt;=VLOOKUP(YEAR($A1313),'Festive dates'!$A$2:$J$5,9,FALSE),$A1313&lt;=VLOOKUP(YEAR($A1313),'Festive dates'!$A$2:$J$5,10,FALSE)),1,0)</f>
        <v>0</v>
      </c>
      <c r="W1313" s="9">
        <f>IF($A1313=VLOOKUP(YEAR($A1313),'Festive dates'!$A$2:$J$5,7,FALSE),1,0)</f>
        <v>0</v>
      </c>
      <c r="X1313" s="1"/>
      <c r="Y1313" s="1"/>
      <c r="Z1313" s="1"/>
      <c r="AA1313" s="1"/>
      <c r="AB1313" s="1"/>
      <c r="AC1313" s="1"/>
      <c r="AD1313" s="1"/>
      <c r="AE1313" s="1"/>
      <c r="AF1313" s="1"/>
      <c r="AG1313" s="1"/>
      <c r="AH1313" s="1"/>
      <c r="AI1313" s="1"/>
      <c r="AJ1313" s="1"/>
      <c r="AK1313" s="1"/>
      <c r="AL1313" s="1"/>
      <c r="AM1313" s="1"/>
      <c r="AN1313" s="1"/>
      <c r="AO1313" s="1"/>
      <c r="AP1313" s="1"/>
      <c r="AQ1313" s="1"/>
      <c r="AR1313" s="1"/>
      <c r="AS1313" s="1"/>
      <c r="AT1313" s="1"/>
      <c r="AU1313" s="1"/>
      <c r="AV1313" s="1"/>
      <c r="AW1313" s="1"/>
      <c r="AX1313" s="1"/>
      <c r="AY1313" s="1"/>
    </row>
    <row r="1314" spans="1:51">
      <c r="A1314" s="8">
        <v>46329</v>
      </c>
      <c r="B1314" s="9">
        <v>0</v>
      </c>
      <c r="C1314" s="9">
        <v>0</v>
      </c>
      <c r="D1314" s="9">
        <v>0</v>
      </c>
      <c r="E1314" s="9">
        <v>0</v>
      </c>
      <c r="F1314" s="9">
        <v>0</v>
      </c>
      <c r="G1314" s="9">
        <v>0</v>
      </c>
      <c r="H1314" s="9">
        <v>0</v>
      </c>
      <c r="I1314" s="9">
        <v>0</v>
      </c>
      <c r="J1314" s="9">
        <v>0</v>
      </c>
      <c r="K1314" s="9">
        <v>0</v>
      </c>
      <c r="L1314" s="9">
        <v>0</v>
      </c>
      <c r="M1314" s="9">
        <v>0</v>
      </c>
      <c r="N1314" s="9">
        <v>0</v>
      </c>
      <c r="O1314" s="9">
        <v>0</v>
      </c>
      <c r="P1314" s="9">
        <v>0</v>
      </c>
      <c r="Q1314" s="9">
        <f>MAX(-20,MIN(10,$A1314-VLOOKUP(YEAR($A1314),'Festive dates'!$A$2:$J$5,8,FALSE)))</f>
        <v>-5</v>
      </c>
      <c r="R1314" s="9">
        <f>IF(AND($A1314&gt;VLOOKUP(YEAR($A1314),'Festive dates'!$A$2:$J$5,2,FALSE),$A1314&lt;VLOOKUP(YEAR($A1314),'Festive dates'!$A$2:$J$5,3,FALSE)),1,0)</f>
        <v>0</v>
      </c>
      <c r="S1314" s="9">
        <f>IF($A1314=VLOOKUP(YEAR($A1314),'Festive dates'!$A$2:$J$5,2,FALSE),1,0)</f>
        <v>0</v>
      </c>
      <c r="T1314" s="9">
        <f>IF($A1314=VLOOKUP(YEAR($A1314),'Festive dates'!$A$2:$J$5,3,FALSE),1,0)</f>
        <v>0</v>
      </c>
      <c r="U1314" s="9">
        <f>IF($A1314=VLOOKUP(YEAR($A1314),'Festive dates'!$A$2:$J$5,4,FALSE),1,0)</f>
        <v>0</v>
      </c>
      <c r="V1314" s="9">
        <f>IF(AND($A1314&gt;=VLOOKUP(YEAR($A1314),'Festive dates'!$A$2:$J$5,9,FALSE),$A1314&lt;=VLOOKUP(YEAR($A1314),'Festive dates'!$A$2:$J$5,10,FALSE)),1,0)</f>
        <v>0</v>
      </c>
      <c r="W1314" s="9">
        <f>IF($A1314=VLOOKUP(YEAR($A1314),'Festive dates'!$A$2:$J$5,7,FALSE),1,0)</f>
        <v>0</v>
      </c>
      <c r="X1314" s="1"/>
      <c r="Y1314" s="1"/>
      <c r="Z1314" s="1"/>
      <c r="AA1314" s="1"/>
      <c r="AB1314" s="1"/>
      <c r="AC1314" s="1"/>
      <c r="AD1314" s="1"/>
      <c r="AE1314" s="1"/>
      <c r="AF1314" s="1"/>
      <c r="AG1314" s="1"/>
      <c r="AH1314" s="1"/>
      <c r="AI1314" s="1"/>
      <c r="AJ1314" s="1"/>
      <c r="AK1314" s="1"/>
      <c r="AL1314" s="1"/>
      <c r="AM1314" s="1"/>
      <c r="AN1314" s="1"/>
      <c r="AO1314" s="1"/>
      <c r="AP1314" s="1"/>
      <c r="AQ1314" s="1"/>
      <c r="AR1314" s="1"/>
      <c r="AS1314" s="1"/>
      <c r="AT1314" s="1"/>
      <c r="AU1314" s="1"/>
      <c r="AV1314" s="1"/>
      <c r="AW1314" s="1"/>
      <c r="AX1314" s="1"/>
      <c r="AY1314" s="1"/>
    </row>
    <row r="1315" spans="1:51">
      <c r="A1315" s="8">
        <v>46330</v>
      </c>
      <c r="B1315" s="9">
        <v>0</v>
      </c>
      <c r="C1315" s="9">
        <v>0</v>
      </c>
      <c r="D1315" s="9">
        <v>0</v>
      </c>
      <c r="E1315" s="9">
        <v>0</v>
      </c>
      <c r="F1315" s="9">
        <v>0</v>
      </c>
      <c r="G1315" s="9">
        <v>0</v>
      </c>
      <c r="H1315" s="9">
        <v>0</v>
      </c>
      <c r="I1315" s="9">
        <v>0</v>
      </c>
      <c r="J1315" s="9">
        <v>0</v>
      </c>
      <c r="K1315" s="9">
        <v>0</v>
      </c>
      <c r="L1315" s="9">
        <v>0</v>
      </c>
      <c r="M1315" s="9">
        <v>0</v>
      </c>
      <c r="N1315" s="9">
        <v>0</v>
      </c>
      <c r="O1315" s="9">
        <v>0</v>
      </c>
      <c r="P1315" s="9">
        <v>0</v>
      </c>
      <c r="Q1315" s="9">
        <f>MAX(-20,MIN(10,$A1315-VLOOKUP(YEAR($A1315),'Festive dates'!$A$2:$J$5,8,FALSE)))</f>
        <v>-4</v>
      </c>
      <c r="R1315" s="9">
        <f>IF(AND($A1315&gt;VLOOKUP(YEAR($A1315),'Festive dates'!$A$2:$J$5,2,FALSE),$A1315&lt;VLOOKUP(YEAR($A1315),'Festive dates'!$A$2:$J$5,3,FALSE)),1,0)</f>
        <v>0</v>
      </c>
      <c r="S1315" s="9">
        <f>IF($A1315=VLOOKUP(YEAR($A1315),'Festive dates'!$A$2:$J$5,2,FALSE),1,0)</f>
        <v>0</v>
      </c>
      <c r="T1315" s="9">
        <f>IF($A1315=VLOOKUP(YEAR($A1315),'Festive dates'!$A$2:$J$5,3,FALSE),1,0)</f>
        <v>0</v>
      </c>
      <c r="U1315" s="9">
        <f>IF($A1315=VLOOKUP(YEAR($A1315),'Festive dates'!$A$2:$J$5,4,FALSE),1,0)</f>
        <v>0</v>
      </c>
      <c r="V1315" s="9">
        <f>IF(AND($A1315&gt;=VLOOKUP(YEAR($A1315),'Festive dates'!$A$2:$J$5,9,FALSE),$A1315&lt;=VLOOKUP(YEAR($A1315),'Festive dates'!$A$2:$J$5,10,FALSE)),1,0)</f>
        <v>0</v>
      </c>
      <c r="W1315" s="9">
        <f>IF($A1315=VLOOKUP(YEAR($A1315),'Festive dates'!$A$2:$J$5,7,FALSE),1,0)</f>
        <v>0</v>
      </c>
      <c r="X1315" s="1"/>
      <c r="Y1315" s="1"/>
      <c r="Z1315" s="1"/>
      <c r="AA1315" s="1"/>
      <c r="AB1315" s="1"/>
      <c r="AC1315" s="1"/>
      <c r="AD1315" s="1"/>
      <c r="AE1315" s="1"/>
      <c r="AF1315" s="1"/>
      <c r="AG1315" s="1"/>
      <c r="AH1315" s="1"/>
      <c r="AI1315" s="1"/>
      <c r="AJ1315" s="1"/>
      <c r="AK1315" s="1"/>
      <c r="AL1315" s="1"/>
      <c r="AM1315" s="1"/>
      <c r="AN1315" s="1"/>
      <c r="AO1315" s="1"/>
      <c r="AP1315" s="1"/>
      <c r="AQ1315" s="1"/>
      <c r="AR1315" s="1"/>
      <c r="AS1315" s="1"/>
      <c r="AT1315" s="1"/>
      <c r="AU1315" s="1"/>
      <c r="AV1315" s="1"/>
      <c r="AW1315" s="1"/>
      <c r="AX1315" s="1"/>
      <c r="AY1315" s="1"/>
    </row>
    <row r="1316" spans="1:51">
      <c r="A1316" s="8">
        <v>46331</v>
      </c>
      <c r="B1316" s="9">
        <v>0</v>
      </c>
      <c r="C1316" s="9">
        <v>0</v>
      </c>
      <c r="D1316" s="9">
        <v>0</v>
      </c>
      <c r="E1316" s="9">
        <v>0</v>
      </c>
      <c r="F1316" s="9">
        <v>0</v>
      </c>
      <c r="G1316" s="9">
        <v>0</v>
      </c>
      <c r="H1316" s="9">
        <v>0</v>
      </c>
      <c r="I1316" s="9">
        <v>0</v>
      </c>
      <c r="J1316" s="9">
        <v>0</v>
      </c>
      <c r="K1316" s="9">
        <v>0</v>
      </c>
      <c r="L1316" s="9">
        <v>0</v>
      </c>
      <c r="M1316" s="9">
        <v>0</v>
      </c>
      <c r="N1316" s="9">
        <v>0</v>
      </c>
      <c r="O1316" s="9">
        <v>0</v>
      </c>
      <c r="P1316" s="9">
        <v>0</v>
      </c>
      <c r="Q1316" s="9">
        <f>MAX(-20,MIN(10,$A1316-VLOOKUP(YEAR($A1316),'Festive dates'!$A$2:$J$5,8,FALSE)))</f>
        <v>-3</v>
      </c>
      <c r="R1316" s="9">
        <f>IF(AND($A1316&gt;VLOOKUP(YEAR($A1316),'Festive dates'!$A$2:$J$5,2,FALSE),$A1316&lt;VLOOKUP(YEAR($A1316),'Festive dates'!$A$2:$J$5,3,FALSE)),1,0)</f>
        <v>0</v>
      </c>
      <c r="S1316" s="9">
        <f>IF($A1316=VLOOKUP(YEAR($A1316),'Festive dates'!$A$2:$J$5,2,FALSE),1,0)</f>
        <v>0</v>
      </c>
      <c r="T1316" s="9">
        <f>IF($A1316=VLOOKUP(YEAR($A1316),'Festive dates'!$A$2:$J$5,3,FALSE),1,0)</f>
        <v>0</v>
      </c>
      <c r="U1316" s="9">
        <f>IF($A1316=VLOOKUP(YEAR($A1316),'Festive dates'!$A$2:$J$5,4,FALSE),1,0)</f>
        <v>0</v>
      </c>
      <c r="V1316" s="9">
        <f>IF(AND($A1316&gt;=VLOOKUP(YEAR($A1316),'Festive dates'!$A$2:$J$5,9,FALSE),$A1316&lt;=VLOOKUP(YEAR($A1316),'Festive dates'!$A$2:$J$5,10,FALSE)),1,0)</f>
        <v>0</v>
      </c>
      <c r="W1316" s="9">
        <f>IF($A1316=VLOOKUP(YEAR($A1316),'Festive dates'!$A$2:$J$5,7,FALSE),1,0)</f>
        <v>0</v>
      </c>
      <c r="X1316" s="1"/>
      <c r="Y1316" s="1"/>
      <c r="Z1316" s="1"/>
      <c r="AA1316" s="1"/>
      <c r="AB1316" s="1"/>
      <c r="AC1316" s="1"/>
      <c r="AD1316" s="1"/>
      <c r="AE1316" s="1"/>
      <c r="AF1316" s="1"/>
      <c r="AG1316" s="1"/>
      <c r="AH1316" s="1"/>
      <c r="AI1316" s="1"/>
      <c r="AJ1316" s="1"/>
      <c r="AK1316" s="1"/>
      <c r="AL1316" s="1"/>
      <c r="AM1316" s="1"/>
      <c r="AN1316" s="1"/>
      <c r="AO1316" s="1"/>
      <c r="AP1316" s="1"/>
      <c r="AQ1316" s="1"/>
      <c r="AR1316" s="1"/>
      <c r="AS1316" s="1"/>
      <c r="AT1316" s="1"/>
      <c r="AU1316" s="1"/>
      <c r="AV1316" s="1"/>
      <c r="AW1316" s="1"/>
      <c r="AX1316" s="1"/>
      <c r="AY1316" s="1"/>
    </row>
    <row r="1317" spans="1:51">
      <c r="A1317" s="8">
        <v>46332</v>
      </c>
      <c r="B1317" s="9">
        <v>0</v>
      </c>
      <c r="C1317" s="9">
        <v>0</v>
      </c>
      <c r="D1317" s="9">
        <v>0</v>
      </c>
      <c r="E1317" s="9">
        <v>0</v>
      </c>
      <c r="F1317" s="9">
        <v>0</v>
      </c>
      <c r="G1317" s="9">
        <v>0</v>
      </c>
      <c r="H1317" s="9">
        <v>0</v>
      </c>
      <c r="I1317" s="9">
        <v>0</v>
      </c>
      <c r="J1317" s="9">
        <v>0</v>
      </c>
      <c r="K1317" s="9">
        <v>0</v>
      </c>
      <c r="L1317" s="9">
        <v>0</v>
      </c>
      <c r="M1317" s="9">
        <v>0</v>
      </c>
      <c r="N1317" s="9">
        <v>0</v>
      </c>
      <c r="O1317" s="9">
        <v>0</v>
      </c>
      <c r="P1317" s="9">
        <v>0</v>
      </c>
      <c r="Q1317" s="9">
        <f>MAX(-20,MIN(10,$A1317-VLOOKUP(YEAR($A1317),'Festive dates'!$A$2:$J$5,8,FALSE)))</f>
        <v>-2</v>
      </c>
      <c r="R1317" s="9">
        <f>IF(AND($A1317&gt;VLOOKUP(YEAR($A1317),'Festive dates'!$A$2:$J$5,2,FALSE),$A1317&lt;VLOOKUP(YEAR($A1317),'Festive dates'!$A$2:$J$5,3,FALSE)),1,0)</f>
        <v>0</v>
      </c>
      <c r="S1317" s="9">
        <f>IF($A1317=VLOOKUP(YEAR($A1317),'Festive dates'!$A$2:$J$5,2,FALSE),1,0)</f>
        <v>0</v>
      </c>
      <c r="T1317" s="9">
        <f>IF($A1317=VLOOKUP(YEAR($A1317),'Festive dates'!$A$2:$J$5,3,FALSE),1,0)</f>
        <v>0</v>
      </c>
      <c r="U1317" s="9">
        <f>IF($A1317=VLOOKUP(YEAR($A1317),'Festive dates'!$A$2:$J$5,4,FALSE),1,0)</f>
        <v>0</v>
      </c>
      <c r="V1317" s="9">
        <f>IF(AND($A1317&gt;=VLOOKUP(YEAR($A1317),'Festive dates'!$A$2:$J$5,9,FALSE),$A1317&lt;=VLOOKUP(YEAR($A1317),'Festive dates'!$A$2:$J$5,10,FALSE)),1,0)</f>
        <v>0</v>
      </c>
      <c r="W1317" s="9">
        <f>IF($A1317=VLOOKUP(YEAR($A1317),'Festive dates'!$A$2:$J$5,7,FALSE),1,0)</f>
        <v>1</v>
      </c>
      <c r="X1317" s="1"/>
      <c r="Y1317" s="1"/>
      <c r="Z1317" s="1"/>
      <c r="AA1317" s="1"/>
      <c r="AB1317" s="1"/>
      <c r="AC1317" s="1"/>
      <c r="AD1317" s="1"/>
      <c r="AE1317" s="1"/>
      <c r="AF1317" s="1"/>
      <c r="AG1317" s="1"/>
      <c r="AH1317" s="1"/>
      <c r="AI1317" s="1"/>
      <c r="AJ1317" s="1"/>
      <c r="AK1317" s="1"/>
      <c r="AL1317" s="1"/>
      <c r="AM1317" s="1"/>
      <c r="AN1317" s="1"/>
      <c r="AO1317" s="1"/>
      <c r="AP1317" s="1"/>
      <c r="AQ1317" s="1"/>
      <c r="AR1317" s="1"/>
      <c r="AS1317" s="1"/>
      <c r="AT1317" s="1"/>
      <c r="AU1317" s="1"/>
      <c r="AV1317" s="1"/>
      <c r="AW1317" s="1"/>
      <c r="AX1317" s="1"/>
      <c r="AY1317" s="1"/>
    </row>
    <row r="1318" spans="1:51">
      <c r="A1318" s="8">
        <v>46333</v>
      </c>
      <c r="B1318" s="9">
        <v>0</v>
      </c>
      <c r="C1318" s="9">
        <v>0</v>
      </c>
      <c r="D1318" s="9">
        <v>0</v>
      </c>
      <c r="E1318" s="9">
        <v>0</v>
      </c>
      <c r="F1318" s="9">
        <v>0</v>
      </c>
      <c r="G1318" s="9">
        <v>0</v>
      </c>
      <c r="H1318" s="9">
        <v>0</v>
      </c>
      <c r="I1318" s="9">
        <v>0</v>
      </c>
      <c r="J1318" s="9">
        <v>0</v>
      </c>
      <c r="K1318" s="9">
        <v>0</v>
      </c>
      <c r="L1318" s="9">
        <v>0</v>
      </c>
      <c r="M1318" s="9">
        <v>0</v>
      </c>
      <c r="N1318" s="9">
        <v>0</v>
      </c>
      <c r="O1318" s="9">
        <v>0</v>
      </c>
      <c r="P1318" s="9">
        <v>0</v>
      </c>
      <c r="Q1318" s="9">
        <f>MAX(-20,MIN(10,$A1318-VLOOKUP(YEAR($A1318),'Festive dates'!$A$2:$J$5,8,FALSE)))</f>
        <v>-1</v>
      </c>
      <c r="R1318" s="9">
        <f>IF(AND($A1318&gt;VLOOKUP(YEAR($A1318),'Festive dates'!$A$2:$J$5,2,FALSE),$A1318&lt;VLOOKUP(YEAR($A1318),'Festive dates'!$A$2:$J$5,3,FALSE)),1,0)</f>
        <v>0</v>
      </c>
      <c r="S1318" s="9">
        <f>IF($A1318=VLOOKUP(YEAR($A1318),'Festive dates'!$A$2:$J$5,2,FALSE),1,0)</f>
        <v>0</v>
      </c>
      <c r="T1318" s="9">
        <f>IF($A1318=VLOOKUP(YEAR($A1318),'Festive dates'!$A$2:$J$5,3,FALSE),1,0)</f>
        <v>0</v>
      </c>
      <c r="U1318" s="9">
        <f>IF($A1318=VLOOKUP(YEAR($A1318),'Festive dates'!$A$2:$J$5,4,FALSE),1,0)</f>
        <v>0</v>
      </c>
      <c r="V1318" s="9">
        <f>IF(AND($A1318&gt;=VLOOKUP(YEAR($A1318),'Festive dates'!$A$2:$J$5,9,FALSE),$A1318&lt;=VLOOKUP(YEAR($A1318),'Festive dates'!$A$2:$J$5,10,FALSE)),1,0)</f>
        <v>0</v>
      </c>
      <c r="W1318" s="9">
        <f>IF($A1318=VLOOKUP(YEAR($A1318),'Festive dates'!$A$2:$J$5,7,FALSE),1,0)</f>
        <v>0</v>
      </c>
      <c r="X1318" s="1"/>
      <c r="Y1318" s="1"/>
      <c r="Z1318" s="1"/>
      <c r="AA1318" s="1"/>
      <c r="AB1318" s="1"/>
      <c r="AC1318" s="1"/>
      <c r="AD1318" s="1"/>
      <c r="AE1318" s="1"/>
      <c r="AF1318" s="1"/>
      <c r="AG1318" s="1"/>
      <c r="AH1318" s="1"/>
      <c r="AI1318" s="1"/>
      <c r="AJ1318" s="1"/>
      <c r="AK1318" s="1"/>
      <c r="AL1318" s="1"/>
      <c r="AM1318" s="1"/>
      <c r="AN1318" s="1"/>
      <c r="AO1318" s="1"/>
      <c r="AP1318" s="1"/>
      <c r="AQ1318" s="1"/>
      <c r="AR1318" s="1"/>
      <c r="AS1318" s="1"/>
      <c r="AT1318" s="1"/>
      <c r="AU1318" s="1"/>
      <c r="AV1318" s="1"/>
      <c r="AW1318" s="1"/>
      <c r="AX1318" s="1"/>
      <c r="AY1318" s="1"/>
    </row>
    <row r="1319" spans="1:51">
      <c r="A1319" s="8">
        <v>46334</v>
      </c>
      <c r="B1319" s="9">
        <v>0</v>
      </c>
      <c r="C1319" s="9">
        <v>0</v>
      </c>
      <c r="D1319" s="9">
        <v>0</v>
      </c>
      <c r="E1319" s="9">
        <v>0</v>
      </c>
      <c r="F1319" s="9">
        <v>0</v>
      </c>
      <c r="G1319" s="9">
        <v>0</v>
      </c>
      <c r="H1319" s="9">
        <v>0</v>
      </c>
      <c r="I1319" s="9">
        <v>0</v>
      </c>
      <c r="J1319" s="9">
        <v>0</v>
      </c>
      <c r="K1319" s="9">
        <v>0</v>
      </c>
      <c r="L1319" s="9">
        <v>0</v>
      </c>
      <c r="M1319" s="9">
        <v>0</v>
      </c>
      <c r="N1319" s="9">
        <v>0</v>
      </c>
      <c r="O1319" s="9">
        <v>0</v>
      </c>
      <c r="P1319" s="9">
        <v>0</v>
      </c>
      <c r="Q1319" s="9">
        <f>MAX(-20,MIN(10,$A1319-VLOOKUP(YEAR($A1319),'Festive dates'!$A$2:$J$5,8,FALSE)))</f>
        <v>0</v>
      </c>
      <c r="R1319" s="9">
        <f>IF(AND($A1319&gt;VLOOKUP(YEAR($A1319),'Festive dates'!$A$2:$J$5,2,FALSE),$A1319&lt;VLOOKUP(YEAR($A1319),'Festive dates'!$A$2:$J$5,3,FALSE)),1,0)</f>
        <v>0</v>
      </c>
      <c r="S1319" s="9">
        <f>IF($A1319=VLOOKUP(YEAR($A1319),'Festive dates'!$A$2:$J$5,2,FALSE),1,0)</f>
        <v>0</v>
      </c>
      <c r="T1319" s="9">
        <f>IF($A1319=VLOOKUP(YEAR($A1319),'Festive dates'!$A$2:$J$5,3,FALSE),1,0)</f>
        <v>0</v>
      </c>
      <c r="U1319" s="9">
        <f>IF($A1319=VLOOKUP(YEAR($A1319),'Festive dates'!$A$2:$J$5,4,FALSE),1,0)</f>
        <v>0</v>
      </c>
      <c r="V1319" s="9">
        <f>IF(AND($A1319&gt;=VLOOKUP(YEAR($A1319),'Festive dates'!$A$2:$J$5,9,FALSE),$A1319&lt;=VLOOKUP(YEAR($A1319),'Festive dates'!$A$2:$J$5,10,FALSE)),1,0)</f>
        <v>0</v>
      </c>
      <c r="W1319" s="9">
        <f>IF($A1319=VLOOKUP(YEAR($A1319),'Festive dates'!$A$2:$J$5,7,FALSE),1,0)</f>
        <v>0</v>
      </c>
      <c r="X1319" s="1"/>
      <c r="Y1319" s="1"/>
      <c r="Z1319" s="1"/>
      <c r="AA1319" s="1"/>
      <c r="AB1319" s="1"/>
      <c r="AC1319" s="1"/>
      <c r="AD1319" s="1"/>
      <c r="AE1319" s="1"/>
      <c r="AF1319" s="1"/>
      <c r="AG1319" s="1"/>
      <c r="AH1319" s="1"/>
      <c r="AI1319" s="1"/>
      <c r="AJ1319" s="1"/>
      <c r="AK1319" s="1"/>
      <c r="AL1319" s="1"/>
      <c r="AM1319" s="1"/>
      <c r="AN1319" s="1"/>
      <c r="AO1319" s="1"/>
      <c r="AP1319" s="1"/>
      <c r="AQ1319" s="1"/>
      <c r="AR1319" s="1"/>
      <c r="AS1319" s="1"/>
      <c r="AT1319" s="1"/>
      <c r="AU1319" s="1"/>
      <c r="AV1319" s="1"/>
      <c r="AW1319" s="1"/>
      <c r="AX1319" s="1"/>
      <c r="AY1319" s="1"/>
    </row>
    <row r="1320" spans="1:51">
      <c r="A1320" s="8">
        <v>46335</v>
      </c>
      <c r="B1320" s="9">
        <v>0</v>
      </c>
      <c r="C1320" s="9">
        <v>0</v>
      </c>
      <c r="D1320" s="9">
        <v>0</v>
      </c>
      <c r="E1320" s="9">
        <v>0</v>
      </c>
      <c r="F1320" s="9">
        <v>0</v>
      </c>
      <c r="G1320" s="9">
        <v>0</v>
      </c>
      <c r="H1320" s="9">
        <v>0</v>
      </c>
      <c r="I1320" s="9">
        <v>0</v>
      </c>
      <c r="J1320" s="9">
        <v>0</v>
      </c>
      <c r="K1320" s="9">
        <v>0</v>
      </c>
      <c r="L1320" s="9">
        <v>0</v>
      </c>
      <c r="M1320" s="9">
        <v>0</v>
      </c>
      <c r="N1320" s="9">
        <v>0</v>
      </c>
      <c r="O1320" s="9">
        <v>0</v>
      </c>
      <c r="P1320" s="9">
        <v>0</v>
      </c>
      <c r="Q1320" s="9">
        <f>MAX(-20,MIN(10,$A1320-VLOOKUP(YEAR($A1320),'Festive dates'!$A$2:$J$5,8,FALSE)))</f>
        <v>1</v>
      </c>
      <c r="R1320" s="9">
        <f>IF(AND($A1320&gt;VLOOKUP(YEAR($A1320),'Festive dates'!$A$2:$J$5,2,FALSE),$A1320&lt;VLOOKUP(YEAR($A1320),'Festive dates'!$A$2:$J$5,3,FALSE)),1,0)</f>
        <v>0</v>
      </c>
      <c r="S1320" s="9">
        <f>IF($A1320=VLOOKUP(YEAR($A1320),'Festive dates'!$A$2:$J$5,2,FALSE),1,0)</f>
        <v>0</v>
      </c>
      <c r="T1320" s="9">
        <f>IF($A1320=VLOOKUP(YEAR($A1320),'Festive dates'!$A$2:$J$5,3,FALSE),1,0)</f>
        <v>0</v>
      </c>
      <c r="U1320" s="9">
        <f>IF($A1320=VLOOKUP(YEAR($A1320),'Festive dates'!$A$2:$J$5,4,FALSE),1,0)</f>
        <v>0</v>
      </c>
      <c r="V1320" s="9">
        <f>IF(AND($A1320&gt;=VLOOKUP(YEAR($A1320),'Festive dates'!$A$2:$J$5,9,FALSE),$A1320&lt;=VLOOKUP(YEAR($A1320),'Festive dates'!$A$2:$J$5,10,FALSE)),1,0)</f>
        <v>0</v>
      </c>
      <c r="W1320" s="9">
        <f>IF($A1320=VLOOKUP(YEAR($A1320),'Festive dates'!$A$2:$J$5,7,FALSE),1,0)</f>
        <v>0</v>
      </c>
      <c r="X1320" s="1"/>
      <c r="Y1320" s="1"/>
      <c r="Z1320" s="1"/>
      <c r="AA1320" s="1"/>
      <c r="AB1320" s="1"/>
      <c r="AC1320" s="1"/>
      <c r="AD1320" s="1"/>
      <c r="AE1320" s="1"/>
      <c r="AF1320" s="1"/>
      <c r="AG1320" s="1"/>
      <c r="AH1320" s="1"/>
      <c r="AI1320" s="1"/>
      <c r="AJ1320" s="1"/>
      <c r="AK1320" s="1"/>
      <c r="AL1320" s="1"/>
      <c r="AM1320" s="1"/>
      <c r="AN1320" s="1"/>
      <c r="AO1320" s="1"/>
      <c r="AP1320" s="1"/>
      <c r="AQ1320" s="1"/>
      <c r="AR1320" s="1"/>
      <c r="AS1320" s="1"/>
      <c r="AT1320" s="1"/>
      <c r="AU1320" s="1"/>
      <c r="AV1320" s="1"/>
      <c r="AW1320" s="1"/>
      <c r="AX1320" s="1"/>
      <c r="AY1320" s="1"/>
    </row>
    <row r="1321" spans="1:51">
      <c r="A1321" s="8">
        <v>46336</v>
      </c>
      <c r="B1321" s="9">
        <v>0</v>
      </c>
      <c r="C1321" s="9">
        <v>0</v>
      </c>
      <c r="D1321" s="9">
        <v>0</v>
      </c>
      <c r="E1321" s="9">
        <v>0</v>
      </c>
      <c r="F1321" s="9">
        <v>0</v>
      </c>
      <c r="G1321" s="9">
        <v>0</v>
      </c>
      <c r="H1321" s="9">
        <v>0</v>
      </c>
      <c r="I1321" s="9">
        <v>0</v>
      </c>
      <c r="J1321" s="9">
        <v>0</v>
      </c>
      <c r="K1321" s="9">
        <v>0</v>
      </c>
      <c r="L1321" s="9">
        <v>0</v>
      </c>
      <c r="M1321" s="9">
        <v>0</v>
      </c>
      <c r="N1321" s="9">
        <v>0</v>
      </c>
      <c r="O1321" s="9">
        <v>0</v>
      </c>
      <c r="P1321" s="9">
        <v>0</v>
      </c>
      <c r="Q1321" s="9">
        <f>MAX(-20,MIN(10,$A1321-VLOOKUP(YEAR($A1321),'Festive dates'!$A$2:$J$5,8,FALSE)))</f>
        <v>2</v>
      </c>
      <c r="R1321" s="9">
        <f>IF(AND($A1321&gt;VLOOKUP(YEAR($A1321),'Festive dates'!$A$2:$J$5,2,FALSE),$A1321&lt;VLOOKUP(YEAR($A1321),'Festive dates'!$A$2:$J$5,3,FALSE)),1,0)</f>
        <v>0</v>
      </c>
      <c r="S1321" s="9">
        <f>IF($A1321=VLOOKUP(YEAR($A1321),'Festive dates'!$A$2:$J$5,2,FALSE),1,0)</f>
        <v>0</v>
      </c>
      <c r="T1321" s="9">
        <f>IF($A1321=VLOOKUP(YEAR($A1321),'Festive dates'!$A$2:$J$5,3,FALSE),1,0)</f>
        <v>0</v>
      </c>
      <c r="U1321" s="9">
        <f>IF($A1321=VLOOKUP(YEAR($A1321),'Festive dates'!$A$2:$J$5,4,FALSE),1,0)</f>
        <v>0</v>
      </c>
      <c r="V1321" s="9">
        <f>IF(AND($A1321&gt;=VLOOKUP(YEAR($A1321),'Festive dates'!$A$2:$J$5,9,FALSE),$A1321&lt;=VLOOKUP(YEAR($A1321),'Festive dates'!$A$2:$J$5,10,FALSE)),1,0)</f>
        <v>0</v>
      </c>
      <c r="W1321" s="9">
        <f>IF($A1321=VLOOKUP(YEAR($A1321),'Festive dates'!$A$2:$J$5,7,FALSE),1,0)</f>
        <v>0</v>
      </c>
      <c r="X1321" s="1"/>
      <c r="Y1321" s="1"/>
      <c r="Z1321" s="1"/>
      <c r="AA1321" s="1"/>
      <c r="AB1321" s="1"/>
      <c r="AC1321" s="1"/>
      <c r="AD1321" s="1"/>
      <c r="AE1321" s="1"/>
      <c r="AF1321" s="1"/>
      <c r="AG1321" s="1"/>
      <c r="AH1321" s="1"/>
      <c r="AI1321" s="1"/>
      <c r="AJ1321" s="1"/>
      <c r="AK1321" s="1"/>
      <c r="AL1321" s="1"/>
      <c r="AM1321" s="1"/>
      <c r="AN1321" s="1"/>
      <c r="AO1321" s="1"/>
      <c r="AP1321" s="1"/>
      <c r="AQ1321" s="1"/>
      <c r="AR1321" s="1"/>
      <c r="AS1321" s="1"/>
      <c r="AT1321" s="1"/>
      <c r="AU1321" s="1"/>
      <c r="AV1321" s="1"/>
      <c r="AW1321" s="1"/>
      <c r="AX1321" s="1"/>
      <c r="AY1321" s="1"/>
    </row>
    <row r="1322" spans="1:51">
      <c r="A1322" s="8">
        <v>46337</v>
      </c>
      <c r="B1322" s="9">
        <v>0</v>
      </c>
      <c r="C1322" s="9">
        <v>0</v>
      </c>
      <c r="D1322" s="9">
        <v>0</v>
      </c>
      <c r="E1322" s="9">
        <v>0</v>
      </c>
      <c r="F1322" s="9">
        <v>0</v>
      </c>
      <c r="G1322" s="9">
        <v>0</v>
      </c>
      <c r="H1322" s="9">
        <v>0</v>
      </c>
      <c r="I1322" s="9">
        <v>0</v>
      </c>
      <c r="J1322" s="9">
        <v>0</v>
      </c>
      <c r="K1322" s="9">
        <v>0</v>
      </c>
      <c r="L1322" s="9">
        <v>0</v>
      </c>
      <c r="M1322" s="9">
        <v>0</v>
      </c>
      <c r="N1322" s="9">
        <v>0</v>
      </c>
      <c r="O1322" s="9">
        <v>0</v>
      </c>
      <c r="P1322" s="9">
        <v>0</v>
      </c>
      <c r="Q1322" s="9">
        <f>MAX(-20,MIN(10,$A1322-VLOOKUP(YEAR($A1322),'Festive dates'!$A$2:$J$5,8,FALSE)))</f>
        <v>3</v>
      </c>
      <c r="R1322" s="9">
        <f>IF(AND($A1322&gt;VLOOKUP(YEAR($A1322),'Festive dates'!$A$2:$J$5,2,FALSE),$A1322&lt;VLOOKUP(YEAR($A1322),'Festive dates'!$A$2:$J$5,3,FALSE)),1,0)</f>
        <v>0</v>
      </c>
      <c r="S1322" s="9">
        <f>IF($A1322=VLOOKUP(YEAR($A1322),'Festive dates'!$A$2:$J$5,2,FALSE),1,0)</f>
        <v>0</v>
      </c>
      <c r="T1322" s="9">
        <f>IF($A1322=VLOOKUP(YEAR($A1322),'Festive dates'!$A$2:$J$5,3,FALSE),1,0)</f>
        <v>0</v>
      </c>
      <c r="U1322" s="9">
        <f>IF($A1322=VLOOKUP(YEAR($A1322),'Festive dates'!$A$2:$J$5,4,FALSE),1,0)</f>
        <v>0</v>
      </c>
      <c r="V1322" s="9">
        <f>IF(AND($A1322&gt;=VLOOKUP(YEAR($A1322),'Festive dates'!$A$2:$J$5,9,FALSE),$A1322&lt;=VLOOKUP(YEAR($A1322),'Festive dates'!$A$2:$J$5,10,FALSE)),1,0)</f>
        <v>0</v>
      </c>
      <c r="W1322" s="9">
        <f>IF($A1322=VLOOKUP(YEAR($A1322),'Festive dates'!$A$2:$J$5,7,FALSE),1,0)</f>
        <v>0</v>
      </c>
      <c r="X1322" s="1"/>
      <c r="Y1322" s="1"/>
      <c r="Z1322" s="1"/>
      <c r="AA1322" s="1"/>
      <c r="AB1322" s="1"/>
      <c r="AC1322" s="1"/>
      <c r="AD1322" s="1"/>
      <c r="AE1322" s="1"/>
      <c r="AF1322" s="1"/>
      <c r="AG1322" s="1"/>
      <c r="AH1322" s="1"/>
      <c r="AI1322" s="1"/>
      <c r="AJ1322" s="1"/>
      <c r="AK1322" s="1"/>
      <c r="AL1322" s="1"/>
      <c r="AM1322" s="1"/>
      <c r="AN1322" s="1"/>
      <c r="AO1322" s="1"/>
      <c r="AP1322" s="1"/>
      <c r="AQ1322" s="1"/>
      <c r="AR1322" s="1"/>
      <c r="AS1322" s="1"/>
      <c r="AT1322" s="1"/>
      <c r="AU1322" s="1"/>
      <c r="AV1322" s="1"/>
      <c r="AW1322" s="1"/>
      <c r="AX1322" s="1"/>
      <c r="AY1322" s="1"/>
    </row>
    <row r="1323" spans="1:51">
      <c r="A1323" s="8">
        <v>46338</v>
      </c>
      <c r="B1323" s="9">
        <v>0</v>
      </c>
      <c r="C1323" s="9">
        <v>0</v>
      </c>
      <c r="D1323" s="9">
        <v>0</v>
      </c>
      <c r="E1323" s="9">
        <v>0</v>
      </c>
      <c r="F1323" s="9">
        <v>0</v>
      </c>
      <c r="G1323" s="9">
        <v>0</v>
      </c>
      <c r="H1323" s="9">
        <v>0</v>
      </c>
      <c r="I1323" s="9">
        <v>0</v>
      </c>
      <c r="J1323" s="9">
        <v>0</v>
      </c>
      <c r="K1323" s="9">
        <v>0</v>
      </c>
      <c r="L1323" s="9">
        <v>0</v>
      </c>
      <c r="M1323" s="9">
        <v>0</v>
      </c>
      <c r="N1323" s="9">
        <v>0</v>
      </c>
      <c r="O1323" s="9">
        <v>0</v>
      </c>
      <c r="P1323" s="9">
        <v>0</v>
      </c>
      <c r="Q1323" s="9">
        <f>MAX(-20,MIN(10,$A1323-VLOOKUP(YEAR($A1323),'Festive dates'!$A$2:$J$5,8,FALSE)))</f>
        <v>4</v>
      </c>
      <c r="R1323" s="9">
        <f>IF(AND($A1323&gt;VLOOKUP(YEAR($A1323),'Festive dates'!$A$2:$J$5,2,FALSE),$A1323&lt;VLOOKUP(YEAR($A1323),'Festive dates'!$A$2:$J$5,3,FALSE)),1,0)</f>
        <v>0</v>
      </c>
      <c r="S1323" s="9">
        <f>IF($A1323=VLOOKUP(YEAR($A1323),'Festive dates'!$A$2:$J$5,2,FALSE),1,0)</f>
        <v>0</v>
      </c>
      <c r="T1323" s="9">
        <f>IF($A1323=VLOOKUP(YEAR($A1323),'Festive dates'!$A$2:$J$5,3,FALSE),1,0)</f>
        <v>0</v>
      </c>
      <c r="U1323" s="9">
        <f>IF($A1323=VLOOKUP(YEAR($A1323),'Festive dates'!$A$2:$J$5,4,FALSE),1,0)</f>
        <v>0</v>
      </c>
      <c r="V1323" s="9">
        <f>IF(AND($A1323&gt;=VLOOKUP(YEAR($A1323),'Festive dates'!$A$2:$J$5,9,FALSE),$A1323&lt;=VLOOKUP(YEAR($A1323),'Festive dates'!$A$2:$J$5,10,FALSE)),1,0)</f>
        <v>0</v>
      </c>
      <c r="W1323" s="9">
        <f>IF($A1323=VLOOKUP(YEAR($A1323),'Festive dates'!$A$2:$J$5,7,FALSE),1,0)</f>
        <v>0</v>
      </c>
      <c r="X1323" s="1"/>
      <c r="Y1323" s="1"/>
      <c r="Z1323" s="1"/>
      <c r="AA1323" s="1"/>
      <c r="AB1323" s="1"/>
      <c r="AC1323" s="1"/>
      <c r="AD1323" s="1"/>
      <c r="AE1323" s="1"/>
      <c r="AF1323" s="1"/>
      <c r="AG1323" s="1"/>
      <c r="AH1323" s="1"/>
      <c r="AI1323" s="1"/>
      <c r="AJ1323" s="1"/>
      <c r="AK1323" s="1"/>
      <c r="AL1323" s="1"/>
      <c r="AM1323" s="1"/>
      <c r="AN1323" s="1"/>
      <c r="AO1323" s="1"/>
      <c r="AP1323" s="1"/>
      <c r="AQ1323" s="1"/>
      <c r="AR1323" s="1"/>
      <c r="AS1323" s="1"/>
      <c r="AT1323" s="1"/>
      <c r="AU1323" s="1"/>
      <c r="AV1323" s="1"/>
      <c r="AW1323" s="1"/>
      <c r="AX1323" s="1"/>
      <c r="AY1323" s="1"/>
    </row>
    <row r="1324" spans="1:51">
      <c r="A1324" s="8">
        <v>46339</v>
      </c>
      <c r="B1324" s="9">
        <v>0</v>
      </c>
      <c r="C1324" s="9">
        <v>0</v>
      </c>
      <c r="D1324" s="9">
        <v>0</v>
      </c>
      <c r="E1324" s="9">
        <v>0</v>
      </c>
      <c r="F1324" s="9">
        <v>0</v>
      </c>
      <c r="G1324" s="9">
        <v>0</v>
      </c>
      <c r="H1324" s="9">
        <v>0</v>
      </c>
      <c r="I1324" s="9">
        <v>0</v>
      </c>
      <c r="J1324" s="9">
        <v>0</v>
      </c>
      <c r="K1324" s="9">
        <v>0</v>
      </c>
      <c r="L1324" s="9">
        <v>0</v>
      </c>
      <c r="M1324" s="9">
        <v>0</v>
      </c>
      <c r="N1324" s="9">
        <v>0</v>
      </c>
      <c r="O1324" s="9">
        <v>0</v>
      </c>
      <c r="P1324" s="9">
        <v>0</v>
      </c>
      <c r="Q1324" s="9">
        <f>MAX(-20,MIN(10,$A1324-VLOOKUP(YEAR($A1324),'Festive dates'!$A$2:$J$5,8,FALSE)))</f>
        <v>5</v>
      </c>
      <c r="R1324" s="9">
        <f>IF(AND($A1324&gt;VLOOKUP(YEAR($A1324),'Festive dates'!$A$2:$J$5,2,FALSE),$A1324&lt;VLOOKUP(YEAR($A1324),'Festive dates'!$A$2:$J$5,3,FALSE)),1,0)</f>
        <v>0</v>
      </c>
      <c r="S1324" s="9">
        <f>IF($A1324=VLOOKUP(YEAR($A1324),'Festive dates'!$A$2:$J$5,2,FALSE),1,0)</f>
        <v>0</v>
      </c>
      <c r="T1324" s="9">
        <f>IF($A1324=VLOOKUP(YEAR($A1324),'Festive dates'!$A$2:$J$5,3,FALSE),1,0)</f>
        <v>0</v>
      </c>
      <c r="U1324" s="9">
        <f>IF($A1324=VLOOKUP(YEAR($A1324),'Festive dates'!$A$2:$J$5,4,FALSE),1,0)</f>
        <v>0</v>
      </c>
      <c r="V1324" s="9">
        <f>IF(AND($A1324&gt;=VLOOKUP(YEAR($A1324),'Festive dates'!$A$2:$J$5,9,FALSE),$A1324&lt;=VLOOKUP(YEAR($A1324),'Festive dates'!$A$2:$J$5,10,FALSE)),1,0)</f>
        <v>0</v>
      </c>
      <c r="W1324" s="9">
        <f>IF($A1324=VLOOKUP(YEAR($A1324),'Festive dates'!$A$2:$J$5,7,FALSE),1,0)</f>
        <v>0</v>
      </c>
      <c r="X1324" s="1"/>
      <c r="Y1324" s="1"/>
      <c r="Z1324" s="1"/>
      <c r="AA1324" s="1"/>
      <c r="AB1324" s="1"/>
      <c r="AC1324" s="1"/>
      <c r="AD1324" s="1"/>
      <c r="AE1324" s="1"/>
      <c r="AF1324" s="1"/>
      <c r="AG1324" s="1"/>
      <c r="AH1324" s="1"/>
      <c r="AI1324" s="1"/>
      <c r="AJ1324" s="1"/>
      <c r="AK1324" s="1"/>
      <c r="AL1324" s="1"/>
      <c r="AM1324" s="1"/>
      <c r="AN1324" s="1"/>
      <c r="AO1324" s="1"/>
      <c r="AP1324" s="1"/>
      <c r="AQ1324" s="1"/>
      <c r="AR1324" s="1"/>
      <c r="AS1324" s="1"/>
      <c r="AT1324" s="1"/>
      <c r="AU1324" s="1"/>
      <c r="AV1324" s="1"/>
      <c r="AW1324" s="1"/>
      <c r="AX1324" s="1"/>
      <c r="AY1324" s="1"/>
    </row>
    <row r="1325" spans="1:51">
      <c r="A1325" s="8">
        <v>46340</v>
      </c>
      <c r="B1325" s="9">
        <v>0</v>
      </c>
      <c r="C1325" s="9">
        <v>0</v>
      </c>
      <c r="D1325" s="9">
        <v>0</v>
      </c>
      <c r="E1325" s="9">
        <v>0</v>
      </c>
      <c r="F1325" s="9">
        <v>0</v>
      </c>
      <c r="G1325" s="9">
        <v>0</v>
      </c>
      <c r="H1325" s="9">
        <v>0</v>
      </c>
      <c r="I1325" s="9">
        <v>0</v>
      </c>
      <c r="J1325" s="9">
        <v>0</v>
      </c>
      <c r="K1325" s="9">
        <v>0</v>
      </c>
      <c r="L1325" s="9">
        <v>0</v>
      </c>
      <c r="M1325" s="9">
        <v>0</v>
      </c>
      <c r="N1325" s="9">
        <v>0</v>
      </c>
      <c r="O1325" s="9">
        <v>0</v>
      </c>
      <c r="P1325" s="9">
        <v>1</v>
      </c>
      <c r="Q1325" s="9">
        <f>MAX(-20,MIN(10,$A1325-VLOOKUP(YEAR($A1325),'Festive dates'!$A$2:$J$5,8,FALSE)))</f>
        <v>6</v>
      </c>
      <c r="R1325" s="9">
        <f>IF(AND($A1325&gt;VLOOKUP(YEAR($A1325),'Festive dates'!$A$2:$J$5,2,FALSE),$A1325&lt;VLOOKUP(YEAR($A1325),'Festive dates'!$A$2:$J$5,3,FALSE)),1,0)</f>
        <v>0</v>
      </c>
      <c r="S1325" s="9">
        <f>IF($A1325=VLOOKUP(YEAR($A1325),'Festive dates'!$A$2:$J$5,2,FALSE),1,0)</f>
        <v>0</v>
      </c>
      <c r="T1325" s="9">
        <f>IF($A1325=VLOOKUP(YEAR($A1325),'Festive dates'!$A$2:$J$5,3,FALSE),1,0)</f>
        <v>0</v>
      </c>
      <c r="U1325" s="9">
        <f>IF($A1325=VLOOKUP(YEAR($A1325),'Festive dates'!$A$2:$J$5,4,FALSE),1,0)</f>
        <v>0</v>
      </c>
      <c r="V1325" s="9">
        <f>IF(AND($A1325&gt;=VLOOKUP(YEAR($A1325),'Festive dates'!$A$2:$J$5,9,FALSE),$A1325&lt;=VLOOKUP(YEAR($A1325),'Festive dates'!$A$2:$J$5,10,FALSE)),1,0)</f>
        <v>0</v>
      </c>
      <c r="W1325" s="9">
        <f>IF($A1325=VLOOKUP(YEAR($A1325),'Festive dates'!$A$2:$J$5,7,FALSE),1,0)</f>
        <v>0</v>
      </c>
      <c r="X1325" s="1"/>
      <c r="Y1325" s="1"/>
      <c r="Z1325" s="1"/>
      <c r="AA1325" s="1"/>
      <c r="AB1325" s="1"/>
      <c r="AC1325" s="1"/>
      <c r="AD1325" s="1"/>
      <c r="AE1325" s="1"/>
      <c r="AF1325" s="1"/>
      <c r="AG1325" s="1"/>
      <c r="AH1325" s="1"/>
      <c r="AI1325" s="1"/>
      <c r="AJ1325" s="1"/>
      <c r="AK1325" s="1"/>
      <c r="AL1325" s="1"/>
      <c r="AM1325" s="1"/>
      <c r="AN1325" s="1"/>
      <c r="AO1325" s="1"/>
      <c r="AP1325" s="1"/>
      <c r="AQ1325" s="1"/>
      <c r="AR1325" s="1"/>
      <c r="AS1325" s="1"/>
      <c r="AT1325" s="1"/>
      <c r="AU1325" s="1"/>
      <c r="AV1325" s="1"/>
      <c r="AW1325" s="1"/>
      <c r="AX1325" s="1"/>
      <c r="AY1325" s="1"/>
    </row>
    <row r="1326" spans="1:51">
      <c r="A1326" s="8">
        <v>46341</v>
      </c>
      <c r="B1326" s="9">
        <v>0</v>
      </c>
      <c r="C1326" s="9">
        <v>0</v>
      </c>
      <c r="D1326" s="9">
        <v>0</v>
      </c>
      <c r="E1326" s="9">
        <v>0</v>
      </c>
      <c r="F1326" s="9">
        <v>0</v>
      </c>
      <c r="G1326" s="9">
        <v>0</v>
      </c>
      <c r="H1326" s="9">
        <v>0</v>
      </c>
      <c r="I1326" s="9">
        <v>0</v>
      </c>
      <c r="J1326" s="9">
        <v>0</v>
      </c>
      <c r="K1326" s="9">
        <v>0</v>
      </c>
      <c r="L1326" s="9">
        <v>0</v>
      </c>
      <c r="M1326" s="9">
        <v>0</v>
      </c>
      <c r="N1326" s="9">
        <v>0</v>
      </c>
      <c r="O1326" s="9">
        <v>0</v>
      </c>
      <c r="P1326" s="9">
        <v>0</v>
      </c>
      <c r="Q1326" s="9">
        <f>MAX(-20,MIN(10,$A1326-VLOOKUP(YEAR($A1326),'Festive dates'!$A$2:$J$5,8,FALSE)))</f>
        <v>7</v>
      </c>
      <c r="R1326" s="9">
        <f>IF(AND($A1326&gt;VLOOKUP(YEAR($A1326),'Festive dates'!$A$2:$J$5,2,FALSE),$A1326&lt;VLOOKUP(YEAR($A1326),'Festive dates'!$A$2:$J$5,3,FALSE)),1,0)</f>
        <v>0</v>
      </c>
      <c r="S1326" s="9">
        <f>IF($A1326=VLOOKUP(YEAR($A1326),'Festive dates'!$A$2:$J$5,2,FALSE),1,0)</f>
        <v>0</v>
      </c>
      <c r="T1326" s="9">
        <f>IF($A1326=VLOOKUP(YEAR($A1326),'Festive dates'!$A$2:$J$5,3,FALSE),1,0)</f>
        <v>0</v>
      </c>
      <c r="U1326" s="9">
        <f>IF($A1326=VLOOKUP(YEAR($A1326),'Festive dates'!$A$2:$J$5,4,FALSE),1,0)</f>
        <v>0</v>
      </c>
      <c r="V1326" s="9">
        <f>IF(AND($A1326&gt;=VLOOKUP(YEAR($A1326),'Festive dates'!$A$2:$J$5,9,FALSE),$A1326&lt;=VLOOKUP(YEAR($A1326),'Festive dates'!$A$2:$J$5,10,FALSE)),1,0)</f>
        <v>0</v>
      </c>
      <c r="W1326" s="9">
        <f>IF($A1326=VLOOKUP(YEAR($A1326),'Festive dates'!$A$2:$J$5,7,FALSE),1,0)</f>
        <v>0</v>
      </c>
      <c r="X1326" s="1"/>
      <c r="Y1326" s="1"/>
      <c r="Z1326" s="1"/>
      <c r="AA1326" s="1"/>
      <c r="AB1326" s="1"/>
      <c r="AC1326" s="1"/>
      <c r="AD1326" s="1"/>
      <c r="AE1326" s="1"/>
      <c r="AF1326" s="1"/>
      <c r="AG1326" s="1"/>
      <c r="AH1326" s="1"/>
      <c r="AI1326" s="1"/>
      <c r="AJ1326" s="1"/>
      <c r="AK1326" s="1"/>
      <c r="AL1326" s="1"/>
      <c r="AM1326" s="1"/>
      <c r="AN1326" s="1"/>
      <c r="AO1326" s="1"/>
      <c r="AP1326" s="1"/>
      <c r="AQ1326" s="1"/>
      <c r="AR1326" s="1"/>
      <c r="AS1326" s="1"/>
      <c r="AT1326" s="1"/>
      <c r="AU1326" s="1"/>
      <c r="AV1326" s="1"/>
      <c r="AW1326" s="1"/>
      <c r="AX1326" s="1"/>
      <c r="AY1326" s="1"/>
    </row>
    <row r="1327" spans="1:51">
      <c r="A1327" s="8">
        <v>46342</v>
      </c>
      <c r="B1327" s="9">
        <v>0</v>
      </c>
      <c r="C1327" s="9">
        <v>0</v>
      </c>
      <c r="D1327" s="9">
        <v>0</v>
      </c>
      <c r="E1327" s="9">
        <v>0</v>
      </c>
      <c r="F1327" s="9">
        <v>0</v>
      </c>
      <c r="G1327" s="9">
        <v>0</v>
      </c>
      <c r="H1327" s="9">
        <v>0</v>
      </c>
      <c r="I1327" s="9">
        <v>0</v>
      </c>
      <c r="J1327" s="9">
        <v>0</v>
      </c>
      <c r="K1327" s="9">
        <v>0</v>
      </c>
      <c r="L1327" s="9">
        <v>0</v>
      </c>
      <c r="M1327" s="9">
        <v>0</v>
      </c>
      <c r="N1327" s="9">
        <v>0</v>
      </c>
      <c r="O1327" s="9">
        <v>0</v>
      </c>
      <c r="P1327" s="9">
        <v>0</v>
      </c>
      <c r="Q1327" s="9">
        <f>MAX(-20,MIN(10,$A1327-VLOOKUP(YEAR($A1327),'Festive dates'!$A$2:$J$5,8,FALSE)))</f>
        <v>8</v>
      </c>
      <c r="R1327" s="9">
        <f>IF(AND($A1327&gt;VLOOKUP(YEAR($A1327),'Festive dates'!$A$2:$J$5,2,FALSE),$A1327&lt;VLOOKUP(YEAR($A1327),'Festive dates'!$A$2:$J$5,3,FALSE)),1,0)</f>
        <v>0</v>
      </c>
      <c r="S1327" s="9">
        <f>IF($A1327=VLOOKUP(YEAR($A1327),'Festive dates'!$A$2:$J$5,2,FALSE),1,0)</f>
        <v>0</v>
      </c>
      <c r="T1327" s="9">
        <f>IF($A1327=VLOOKUP(YEAR($A1327),'Festive dates'!$A$2:$J$5,3,FALSE),1,0)</f>
        <v>0</v>
      </c>
      <c r="U1327" s="9">
        <f>IF($A1327=VLOOKUP(YEAR($A1327),'Festive dates'!$A$2:$J$5,4,FALSE),1,0)</f>
        <v>0</v>
      </c>
      <c r="V1327" s="9">
        <f>IF(AND($A1327&gt;=VLOOKUP(YEAR($A1327),'Festive dates'!$A$2:$J$5,9,FALSE),$A1327&lt;=VLOOKUP(YEAR($A1327),'Festive dates'!$A$2:$J$5,10,FALSE)),1,0)</f>
        <v>0</v>
      </c>
      <c r="W1327" s="9">
        <f>IF($A1327=VLOOKUP(YEAR($A1327),'Festive dates'!$A$2:$J$5,7,FALSE),1,0)</f>
        <v>0</v>
      </c>
      <c r="X1327" s="1"/>
      <c r="Y1327" s="1"/>
      <c r="Z1327" s="1"/>
      <c r="AA1327" s="1"/>
      <c r="AB1327" s="1"/>
      <c r="AC1327" s="1"/>
      <c r="AD1327" s="1"/>
      <c r="AE1327" s="1"/>
      <c r="AF1327" s="1"/>
      <c r="AG1327" s="1"/>
      <c r="AH1327" s="1"/>
      <c r="AI1327" s="1"/>
      <c r="AJ1327" s="1"/>
      <c r="AK1327" s="1"/>
      <c r="AL1327" s="1"/>
      <c r="AM1327" s="1"/>
      <c r="AN1327" s="1"/>
      <c r="AO1327" s="1"/>
      <c r="AP1327" s="1"/>
      <c r="AQ1327" s="1"/>
      <c r="AR1327" s="1"/>
      <c r="AS1327" s="1"/>
      <c r="AT1327" s="1"/>
      <c r="AU1327" s="1"/>
      <c r="AV1327" s="1"/>
      <c r="AW1327" s="1"/>
      <c r="AX1327" s="1"/>
      <c r="AY1327" s="1"/>
    </row>
    <row r="1328" spans="1:51">
      <c r="A1328" s="8">
        <v>46343</v>
      </c>
      <c r="B1328" s="9">
        <v>0</v>
      </c>
      <c r="C1328" s="9">
        <v>0</v>
      </c>
      <c r="D1328" s="9">
        <v>0</v>
      </c>
      <c r="E1328" s="9">
        <v>0</v>
      </c>
      <c r="F1328" s="9">
        <v>0</v>
      </c>
      <c r="G1328" s="9">
        <v>0</v>
      </c>
      <c r="H1328" s="9">
        <v>0</v>
      </c>
      <c r="I1328" s="9">
        <v>0</v>
      </c>
      <c r="J1328" s="9">
        <v>0</v>
      </c>
      <c r="K1328" s="9">
        <v>0</v>
      </c>
      <c r="L1328" s="9">
        <v>0</v>
      </c>
      <c r="M1328" s="9">
        <v>0</v>
      </c>
      <c r="N1328" s="9">
        <v>0</v>
      </c>
      <c r="O1328" s="9">
        <v>0</v>
      </c>
      <c r="P1328" s="9">
        <v>1</v>
      </c>
      <c r="Q1328" s="9">
        <f>MAX(-20,MIN(10,$A1328-VLOOKUP(YEAR($A1328),'Festive dates'!$A$2:$J$5,8,FALSE)))</f>
        <v>9</v>
      </c>
      <c r="R1328" s="9">
        <f>IF(AND($A1328&gt;VLOOKUP(YEAR($A1328),'Festive dates'!$A$2:$J$5,2,FALSE),$A1328&lt;VLOOKUP(YEAR($A1328),'Festive dates'!$A$2:$J$5,3,FALSE)),1,0)</f>
        <v>0</v>
      </c>
      <c r="S1328" s="9">
        <f>IF($A1328=VLOOKUP(YEAR($A1328),'Festive dates'!$A$2:$J$5,2,FALSE),1,0)</f>
        <v>0</v>
      </c>
      <c r="T1328" s="9">
        <f>IF($A1328=VLOOKUP(YEAR($A1328),'Festive dates'!$A$2:$J$5,3,FALSE),1,0)</f>
        <v>0</v>
      </c>
      <c r="U1328" s="9">
        <f>IF($A1328=VLOOKUP(YEAR($A1328),'Festive dates'!$A$2:$J$5,4,FALSE),1,0)</f>
        <v>0</v>
      </c>
      <c r="V1328" s="9">
        <f>IF(AND($A1328&gt;=VLOOKUP(YEAR($A1328),'Festive dates'!$A$2:$J$5,9,FALSE),$A1328&lt;=VLOOKUP(YEAR($A1328),'Festive dates'!$A$2:$J$5,10,FALSE)),1,0)</f>
        <v>0</v>
      </c>
      <c r="W1328" s="9">
        <f>IF($A1328=VLOOKUP(YEAR($A1328),'Festive dates'!$A$2:$J$5,7,FALSE),1,0)</f>
        <v>0</v>
      </c>
      <c r="X1328" s="1"/>
      <c r="Y1328" s="1"/>
      <c r="Z1328" s="1"/>
      <c r="AA1328" s="1"/>
      <c r="AB1328" s="1"/>
      <c r="AC1328" s="1"/>
      <c r="AD1328" s="1"/>
      <c r="AE1328" s="1"/>
      <c r="AF1328" s="1"/>
      <c r="AG1328" s="1"/>
      <c r="AH1328" s="1"/>
      <c r="AI1328" s="1"/>
      <c r="AJ1328" s="1"/>
      <c r="AK1328" s="1"/>
      <c r="AL1328" s="1"/>
      <c r="AM1328" s="1"/>
      <c r="AN1328" s="1"/>
      <c r="AO1328" s="1"/>
      <c r="AP1328" s="1"/>
      <c r="AQ1328" s="1"/>
      <c r="AR1328" s="1"/>
      <c r="AS1328" s="1"/>
      <c r="AT1328" s="1"/>
      <c r="AU1328" s="1"/>
      <c r="AV1328" s="1"/>
      <c r="AW1328" s="1"/>
      <c r="AX1328" s="1"/>
      <c r="AY1328" s="1"/>
    </row>
    <row r="1329" spans="1:51">
      <c r="A1329" s="8">
        <v>46344</v>
      </c>
      <c r="B1329" s="9">
        <v>0</v>
      </c>
      <c r="C1329" s="9">
        <v>0</v>
      </c>
      <c r="D1329" s="9">
        <v>0</v>
      </c>
      <c r="E1329" s="9">
        <v>0</v>
      </c>
      <c r="F1329" s="9">
        <v>0</v>
      </c>
      <c r="G1329" s="9">
        <v>0</v>
      </c>
      <c r="H1329" s="9">
        <v>0</v>
      </c>
      <c r="I1329" s="9">
        <v>0</v>
      </c>
      <c r="J1329" s="9">
        <v>0</v>
      </c>
      <c r="K1329" s="9">
        <v>0</v>
      </c>
      <c r="L1329" s="9">
        <v>0</v>
      </c>
      <c r="M1329" s="9">
        <v>0</v>
      </c>
      <c r="N1329" s="9">
        <v>0</v>
      </c>
      <c r="O1329" s="9">
        <v>0</v>
      </c>
      <c r="P1329" s="9">
        <v>1</v>
      </c>
      <c r="Q1329" s="9">
        <f>MAX(-20,MIN(10,$A1329-VLOOKUP(YEAR($A1329),'Festive dates'!$A$2:$J$5,8,FALSE)))</f>
        <v>10</v>
      </c>
      <c r="R1329" s="9">
        <f>IF(AND($A1329&gt;VLOOKUP(YEAR($A1329),'Festive dates'!$A$2:$J$5,2,FALSE),$A1329&lt;VLOOKUP(YEAR($A1329),'Festive dates'!$A$2:$J$5,3,FALSE)),1,0)</f>
        <v>0</v>
      </c>
      <c r="S1329" s="9">
        <f>IF($A1329=VLOOKUP(YEAR($A1329),'Festive dates'!$A$2:$J$5,2,FALSE),1,0)</f>
        <v>0</v>
      </c>
      <c r="T1329" s="9">
        <f>IF($A1329=VLOOKUP(YEAR($A1329),'Festive dates'!$A$2:$J$5,3,FALSE),1,0)</f>
        <v>0</v>
      </c>
      <c r="U1329" s="9">
        <f>IF($A1329=VLOOKUP(YEAR($A1329),'Festive dates'!$A$2:$J$5,4,FALSE),1,0)</f>
        <v>0</v>
      </c>
      <c r="V1329" s="9">
        <f>IF(AND($A1329&gt;=VLOOKUP(YEAR($A1329),'Festive dates'!$A$2:$J$5,9,FALSE),$A1329&lt;=VLOOKUP(YEAR($A1329),'Festive dates'!$A$2:$J$5,10,FALSE)),1,0)</f>
        <v>0</v>
      </c>
      <c r="W1329" s="9">
        <f>IF($A1329=VLOOKUP(YEAR($A1329),'Festive dates'!$A$2:$J$5,7,FALSE),1,0)</f>
        <v>0</v>
      </c>
      <c r="X1329" s="1"/>
      <c r="Y1329" s="1"/>
      <c r="Z1329" s="1"/>
      <c r="AA1329" s="1"/>
      <c r="AB1329" s="1"/>
      <c r="AC1329" s="1"/>
      <c r="AD1329" s="1"/>
      <c r="AE1329" s="1"/>
      <c r="AF1329" s="1"/>
      <c r="AG1329" s="1"/>
      <c r="AH1329" s="1"/>
      <c r="AI1329" s="1"/>
      <c r="AJ1329" s="1"/>
      <c r="AK1329" s="1"/>
      <c r="AL1329" s="1"/>
      <c r="AM1329" s="1"/>
      <c r="AN1329" s="1"/>
      <c r="AO1329" s="1"/>
      <c r="AP1329" s="1"/>
      <c r="AQ1329" s="1"/>
      <c r="AR1329" s="1"/>
      <c r="AS1329" s="1"/>
      <c r="AT1329" s="1"/>
      <c r="AU1329" s="1"/>
      <c r="AV1329" s="1"/>
      <c r="AW1329" s="1"/>
      <c r="AX1329" s="1"/>
      <c r="AY1329" s="1"/>
    </row>
    <row r="1330" spans="1:51">
      <c r="A1330" s="8">
        <v>46345</v>
      </c>
      <c r="B1330" s="9">
        <v>0</v>
      </c>
      <c r="C1330" s="9">
        <v>0</v>
      </c>
      <c r="D1330" s="9">
        <v>0</v>
      </c>
      <c r="E1330" s="9">
        <v>0</v>
      </c>
      <c r="F1330" s="9">
        <v>0</v>
      </c>
      <c r="G1330" s="9">
        <v>0</v>
      </c>
      <c r="H1330" s="9">
        <v>0</v>
      </c>
      <c r="I1330" s="9">
        <v>0</v>
      </c>
      <c r="J1330" s="9">
        <v>0</v>
      </c>
      <c r="K1330" s="9">
        <v>0</v>
      </c>
      <c r="L1330" s="9">
        <v>0</v>
      </c>
      <c r="M1330" s="9">
        <v>0</v>
      </c>
      <c r="N1330" s="9">
        <v>0</v>
      </c>
      <c r="O1330" s="9">
        <v>0</v>
      </c>
      <c r="P1330" s="9">
        <v>1</v>
      </c>
      <c r="Q1330" s="9">
        <f>MAX(-20,MIN(10,$A1330-VLOOKUP(YEAR($A1330),'Festive dates'!$A$2:$J$5,8,FALSE)))</f>
        <v>10</v>
      </c>
      <c r="R1330" s="9">
        <f>IF(AND($A1330&gt;VLOOKUP(YEAR($A1330),'Festive dates'!$A$2:$J$5,2,FALSE),$A1330&lt;VLOOKUP(YEAR($A1330),'Festive dates'!$A$2:$J$5,3,FALSE)),1,0)</f>
        <v>0</v>
      </c>
      <c r="S1330" s="9">
        <f>IF($A1330=VLOOKUP(YEAR($A1330),'Festive dates'!$A$2:$J$5,2,FALSE),1,0)</f>
        <v>0</v>
      </c>
      <c r="T1330" s="9">
        <f>IF($A1330=VLOOKUP(YEAR($A1330),'Festive dates'!$A$2:$J$5,3,FALSE),1,0)</f>
        <v>0</v>
      </c>
      <c r="U1330" s="9">
        <f>IF($A1330=VLOOKUP(YEAR($A1330),'Festive dates'!$A$2:$J$5,4,FALSE),1,0)</f>
        <v>0</v>
      </c>
      <c r="V1330" s="9">
        <f>IF(AND($A1330&gt;=VLOOKUP(YEAR($A1330),'Festive dates'!$A$2:$J$5,9,FALSE),$A1330&lt;=VLOOKUP(YEAR($A1330),'Festive dates'!$A$2:$J$5,10,FALSE)),1,0)</f>
        <v>0</v>
      </c>
      <c r="W1330" s="9">
        <f>IF($A1330=VLOOKUP(YEAR($A1330),'Festive dates'!$A$2:$J$5,7,FALSE),1,0)</f>
        <v>0</v>
      </c>
      <c r="X1330" s="1"/>
      <c r="Y1330" s="1"/>
      <c r="Z1330" s="1"/>
      <c r="AA1330" s="1"/>
      <c r="AB1330" s="1"/>
      <c r="AC1330" s="1"/>
      <c r="AD1330" s="1"/>
      <c r="AE1330" s="1"/>
      <c r="AF1330" s="1"/>
      <c r="AG1330" s="1"/>
      <c r="AH1330" s="1"/>
      <c r="AI1330" s="1"/>
      <c r="AJ1330" s="1"/>
      <c r="AK1330" s="1"/>
      <c r="AL1330" s="1"/>
      <c r="AM1330" s="1"/>
      <c r="AN1330" s="1"/>
      <c r="AO1330" s="1"/>
      <c r="AP1330" s="1"/>
      <c r="AQ1330" s="1"/>
      <c r="AR1330" s="1"/>
      <c r="AS1330" s="1"/>
      <c r="AT1330" s="1"/>
      <c r="AU1330" s="1"/>
      <c r="AV1330" s="1"/>
      <c r="AW1330" s="1"/>
      <c r="AX1330" s="1"/>
      <c r="AY1330" s="1"/>
    </row>
    <row r="1331" spans="1:51">
      <c r="A1331" s="8">
        <v>46346</v>
      </c>
      <c r="B1331" s="9">
        <v>0</v>
      </c>
      <c r="C1331" s="9">
        <v>0</v>
      </c>
      <c r="D1331" s="9">
        <v>0</v>
      </c>
      <c r="E1331" s="9">
        <v>0</v>
      </c>
      <c r="F1331" s="9">
        <v>0</v>
      </c>
      <c r="G1331" s="9">
        <v>0</v>
      </c>
      <c r="H1331" s="9">
        <v>0</v>
      </c>
      <c r="I1331" s="9">
        <v>0</v>
      </c>
      <c r="J1331" s="9">
        <v>0</v>
      </c>
      <c r="K1331" s="9">
        <v>0</v>
      </c>
      <c r="L1331" s="9">
        <v>0</v>
      </c>
      <c r="M1331" s="9">
        <v>0</v>
      </c>
      <c r="N1331" s="9">
        <v>0</v>
      </c>
      <c r="O1331" s="9">
        <v>0</v>
      </c>
      <c r="P1331" s="9">
        <v>0</v>
      </c>
      <c r="Q1331" s="9">
        <f>MAX(-20,MIN(10,$A1331-VLOOKUP(YEAR($A1331),'Festive dates'!$A$2:$J$5,8,FALSE)))</f>
        <v>10</v>
      </c>
      <c r="R1331" s="9">
        <f>IF(AND($A1331&gt;VLOOKUP(YEAR($A1331),'Festive dates'!$A$2:$J$5,2,FALSE),$A1331&lt;VLOOKUP(YEAR($A1331),'Festive dates'!$A$2:$J$5,3,FALSE)),1,0)</f>
        <v>0</v>
      </c>
      <c r="S1331" s="9">
        <f>IF($A1331=VLOOKUP(YEAR($A1331),'Festive dates'!$A$2:$J$5,2,FALSE),1,0)</f>
        <v>0</v>
      </c>
      <c r="T1331" s="9">
        <f>IF($A1331=VLOOKUP(YEAR($A1331),'Festive dates'!$A$2:$J$5,3,FALSE),1,0)</f>
        <v>0</v>
      </c>
      <c r="U1331" s="9">
        <f>IF($A1331=VLOOKUP(YEAR($A1331),'Festive dates'!$A$2:$J$5,4,FALSE),1,0)</f>
        <v>0</v>
      </c>
      <c r="V1331" s="9">
        <f>IF(AND($A1331&gt;=VLOOKUP(YEAR($A1331),'Festive dates'!$A$2:$J$5,9,FALSE),$A1331&lt;=VLOOKUP(YEAR($A1331),'Festive dates'!$A$2:$J$5,10,FALSE)),1,0)</f>
        <v>0</v>
      </c>
      <c r="W1331" s="9">
        <f>IF($A1331=VLOOKUP(YEAR($A1331),'Festive dates'!$A$2:$J$5,7,FALSE),1,0)</f>
        <v>0</v>
      </c>
      <c r="X1331" s="1"/>
      <c r="Y1331" s="1"/>
      <c r="Z1331" s="1"/>
      <c r="AA1331" s="1"/>
      <c r="AB1331" s="1"/>
      <c r="AC1331" s="1"/>
      <c r="AD1331" s="1"/>
      <c r="AE1331" s="1"/>
      <c r="AF1331" s="1"/>
      <c r="AG1331" s="1"/>
      <c r="AH1331" s="1"/>
      <c r="AI1331" s="1"/>
      <c r="AJ1331" s="1"/>
      <c r="AK1331" s="1"/>
      <c r="AL1331" s="1"/>
      <c r="AM1331" s="1"/>
      <c r="AN1331" s="1"/>
      <c r="AO1331" s="1"/>
      <c r="AP1331" s="1"/>
      <c r="AQ1331" s="1"/>
      <c r="AR1331" s="1"/>
      <c r="AS1331" s="1"/>
      <c r="AT1331" s="1"/>
      <c r="AU1331" s="1"/>
      <c r="AV1331" s="1"/>
      <c r="AW1331" s="1"/>
      <c r="AX1331" s="1"/>
      <c r="AY1331" s="1"/>
    </row>
    <row r="1332" spans="1:51">
      <c r="A1332" s="8">
        <v>46347</v>
      </c>
      <c r="B1332" s="9">
        <v>0</v>
      </c>
      <c r="C1332" s="9">
        <v>0</v>
      </c>
      <c r="D1332" s="9">
        <v>0</v>
      </c>
      <c r="E1332" s="9">
        <v>0</v>
      </c>
      <c r="F1332" s="9">
        <v>0</v>
      </c>
      <c r="G1332" s="9">
        <v>0</v>
      </c>
      <c r="H1332" s="9">
        <v>0</v>
      </c>
      <c r="I1332" s="9">
        <v>0</v>
      </c>
      <c r="J1332" s="9">
        <v>0</v>
      </c>
      <c r="K1332" s="9">
        <v>0</v>
      </c>
      <c r="L1332" s="9">
        <v>0</v>
      </c>
      <c r="M1332" s="9">
        <v>0</v>
      </c>
      <c r="N1332" s="9">
        <v>0</v>
      </c>
      <c r="O1332" s="9">
        <v>0</v>
      </c>
      <c r="P1332" s="9">
        <v>0</v>
      </c>
      <c r="Q1332" s="9">
        <f>MAX(-20,MIN(10,$A1332-VLOOKUP(YEAR($A1332),'Festive dates'!$A$2:$J$5,8,FALSE)))</f>
        <v>10</v>
      </c>
      <c r="R1332" s="9">
        <f>IF(AND($A1332&gt;VLOOKUP(YEAR($A1332),'Festive dates'!$A$2:$J$5,2,FALSE),$A1332&lt;VLOOKUP(YEAR($A1332),'Festive dates'!$A$2:$J$5,3,FALSE)),1,0)</f>
        <v>0</v>
      </c>
      <c r="S1332" s="9">
        <f>IF($A1332=VLOOKUP(YEAR($A1332),'Festive dates'!$A$2:$J$5,2,FALSE),1,0)</f>
        <v>0</v>
      </c>
      <c r="T1332" s="9">
        <f>IF($A1332=VLOOKUP(YEAR($A1332),'Festive dates'!$A$2:$J$5,3,FALSE),1,0)</f>
        <v>0</v>
      </c>
      <c r="U1332" s="9">
        <f>IF($A1332=VLOOKUP(YEAR($A1332),'Festive dates'!$A$2:$J$5,4,FALSE),1,0)</f>
        <v>0</v>
      </c>
      <c r="V1332" s="9">
        <f>IF(AND($A1332&gt;=VLOOKUP(YEAR($A1332),'Festive dates'!$A$2:$J$5,9,FALSE),$A1332&lt;=VLOOKUP(YEAR($A1332),'Festive dates'!$A$2:$J$5,10,FALSE)),1,0)</f>
        <v>0</v>
      </c>
      <c r="W1332" s="9">
        <f>IF($A1332=VLOOKUP(YEAR($A1332),'Festive dates'!$A$2:$J$5,7,FALSE),1,0)</f>
        <v>0</v>
      </c>
      <c r="X1332" s="1"/>
      <c r="Y1332" s="1"/>
      <c r="Z1332" s="1"/>
      <c r="AA1332" s="1"/>
      <c r="AB1332" s="1"/>
      <c r="AC1332" s="1"/>
      <c r="AD1332" s="1"/>
      <c r="AE1332" s="1"/>
      <c r="AF1332" s="1"/>
      <c r="AG1332" s="1"/>
      <c r="AH1332" s="1"/>
      <c r="AI1332" s="1"/>
      <c r="AJ1332" s="1"/>
      <c r="AK1332" s="1"/>
      <c r="AL1332" s="1"/>
      <c r="AM1332" s="1"/>
      <c r="AN1332" s="1"/>
      <c r="AO1332" s="1"/>
      <c r="AP1332" s="1"/>
      <c r="AQ1332" s="1"/>
      <c r="AR1332" s="1"/>
      <c r="AS1332" s="1"/>
      <c r="AT1332" s="1"/>
      <c r="AU1332" s="1"/>
      <c r="AV1332" s="1"/>
      <c r="AW1332" s="1"/>
      <c r="AX1332" s="1"/>
      <c r="AY1332" s="1"/>
    </row>
    <row r="1333" spans="1:51">
      <c r="A1333" s="8">
        <v>46348</v>
      </c>
      <c r="B1333" s="9">
        <v>0</v>
      </c>
      <c r="C1333" s="9">
        <v>0</v>
      </c>
      <c r="D1333" s="9">
        <v>0</v>
      </c>
      <c r="E1333" s="9">
        <v>0</v>
      </c>
      <c r="F1333" s="9">
        <v>0</v>
      </c>
      <c r="G1333" s="9">
        <v>0</v>
      </c>
      <c r="H1333" s="9">
        <v>0</v>
      </c>
      <c r="I1333" s="9">
        <v>0</v>
      </c>
      <c r="J1333" s="9">
        <v>0</v>
      </c>
      <c r="K1333" s="9">
        <v>0</v>
      </c>
      <c r="L1333" s="9">
        <v>0</v>
      </c>
      <c r="M1333" s="9">
        <v>0</v>
      </c>
      <c r="N1333" s="9">
        <v>0</v>
      </c>
      <c r="O1333" s="9">
        <v>0</v>
      </c>
      <c r="P1333" s="9">
        <v>0</v>
      </c>
      <c r="Q1333" s="9">
        <f>MAX(-20,MIN(10,$A1333-VLOOKUP(YEAR($A1333),'Festive dates'!$A$2:$J$5,8,FALSE)))</f>
        <v>10</v>
      </c>
      <c r="R1333" s="9">
        <f>IF(AND($A1333&gt;VLOOKUP(YEAR($A1333),'Festive dates'!$A$2:$J$5,2,FALSE),$A1333&lt;VLOOKUP(YEAR($A1333),'Festive dates'!$A$2:$J$5,3,FALSE)),1,0)</f>
        <v>0</v>
      </c>
      <c r="S1333" s="9">
        <f>IF($A1333=VLOOKUP(YEAR($A1333),'Festive dates'!$A$2:$J$5,2,FALSE),1,0)</f>
        <v>0</v>
      </c>
      <c r="T1333" s="9">
        <f>IF($A1333=VLOOKUP(YEAR($A1333),'Festive dates'!$A$2:$J$5,3,FALSE),1,0)</f>
        <v>0</v>
      </c>
      <c r="U1333" s="9">
        <f>IF($A1333=VLOOKUP(YEAR($A1333),'Festive dates'!$A$2:$J$5,4,FALSE),1,0)</f>
        <v>0</v>
      </c>
      <c r="V1333" s="9">
        <f>IF(AND($A1333&gt;=VLOOKUP(YEAR($A1333),'Festive dates'!$A$2:$J$5,9,FALSE),$A1333&lt;=VLOOKUP(YEAR($A1333),'Festive dates'!$A$2:$J$5,10,FALSE)),1,0)</f>
        <v>0</v>
      </c>
      <c r="W1333" s="9">
        <f>IF($A1333=VLOOKUP(YEAR($A1333),'Festive dates'!$A$2:$J$5,7,FALSE),1,0)</f>
        <v>0</v>
      </c>
      <c r="X1333" s="1"/>
      <c r="Y1333" s="1"/>
      <c r="Z1333" s="1"/>
      <c r="AA1333" s="1"/>
      <c r="AB1333" s="1"/>
      <c r="AC1333" s="1"/>
      <c r="AD1333" s="1"/>
      <c r="AE1333" s="1"/>
      <c r="AF1333" s="1"/>
      <c r="AG1333" s="1"/>
      <c r="AH1333" s="1"/>
      <c r="AI1333" s="1"/>
      <c r="AJ1333" s="1"/>
      <c r="AK1333" s="1"/>
      <c r="AL1333" s="1"/>
      <c r="AM1333" s="1"/>
      <c r="AN1333" s="1"/>
      <c r="AO1333" s="1"/>
      <c r="AP1333" s="1"/>
      <c r="AQ1333" s="1"/>
      <c r="AR1333" s="1"/>
      <c r="AS1333" s="1"/>
      <c r="AT1333" s="1"/>
      <c r="AU1333" s="1"/>
      <c r="AV1333" s="1"/>
      <c r="AW1333" s="1"/>
      <c r="AX1333" s="1"/>
      <c r="AY1333" s="1"/>
    </row>
    <row r="1334" spans="1:51">
      <c r="A1334" s="8">
        <v>46349</v>
      </c>
      <c r="B1334" s="9">
        <v>0</v>
      </c>
      <c r="C1334" s="9">
        <v>0</v>
      </c>
      <c r="D1334" s="9">
        <v>0</v>
      </c>
      <c r="E1334" s="9">
        <v>0</v>
      </c>
      <c r="F1334" s="9">
        <v>0</v>
      </c>
      <c r="G1334" s="9">
        <v>0</v>
      </c>
      <c r="H1334" s="9">
        <v>0</v>
      </c>
      <c r="I1334" s="9">
        <v>0</v>
      </c>
      <c r="J1334" s="9">
        <v>0</v>
      </c>
      <c r="K1334" s="9">
        <v>0</v>
      </c>
      <c r="L1334" s="9">
        <v>0</v>
      </c>
      <c r="M1334" s="9">
        <v>0</v>
      </c>
      <c r="N1334" s="9">
        <v>0</v>
      </c>
      <c r="O1334" s="9">
        <v>0</v>
      </c>
      <c r="P1334" s="9">
        <v>0</v>
      </c>
      <c r="Q1334" s="9">
        <f>MAX(-20,MIN(10,$A1334-VLOOKUP(YEAR($A1334),'Festive dates'!$A$2:$J$5,8,FALSE)))</f>
        <v>10</v>
      </c>
      <c r="R1334" s="9">
        <f>IF(AND($A1334&gt;VLOOKUP(YEAR($A1334),'Festive dates'!$A$2:$J$5,2,FALSE),$A1334&lt;VLOOKUP(YEAR($A1334),'Festive dates'!$A$2:$J$5,3,FALSE)),1,0)</f>
        <v>0</v>
      </c>
      <c r="S1334" s="9">
        <f>IF($A1334=VLOOKUP(YEAR($A1334),'Festive dates'!$A$2:$J$5,2,FALSE),1,0)</f>
        <v>0</v>
      </c>
      <c r="T1334" s="9">
        <f>IF($A1334=VLOOKUP(YEAR($A1334),'Festive dates'!$A$2:$J$5,3,FALSE),1,0)</f>
        <v>0</v>
      </c>
      <c r="U1334" s="9">
        <f>IF($A1334=VLOOKUP(YEAR($A1334),'Festive dates'!$A$2:$J$5,4,FALSE),1,0)</f>
        <v>0</v>
      </c>
      <c r="V1334" s="9">
        <f>IF(AND($A1334&gt;=VLOOKUP(YEAR($A1334),'Festive dates'!$A$2:$J$5,9,FALSE),$A1334&lt;=VLOOKUP(YEAR($A1334),'Festive dates'!$A$2:$J$5,10,FALSE)),1,0)</f>
        <v>0</v>
      </c>
      <c r="W1334" s="9">
        <f>IF($A1334=VLOOKUP(YEAR($A1334),'Festive dates'!$A$2:$J$5,7,FALSE),1,0)</f>
        <v>0</v>
      </c>
      <c r="X1334" s="1"/>
      <c r="Y1334" s="1"/>
      <c r="Z1334" s="1"/>
      <c r="AA1334" s="1"/>
      <c r="AB1334" s="1"/>
      <c r="AC1334" s="1"/>
      <c r="AD1334" s="1"/>
      <c r="AE1334" s="1"/>
      <c r="AF1334" s="1"/>
      <c r="AG1334" s="1"/>
      <c r="AH1334" s="1"/>
      <c r="AI1334" s="1"/>
      <c r="AJ1334" s="1"/>
      <c r="AK1334" s="1"/>
      <c r="AL1334" s="1"/>
      <c r="AM1334" s="1"/>
      <c r="AN1334" s="1"/>
      <c r="AO1334" s="1"/>
      <c r="AP1334" s="1"/>
      <c r="AQ1334" s="1"/>
      <c r="AR1334" s="1"/>
      <c r="AS1334" s="1"/>
      <c r="AT1334" s="1"/>
      <c r="AU1334" s="1"/>
      <c r="AV1334" s="1"/>
      <c r="AW1334" s="1"/>
      <c r="AX1334" s="1"/>
      <c r="AY1334" s="1"/>
    </row>
    <row r="1335" spans="1:51">
      <c r="A1335" s="8">
        <v>46350</v>
      </c>
      <c r="B1335" s="9">
        <v>0</v>
      </c>
      <c r="C1335" s="9">
        <v>0</v>
      </c>
      <c r="D1335" s="9">
        <v>0</v>
      </c>
      <c r="E1335" s="9">
        <v>0</v>
      </c>
      <c r="F1335" s="9">
        <v>0</v>
      </c>
      <c r="G1335" s="9">
        <v>0</v>
      </c>
      <c r="H1335" s="9">
        <v>0</v>
      </c>
      <c r="I1335" s="9">
        <v>0</v>
      </c>
      <c r="J1335" s="9">
        <v>0</v>
      </c>
      <c r="K1335" s="9">
        <v>0</v>
      </c>
      <c r="L1335" s="9">
        <v>0</v>
      </c>
      <c r="M1335" s="9">
        <v>0</v>
      </c>
      <c r="N1335" s="9">
        <v>0</v>
      </c>
      <c r="O1335" s="9">
        <v>0</v>
      </c>
      <c r="P1335" s="9">
        <v>0</v>
      </c>
      <c r="Q1335" s="9">
        <f>MAX(-20,MIN(10,$A1335-VLOOKUP(YEAR($A1335),'Festive dates'!$A$2:$J$5,8,FALSE)))</f>
        <v>10</v>
      </c>
      <c r="R1335" s="9">
        <f>IF(AND($A1335&gt;VLOOKUP(YEAR($A1335),'Festive dates'!$A$2:$J$5,2,FALSE),$A1335&lt;VLOOKUP(YEAR($A1335),'Festive dates'!$A$2:$J$5,3,FALSE)),1,0)</f>
        <v>0</v>
      </c>
      <c r="S1335" s="9">
        <f>IF($A1335=VLOOKUP(YEAR($A1335),'Festive dates'!$A$2:$J$5,2,FALSE),1,0)</f>
        <v>0</v>
      </c>
      <c r="T1335" s="9">
        <f>IF($A1335=VLOOKUP(YEAR($A1335),'Festive dates'!$A$2:$J$5,3,FALSE),1,0)</f>
        <v>0</v>
      </c>
      <c r="U1335" s="9">
        <f>IF($A1335=VLOOKUP(YEAR($A1335),'Festive dates'!$A$2:$J$5,4,FALSE),1,0)</f>
        <v>0</v>
      </c>
      <c r="V1335" s="9">
        <f>IF(AND($A1335&gt;=VLOOKUP(YEAR($A1335),'Festive dates'!$A$2:$J$5,9,FALSE),$A1335&lt;=VLOOKUP(YEAR($A1335),'Festive dates'!$A$2:$J$5,10,FALSE)),1,0)</f>
        <v>0</v>
      </c>
      <c r="W1335" s="9">
        <f>IF($A1335=VLOOKUP(YEAR($A1335),'Festive dates'!$A$2:$J$5,7,FALSE),1,0)</f>
        <v>0</v>
      </c>
      <c r="X1335" s="1"/>
      <c r="Y1335" s="1"/>
      <c r="Z1335" s="1"/>
      <c r="AA1335" s="1"/>
      <c r="AB1335" s="1"/>
      <c r="AC1335" s="1"/>
      <c r="AD1335" s="1"/>
      <c r="AE1335" s="1"/>
      <c r="AF1335" s="1"/>
      <c r="AG1335" s="1"/>
      <c r="AH1335" s="1"/>
      <c r="AI1335" s="1"/>
      <c r="AJ1335" s="1"/>
      <c r="AK1335" s="1"/>
      <c r="AL1335" s="1"/>
      <c r="AM1335" s="1"/>
      <c r="AN1335" s="1"/>
      <c r="AO1335" s="1"/>
      <c r="AP1335" s="1"/>
      <c r="AQ1335" s="1"/>
      <c r="AR1335" s="1"/>
      <c r="AS1335" s="1"/>
      <c r="AT1335" s="1"/>
      <c r="AU1335" s="1"/>
      <c r="AV1335" s="1"/>
      <c r="AW1335" s="1"/>
      <c r="AX1335" s="1"/>
      <c r="AY1335" s="1"/>
    </row>
    <row r="1336" spans="1:51">
      <c r="A1336" s="8">
        <v>46351</v>
      </c>
      <c r="B1336" s="9">
        <v>0</v>
      </c>
      <c r="C1336" s="9">
        <v>0</v>
      </c>
      <c r="D1336" s="9">
        <v>0</v>
      </c>
      <c r="E1336" s="9">
        <v>0</v>
      </c>
      <c r="F1336" s="9">
        <v>0</v>
      </c>
      <c r="G1336" s="9">
        <v>0</v>
      </c>
      <c r="H1336" s="9">
        <v>0</v>
      </c>
      <c r="I1336" s="9">
        <v>0</v>
      </c>
      <c r="J1336" s="9">
        <v>0</v>
      </c>
      <c r="K1336" s="9">
        <v>0</v>
      </c>
      <c r="L1336" s="9">
        <v>0</v>
      </c>
      <c r="M1336" s="9">
        <v>0</v>
      </c>
      <c r="N1336" s="9">
        <v>0</v>
      </c>
      <c r="O1336" s="9">
        <v>0</v>
      </c>
      <c r="P1336" s="9">
        <v>1</v>
      </c>
      <c r="Q1336" s="9">
        <f>MAX(-20,MIN(10,$A1336-VLOOKUP(YEAR($A1336),'Festive dates'!$A$2:$J$5,8,FALSE)))</f>
        <v>10</v>
      </c>
      <c r="R1336" s="9">
        <f>IF(AND($A1336&gt;VLOOKUP(YEAR($A1336),'Festive dates'!$A$2:$J$5,2,FALSE),$A1336&lt;VLOOKUP(YEAR($A1336),'Festive dates'!$A$2:$J$5,3,FALSE)),1,0)</f>
        <v>0</v>
      </c>
      <c r="S1336" s="9">
        <f>IF($A1336=VLOOKUP(YEAR($A1336),'Festive dates'!$A$2:$J$5,2,FALSE),1,0)</f>
        <v>0</v>
      </c>
      <c r="T1336" s="9">
        <f>IF($A1336=VLOOKUP(YEAR($A1336),'Festive dates'!$A$2:$J$5,3,FALSE),1,0)</f>
        <v>0</v>
      </c>
      <c r="U1336" s="9">
        <f>IF($A1336=VLOOKUP(YEAR($A1336),'Festive dates'!$A$2:$J$5,4,FALSE),1,0)</f>
        <v>0</v>
      </c>
      <c r="V1336" s="9">
        <f>IF(AND($A1336&gt;=VLOOKUP(YEAR($A1336),'Festive dates'!$A$2:$J$5,9,FALSE),$A1336&lt;=VLOOKUP(YEAR($A1336),'Festive dates'!$A$2:$J$5,10,FALSE)),1,0)</f>
        <v>0</v>
      </c>
      <c r="W1336" s="9">
        <f>IF($A1336=VLOOKUP(YEAR($A1336),'Festive dates'!$A$2:$J$5,7,FALSE),1,0)</f>
        <v>0</v>
      </c>
      <c r="X1336" s="1"/>
      <c r="Y1336" s="1"/>
      <c r="Z1336" s="1"/>
      <c r="AA1336" s="1"/>
      <c r="AB1336" s="1"/>
      <c r="AC1336" s="1"/>
      <c r="AD1336" s="1"/>
      <c r="AE1336" s="1"/>
      <c r="AF1336" s="1"/>
      <c r="AG1336" s="1"/>
      <c r="AH1336" s="1"/>
      <c r="AI1336" s="1"/>
      <c r="AJ1336" s="1"/>
      <c r="AK1336" s="1"/>
      <c r="AL1336" s="1"/>
      <c r="AM1336" s="1"/>
      <c r="AN1336" s="1"/>
      <c r="AO1336" s="1"/>
      <c r="AP1336" s="1"/>
      <c r="AQ1336" s="1"/>
      <c r="AR1336" s="1"/>
      <c r="AS1336" s="1"/>
      <c r="AT1336" s="1"/>
      <c r="AU1336" s="1"/>
      <c r="AV1336" s="1"/>
      <c r="AW1336" s="1"/>
      <c r="AX1336" s="1"/>
      <c r="AY1336" s="1"/>
    </row>
    <row r="1337" spans="1:51">
      <c r="A1337" s="8">
        <v>46352</v>
      </c>
      <c r="B1337" s="9">
        <v>0</v>
      </c>
      <c r="C1337" s="9">
        <v>0</v>
      </c>
      <c r="D1337" s="9">
        <v>0</v>
      </c>
      <c r="E1337" s="9">
        <v>0</v>
      </c>
      <c r="F1337" s="9">
        <v>0</v>
      </c>
      <c r="G1337" s="9">
        <v>0</v>
      </c>
      <c r="H1337" s="9">
        <v>0</v>
      </c>
      <c r="I1337" s="9">
        <v>0</v>
      </c>
      <c r="J1337" s="9">
        <v>0</v>
      </c>
      <c r="K1337" s="9">
        <v>0</v>
      </c>
      <c r="L1337" s="9">
        <v>0</v>
      </c>
      <c r="M1337" s="9">
        <v>0</v>
      </c>
      <c r="N1337" s="9">
        <v>0</v>
      </c>
      <c r="O1337" s="9">
        <v>0</v>
      </c>
      <c r="P1337" s="9">
        <v>1</v>
      </c>
      <c r="Q1337" s="9">
        <f>MAX(-20,MIN(10,$A1337-VLOOKUP(YEAR($A1337),'Festive dates'!$A$2:$J$5,8,FALSE)))</f>
        <v>10</v>
      </c>
      <c r="R1337" s="9">
        <f>IF(AND($A1337&gt;VLOOKUP(YEAR($A1337),'Festive dates'!$A$2:$J$5,2,FALSE),$A1337&lt;VLOOKUP(YEAR($A1337),'Festive dates'!$A$2:$J$5,3,FALSE)),1,0)</f>
        <v>0</v>
      </c>
      <c r="S1337" s="9">
        <f>IF($A1337=VLOOKUP(YEAR($A1337),'Festive dates'!$A$2:$J$5,2,FALSE),1,0)</f>
        <v>0</v>
      </c>
      <c r="T1337" s="9">
        <f>IF($A1337=VLOOKUP(YEAR($A1337),'Festive dates'!$A$2:$J$5,3,FALSE),1,0)</f>
        <v>0</v>
      </c>
      <c r="U1337" s="9">
        <f>IF($A1337=VLOOKUP(YEAR($A1337),'Festive dates'!$A$2:$J$5,4,FALSE),1,0)</f>
        <v>0</v>
      </c>
      <c r="V1337" s="9">
        <f>IF(AND($A1337&gt;=VLOOKUP(YEAR($A1337),'Festive dates'!$A$2:$J$5,9,FALSE),$A1337&lt;=VLOOKUP(YEAR($A1337),'Festive dates'!$A$2:$J$5,10,FALSE)),1,0)</f>
        <v>0</v>
      </c>
      <c r="W1337" s="9">
        <f>IF($A1337=VLOOKUP(YEAR($A1337),'Festive dates'!$A$2:$J$5,7,FALSE),1,0)</f>
        <v>0</v>
      </c>
      <c r="X1337" s="1"/>
      <c r="Y1337" s="1"/>
      <c r="Z1337" s="1"/>
      <c r="AA1337" s="1"/>
      <c r="AB1337" s="1"/>
      <c r="AC1337" s="1"/>
      <c r="AD1337" s="1"/>
      <c r="AE1337" s="1"/>
      <c r="AF1337" s="1"/>
      <c r="AG1337" s="1"/>
      <c r="AH1337" s="1"/>
      <c r="AI1337" s="1"/>
      <c r="AJ1337" s="1"/>
      <c r="AK1337" s="1"/>
      <c r="AL1337" s="1"/>
      <c r="AM1337" s="1"/>
      <c r="AN1337" s="1"/>
      <c r="AO1337" s="1"/>
      <c r="AP1337" s="1"/>
      <c r="AQ1337" s="1"/>
      <c r="AR1337" s="1"/>
      <c r="AS1337" s="1"/>
      <c r="AT1337" s="1"/>
      <c r="AU1337" s="1"/>
      <c r="AV1337" s="1"/>
      <c r="AW1337" s="1"/>
      <c r="AX1337" s="1"/>
      <c r="AY1337" s="1"/>
    </row>
    <row r="1338" spans="1:51">
      <c r="A1338" s="8">
        <v>46353</v>
      </c>
      <c r="B1338" s="9">
        <v>0</v>
      </c>
      <c r="C1338" s="9">
        <v>0</v>
      </c>
      <c r="D1338" s="9">
        <v>0</v>
      </c>
      <c r="E1338" s="9">
        <v>0</v>
      </c>
      <c r="F1338" s="9">
        <v>0</v>
      </c>
      <c r="G1338" s="9">
        <v>0</v>
      </c>
      <c r="H1338" s="9">
        <v>0</v>
      </c>
      <c r="I1338" s="9">
        <v>0</v>
      </c>
      <c r="J1338" s="9">
        <v>0</v>
      </c>
      <c r="K1338" s="9">
        <v>0</v>
      </c>
      <c r="L1338" s="9">
        <v>0</v>
      </c>
      <c r="M1338" s="9">
        <v>0</v>
      </c>
      <c r="N1338" s="9">
        <v>0</v>
      </c>
      <c r="O1338" s="9">
        <v>0</v>
      </c>
      <c r="P1338" s="9">
        <v>1</v>
      </c>
      <c r="Q1338" s="9">
        <f>MAX(-20,MIN(10,$A1338-VLOOKUP(YEAR($A1338),'Festive dates'!$A$2:$J$5,8,FALSE)))</f>
        <v>10</v>
      </c>
      <c r="R1338" s="9">
        <f>IF(AND($A1338&gt;VLOOKUP(YEAR($A1338),'Festive dates'!$A$2:$J$5,2,FALSE),$A1338&lt;VLOOKUP(YEAR($A1338),'Festive dates'!$A$2:$J$5,3,FALSE)),1,0)</f>
        <v>0</v>
      </c>
      <c r="S1338" s="9">
        <f>IF($A1338=VLOOKUP(YEAR($A1338),'Festive dates'!$A$2:$J$5,2,FALSE),1,0)</f>
        <v>0</v>
      </c>
      <c r="T1338" s="9">
        <f>IF($A1338=VLOOKUP(YEAR($A1338),'Festive dates'!$A$2:$J$5,3,FALSE),1,0)</f>
        <v>0</v>
      </c>
      <c r="U1338" s="9">
        <f>IF($A1338=VLOOKUP(YEAR($A1338),'Festive dates'!$A$2:$J$5,4,FALSE),1,0)</f>
        <v>0</v>
      </c>
      <c r="V1338" s="9">
        <f>IF(AND($A1338&gt;=VLOOKUP(YEAR($A1338),'Festive dates'!$A$2:$J$5,9,FALSE),$A1338&lt;=VLOOKUP(YEAR($A1338),'Festive dates'!$A$2:$J$5,10,FALSE)),1,0)</f>
        <v>0</v>
      </c>
      <c r="W1338" s="9">
        <f>IF($A1338=VLOOKUP(YEAR($A1338),'Festive dates'!$A$2:$J$5,7,FALSE),1,0)</f>
        <v>0</v>
      </c>
      <c r="X1338" s="1"/>
      <c r="Y1338" s="1"/>
      <c r="Z1338" s="1"/>
      <c r="AA1338" s="1"/>
      <c r="AB1338" s="1"/>
      <c r="AC1338" s="1"/>
      <c r="AD1338" s="1"/>
      <c r="AE1338" s="1"/>
      <c r="AF1338" s="1"/>
      <c r="AG1338" s="1"/>
      <c r="AH1338" s="1"/>
      <c r="AI1338" s="1"/>
      <c r="AJ1338" s="1"/>
      <c r="AK1338" s="1"/>
      <c r="AL1338" s="1"/>
      <c r="AM1338" s="1"/>
      <c r="AN1338" s="1"/>
      <c r="AO1338" s="1"/>
      <c r="AP1338" s="1"/>
      <c r="AQ1338" s="1"/>
      <c r="AR1338" s="1"/>
      <c r="AS1338" s="1"/>
      <c r="AT1338" s="1"/>
      <c r="AU1338" s="1"/>
      <c r="AV1338" s="1"/>
      <c r="AW1338" s="1"/>
      <c r="AX1338" s="1"/>
      <c r="AY1338" s="1"/>
    </row>
    <row r="1339" spans="1:51">
      <c r="A1339" s="8">
        <v>46354</v>
      </c>
      <c r="B1339" s="9">
        <v>0</v>
      </c>
      <c r="C1339" s="9">
        <v>0</v>
      </c>
      <c r="D1339" s="9">
        <v>0</v>
      </c>
      <c r="E1339" s="9">
        <v>0</v>
      </c>
      <c r="F1339" s="9">
        <v>0</v>
      </c>
      <c r="G1339" s="9">
        <v>0</v>
      </c>
      <c r="H1339" s="9">
        <v>0</v>
      </c>
      <c r="I1339" s="9">
        <v>0</v>
      </c>
      <c r="J1339" s="9">
        <v>0</v>
      </c>
      <c r="K1339" s="9">
        <v>0</v>
      </c>
      <c r="L1339" s="9">
        <v>0</v>
      </c>
      <c r="M1339" s="9">
        <v>0</v>
      </c>
      <c r="N1339" s="9">
        <v>0</v>
      </c>
      <c r="O1339" s="9">
        <v>0</v>
      </c>
      <c r="P1339" s="9">
        <v>1</v>
      </c>
      <c r="Q1339" s="9">
        <f>MAX(-20,MIN(10,$A1339-VLOOKUP(YEAR($A1339),'Festive dates'!$A$2:$J$5,8,FALSE)))</f>
        <v>10</v>
      </c>
      <c r="R1339" s="9">
        <f>IF(AND($A1339&gt;VLOOKUP(YEAR($A1339),'Festive dates'!$A$2:$J$5,2,FALSE),$A1339&lt;VLOOKUP(YEAR($A1339),'Festive dates'!$A$2:$J$5,3,FALSE)),1,0)</f>
        <v>0</v>
      </c>
      <c r="S1339" s="9">
        <f>IF($A1339=VLOOKUP(YEAR($A1339),'Festive dates'!$A$2:$J$5,2,FALSE),1,0)</f>
        <v>0</v>
      </c>
      <c r="T1339" s="9">
        <f>IF($A1339=VLOOKUP(YEAR($A1339),'Festive dates'!$A$2:$J$5,3,FALSE),1,0)</f>
        <v>0</v>
      </c>
      <c r="U1339" s="9">
        <f>IF($A1339=VLOOKUP(YEAR($A1339),'Festive dates'!$A$2:$J$5,4,FALSE),1,0)</f>
        <v>0</v>
      </c>
      <c r="V1339" s="9">
        <f>IF(AND($A1339&gt;=VLOOKUP(YEAR($A1339),'Festive dates'!$A$2:$J$5,9,FALSE),$A1339&lt;=VLOOKUP(YEAR($A1339),'Festive dates'!$A$2:$J$5,10,FALSE)),1,0)</f>
        <v>0</v>
      </c>
      <c r="W1339" s="9">
        <f>IF($A1339=VLOOKUP(YEAR($A1339),'Festive dates'!$A$2:$J$5,7,FALSE),1,0)</f>
        <v>0</v>
      </c>
      <c r="X1339" s="1"/>
      <c r="Y1339" s="1"/>
      <c r="Z1339" s="1"/>
      <c r="AA1339" s="1"/>
      <c r="AB1339" s="1"/>
      <c r="AC1339" s="1"/>
      <c r="AD1339" s="1"/>
      <c r="AE1339" s="1"/>
      <c r="AF1339" s="1"/>
      <c r="AG1339" s="1"/>
      <c r="AH1339" s="1"/>
      <c r="AI1339" s="1"/>
      <c r="AJ1339" s="1"/>
      <c r="AK1339" s="1"/>
      <c r="AL1339" s="1"/>
      <c r="AM1339" s="1"/>
      <c r="AN1339" s="1"/>
      <c r="AO1339" s="1"/>
      <c r="AP1339" s="1"/>
      <c r="AQ1339" s="1"/>
      <c r="AR1339" s="1"/>
      <c r="AS1339" s="1"/>
      <c r="AT1339" s="1"/>
      <c r="AU1339" s="1"/>
      <c r="AV1339" s="1"/>
      <c r="AW1339" s="1"/>
      <c r="AX1339" s="1"/>
      <c r="AY1339" s="1"/>
    </row>
    <row r="1340" spans="1:51">
      <c r="A1340" s="8">
        <v>46355</v>
      </c>
      <c r="B1340" s="9">
        <v>0</v>
      </c>
      <c r="C1340" s="9">
        <v>0</v>
      </c>
      <c r="D1340" s="9">
        <v>0</v>
      </c>
      <c r="E1340" s="9">
        <v>0</v>
      </c>
      <c r="F1340" s="9">
        <v>0</v>
      </c>
      <c r="G1340" s="9">
        <v>0</v>
      </c>
      <c r="H1340" s="9">
        <v>0</v>
      </c>
      <c r="I1340" s="9">
        <v>0</v>
      </c>
      <c r="J1340" s="9">
        <v>0</v>
      </c>
      <c r="K1340" s="9">
        <v>0</v>
      </c>
      <c r="L1340" s="9">
        <v>0</v>
      </c>
      <c r="M1340" s="9">
        <v>0</v>
      </c>
      <c r="N1340" s="9">
        <v>0</v>
      </c>
      <c r="O1340" s="9">
        <v>0</v>
      </c>
      <c r="P1340" s="9">
        <v>1</v>
      </c>
      <c r="Q1340" s="9">
        <f>MAX(-20,MIN(10,$A1340-VLOOKUP(YEAR($A1340),'Festive dates'!$A$2:$J$5,8,FALSE)))</f>
        <v>10</v>
      </c>
      <c r="R1340" s="9">
        <f>IF(AND($A1340&gt;VLOOKUP(YEAR($A1340),'Festive dates'!$A$2:$J$5,2,FALSE),$A1340&lt;VLOOKUP(YEAR($A1340),'Festive dates'!$A$2:$J$5,3,FALSE)),1,0)</f>
        <v>0</v>
      </c>
      <c r="S1340" s="9">
        <f>IF($A1340=VLOOKUP(YEAR($A1340),'Festive dates'!$A$2:$J$5,2,FALSE),1,0)</f>
        <v>0</v>
      </c>
      <c r="T1340" s="9">
        <f>IF($A1340=VLOOKUP(YEAR($A1340),'Festive dates'!$A$2:$J$5,3,FALSE),1,0)</f>
        <v>0</v>
      </c>
      <c r="U1340" s="9">
        <f>IF($A1340=VLOOKUP(YEAR($A1340),'Festive dates'!$A$2:$J$5,4,FALSE),1,0)</f>
        <v>0</v>
      </c>
      <c r="V1340" s="9">
        <f>IF(AND($A1340&gt;=VLOOKUP(YEAR($A1340),'Festive dates'!$A$2:$J$5,9,FALSE),$A1340&lt;=VLOOKUP(YEAR($A1340),'Festive dates'!$A$2:$J$5,10,FALSE)),1,0)</f>
        <v>0</v>
      </c>
      <c r="W1340" s="9">
        <f>IF($A1340=VLOOKUP(YEAR($A1340),'Festive dates'!$A$2:$J$5,7,FALSE),1,0)</f>
        <v>0</v>
      </c>
      <c r="X1340" s="1"/>
      <c r="Y1340" s="1"/>
      <c r="Z1340" s="1"/>
      <c r="AA1340" s="1"/>
      <c r="AB1340" s="1"/>
      <c r="AC1340" s="1"/>
      <c r="AD1340" s="1"/>
      <c r="AE1340" s="1"/>
      <c r="AF1340" s="1"/>
      <c r="AG1340" s="1"/>
      <c r="AH1340" s="1"/>
      <c r="AI1340" s="1"/>
      <c r="AJ1340" s="1"/>
      <c r="AK1340" s="1"/>
      <c r="AL1340" s="1"/>
      <c r="AM1340" s="1"/>
      <c r="AN1340" s="1"/>
      <c r="AO1340" s="1"/>
      <c r="AP1340" s="1"/>
      <c r="AQ1340" s="1"/>
      <c r="AR1340" s="1"/>
      <c r="AS1340" s="1"/>
      <c r="AT1340" s="1"/>
      <c r="AU1340" s="1"/>
      <c r="AV1340" s="1"/>
      <c r="AW1340" s="1"/>
      <c r="AX1340" s="1"/>
      <c r="AY1340" s="1"/>
    </row>
    <row r="1341" spans="1:51">
      <c r="A1341" s="8">
        <v>46356</v>
      </c>
      <c r="B1341" s="9">
        <v>0</v>
      </c>
      <c r="C1341" s="9">
        <v>0</v>
      </c>
      <c r="D1341" s="9">
        <v>0</v>
      </c>
      <c r="E1341" s="9">
        <v>0</v>
      </c>
      <c r="F1341" s="9">
        <v>0</v>
      </c>
      <c r="G1341" s="9">
        <v>0</v>
      </c>
      <c r="H1341" s="9">
        <v>0</v>
      </c>
      <c r="I1341" s="9">
        <v>0</v>
      </c>
      <c r="J1341" s="9">
        <v>0</v>
      </c>
      <c r="K1341" s="9">
        <v>0</v>
      </c>
      <c r="L1341" s="9">
        <v>0</v>
      </c>
      <c r="M1341" s="9">
        <v>0</v>
      </c>
      <c r="N1341" s="9">
        <v>0</v>
      </c>
      <c r="O1341" s="9">
        <v>0</v>
      </c>
      <c r="P1341" s="9">
        <v>0</v>
      </c>
      <c r="Q1341" s="9">
        <f>MAX(-20,MIN(10,$A1341-VLOOKUP(YEAR($A1341),'Festive dates'!$A$2:$J$5,8,FALSE)))</f>
        <v>10</v>
      </c>
      <c r="R1341" s="9">
        <f>IF(AND($A1341&gt;VLOOKUP(YEAR($A1341),'Festive dates'!$A$2:$J$5,2,FALSE),$A1341&lt;VLOOKUP(YEAR($A1341),'Festive dates'!$A$2:$J$5,3,FALSE)),1,0)</f>
        <v>0</v>
      </c>
      <c r="S1341" s="9">
        <f>IF($A1341=VLOOKUP(YEAR($A1341),'Festive dates'!$A$2:$J$5,2,FALSE),1,0)</f>
        <v>0</v>
      </c>
      <c r="T1341" s="9">
        <f>IF($A1341=VLOOKUP(YEAR($A1341),'Festive dates'!$A$2:$J$5,3,FALSE),1,0)</f>
        <v>0</v>
      </c>
      <c r="U1341" s="9">
        <f>IF($A1341=VLOOKUP(YEAR($A1341),'Festive dates'!$A$2:$J$5,4,FALSE),1,0)</f>
        <v>0</v>
      </c>
      <c r="V1341" s="9">
        <f>IF(AND($A1341&gt;=VLOOKUP(YEAR($A1341),'Festive dates'!$A$2:$J$5,9,FALSE),$A1341&lt;=VLOOKUP(YEAR($A1341),'Festive dates'!$A$2:$J$5,10,FALSE)),1,0)</f>
        <v>0</v>
      </c>
      <c r="W1341" s="9">
        <f>IF($A1341=VLOOKUP(YEAR($A1341),'Festive dates'!$A$2:$J$5,7,FALSE),1,0)</f>
        <v>0</v>
      </c>
      <c r="X1341" s="1"/>
      <c r="Y1341" s="1"/>
      <c r="Z1341" s="1"/>
      <c r="AA1341" s="1"/>
      <c r="AB1341" s="1"/>
      <c r="AC1341" s="1"/>
      <c r="AD1341" s="1"/>
      <c r="AE1341" s="1"/>
      <c r="AF1341" s="1"/>
      <c r="AG1341" s="1"/>
      <c r="AH1341" s="1"/>
      <c r="AI1341" s="1"/>
      <c r="AJ1341" s="1"/>
      <c r="AK1341" s="1"/>
      <c r="AL1341" s="1"/>
      <c r="AM1341" s="1"/>
      <c r="AN1341" s="1"/>
      <c r="AO1341" s="1"/>
      <c r="AP1341" s="1"/>
      <c r="AQ1341" s="1"/>
      <c r="AR1341" s="1"/>
      <c r="AS1341" s="1"/>
      <c r="AT1341" s="1"/>
      <c r="AU1341" s="1"/>
      <c r="AV1341" s="1"/>
      <c r="AW1341" s="1"/>
      <c r="AX1341" s="1"/>
      <c r="AY1341" s="1"/>
    </row>
    <row r="1342" spans="1:51">
      <c r="A1342" s="8">
        <v>46357</v>
      </c>
      <c r="B1342" s="9">
        <v>0</v>
      </c>
      <c r="C1342" s="9">
        <v>0</v>
      </c>
      <c r="D1342" s="9">
        <v>0</v>
      </c>
      <c r="E1342" s="9">
        <v>0</v>
      </c>
      <c r="F1342" s="9">
        <v>0</v>
      </c>
      <c r="G1342" s="9">
        <v>0</v>
      </c>
      <c r="H1342" s="9">
        <v>0</v>
      </c>
      <c r="I1342" s="9">
        <v>0</v>
      </c>
      <c r="J1342" s="9">
        <v>0</v>
      </c>
      <c r="K1342" s="9">
        <v>0</v>
      </c>
      <c r="L1342" s="9">
        <v>0</v>
      </c>
      <c r="M1342" s="9">
        <v>0</v>
      </c>
      <c r="N1342" s="9">
        <v>0</v>
      </c>
      <c r="O1342" s="9">
        <v>0</v>
      </c>
      <c r="P1342" s="9">
        <v>0</v>
      </c>
      <c r="Q1342" s="9">
        <f>MAX(-20,MIN(10,$A1342-VLOOKUP(YEAR($A1342),'Festive dates'!$A$2:$J$5,8,FALSE)))</f>
        <v>10</v>
      </c>
      <c r="R1342" s="9">
        <f>IF(AND($A1342&gt;VLOOKUP(YEAR($A1342),'Festive dates'!$A$2:$J$5,2,FALSE),$A1342&lt;VLOOKUP(YEAR($A1342),'Festive dates'!$A$2:$J$5,3,FALSE)),1,0)</f>
        <v>0</v>
      </c>
      <c r="S1342" s="9">
        <f>IF($A1342=VLOOKUP(YEAR($A1342),'Festive dates'!$A$2:$J$5,2,FALSE),1,0)</f>
        <v>0</v>
      </c>
      <c r="T1342" s="9">
        <f>IF($A1342=VLOOKUP(YEAR($A1342),'Festive dates'!$A$2:$J$5,3,FALSE),1,0)</f>
        <v>0</v>
      </c>
      <c r="U1342" s="9">
        <f>IF($A1342=VLOOKUP(YEAR($A1342),'Festive dates'!$A$2:$J$5,4,FALSE),1,0)</f>
        <v>0</v>
      </c>
      <c r="V1342" s="9">
        <f>IF(AND($A1342&gt;=VLOOKUP(YEAR($A1342),'Festive dates'!$A$2:$J$5,9,FALSE),$A1342&lt;=VLOOKUP(YEAR($A1342),'Festive dates'!$A$2:$J$5,10,FALSE)),1,0)</f>
        <v>0</v>
      </c>
      <c r="W1342" s="9">
        <f>IF($A1342=VLOOKUP(YEAR($A1342),'Festive dates'!$A$2:$J$5,7,FALSE),1,0)</f>
        <v>0</v>
      </c>
      <c r="X1342" s="1"/>
      <c r="Y1342" s="1"/>
      <c r="Z1342" s="1"/>
      <c r="AA1342" s="1"/>
      <c r="AB1342" s="1"/>
      <c r="AC1342" s="1"/>
      <c r="AD1342" s="1"/>
      <c r="AE1342" s="1"/>
      <c r="AF1342" s="1"/>
      <c r="AG1342" s="1"/>
      <c r="AH1342" s="1"/>
      <c r="AI1342" s="1"/>
      <c r="AJ1342" s="1"/>
      <c r="AK1342" s="1"/>
      <c r="AL1342" s="1"/>
      <c r="AM1342" s="1"/>
      <c r="AN1342" s="1"/>
      <c r="AO1342" s="1"/>
      <c r="AP1342" s="1"/>
      <c r="AQ1342" s="1"/>
      <c r="AR1342" s="1"/>
      <c r="AS1342" s="1"/>
      <c r="AT1342" s="1"/>
      <c r="AU1342" s="1"/>
      <c r="AV1342" s="1"/>
      <c r="AW1342" s="1"/>
      <c r="AX1342" s="1"/>
      <c r="AY1342" s="1"/>
    </row>
    <row r="1343" spans="1:51">
      <c r="A1343" s="8">
        <v>46358</v>
      </c>
      <c r="B1343" s="9">
        <v>0</v>
      </c>
      <c r="C1343" s="9">
        <v>0</v>
      </c>
      <c r="D1343" s="9">
        <v>0</v>
      </c>
      <c r="E1343" s="9">
        <v>0</v>
      </c>
      <c r="F1343" s="9">
        <v>0</v>
      </c>
      <c r="G1343" s="9">
        <v>0</v>
      </c>
      <c r="H1343" s="9">
        <v>0</v>
      </c>
      <c r="I1343" s="9">
        <v>0</v>
      </c>
      <c r="J1343" s="9">
        <v>0</v>
      </c>
      <c r="K1343" s="9">
        <v>0</v>
      </c>
      <c r="L1343" s="9">
        <v>0</v>
      </c>
      <c r="M1343" s="9">
        <v>0</v>
      </c>
      <c r="N1343" s="9">
        <v>0</v>
      </c>
      <c r="O1343" s="9">
        <v>0</v>
      </c>
      <c r="P1343" s="9">
        <v>0</v>
      </c>
      <c r="Q1343" s="9">
        <f>MAX(-20,MIN(10,$A1343-VLOOKUP(YEAR($A1343),'Festive dates'!$A$2:$J$5,8,FALSE)))</f>
        <v>10</v>
      </c>
      <c r="R1343" s="9">
        <f>IF(AND($A1343&gt;VLOOKUP(YEAR($A1343),'Festive dates'!$A$2:$J$5,2,FALSE),$A1343&lt;VLOOKUP(YEAR($A1343),'Festive dates'!$A$2:$J$5,3,FALSE)),1,0)</f>
        <v>0</v>
      </c>
      <c r="S1343" s="9">
        <f>IF($A1343=VLOOKUP(YEAR($A1343),'Festive dates'!$A$2:$J$5,2,FALSE),1,0)</f>
        <v>0</v>
      </c>
      <c r="T1343" s="9">
        <f>IF($A1343=VLOOKUP(YEAR($A1343),'Festive dates'!$A$2:$J$5,3,FALSE),1,0)</f>
        <v>0</v>
      </c>
      <c r="U1343" s="9">
        <f>IF($A1343=VLOOKUP(YEAR($A1343),'Festive dates'!$A$2:$J$5,4,FALSE),1,0)</f>
        <v>0</v>
      </c>
      <c r="V1343" s="9">
        <f>IF(AND($A1343&gt;=VLOOKUP(YEAR($A1343),'Festive dates'!$A$2:$J$5,9,FALSE),$A1343&lt;=VLOOKUP(YEAR($A1343),'Festive dates'!$A$2:$J$5,10,FALSE)),1,0)</f>
        <v>0</v>
      </c>
      <c r="W1343" s="9">
        <f>IF($A1343=VLOOKUP(YEAR($A1343),'Festive dates'!$A$2:$J$5,7,FALSE),1,0)</f>
        <v>0</v>
      </c>
      <c r="X1343" s="1"/>
      <c r="Y1343" s="1"/>
      <c r="Z1343" s="1"/>
      <c r="AA1343" s="1"/>
      <c r="AB1343" s="1"/>
      <c r="AC1343" s="1"/>
      <c r="AD1343" s="1"/>
      <c r="AE1343" s="1"/>
      <c r="AF1343" s="1"/>
      <c r="AG1343" s="1"/>
      <c r="AH1343" s="1"/>
      <c r="AI1343" s="1"/>
      <c r="AJ1343" s="1"/>
      <c r="AK1343" s="1"/>
      <c r="AL1343" s="1"/>
      <c r="AM1343" s="1"/>
      <c r="AN1343" s="1"/>
      <c r="AO1343" s="1"/>
      <c r="AP1343" s="1"/>
      <c r="AQ1343" s="1"/>
      <c r="AR1343" s="1"/>
      <c r="AS1343" s="1"/>
      <c r="AT1343" s="1"/>
      <c r="AU1343" s="1"/>
      <c r="AV1343" s="1"/>
      <c r="AW1343" s="1"/>
      <c r="AX1343" s="1"/>
      <c r="AY1343" s="1"/>
    </row>
    <row r="1344" spans="1:51">
      <c r="A1344" s="8">
        <v>46359</v>
      </c>
      <c r="B1344" s="9">
        <v>0</v>
      </c>
      <c r="C1344" s="9">
        <v>0</v>
      </c>
      <c r="D1344" s="9">
        <v>0</v>
      </c>
      <c r="E1344" s="9">
        <v>0</v>
      </c>
      <c r="F1344" s="9">
        <v>0</v>
      </c>
      <c r="G1344" s="9">
        <v>0</v>
      </c>
      <c r="H1344" s="9">
        <v>0</v>
      </c>
      <c r="I1344" s="9">
        <v>0</v>
      </c>
      <c r="J1344" s="9">
        <v>0</v>
      </c>
      <c r="K1344" s="9">
        <v>0</v>
      </c>
      <c r="L1344" s="9">
        <v>0</v>
      </c>
      <c r="M1344" s="9">
        <v>0</v>
      </c>
      <c r="N1344" s="9">
        <v>0</v>
      </c>
      <c r="O1344" s="9">
        <v>0</v>
      </c>
      <c r="P1344" s="9">
        <v>0</v>
      </c>
      <c r="Q1344" s="9">
        <f>MAX(-20,MIN(10,$A1344-VLOOKUP(YEAR($A1344),'Festive dates'!$A$2:$J$5,8,FALSE)))</f>
        <v>10</v>
      </c>
      <c r="R1344" s="9">
        <f>IF(AND($A1344&gt;VLOOKUP(YEAR($A1344),'Festive dates'!$A$2:$J$5,2,FALSE),$A1344&lt;VLOOKUP(YEAR($A1344),'Festive dates'!$A$2:$J$5,3,FALSE)),1,0)</f>
        <v>0</v>
      </c>
      <c r="S1344" s="9">
        <f>IF($A1344=VLOOKUP(YEAR($A1344),'Festive dates'!$A$2:$J$5,2,FALSE),1,0)</f>
        <v>0</v>
      </c>
      <c r="T1344" s="9">
        <f>IF($A1344=VLOOKUP(YEAR($A1344),'Festive dates'!$A$2:$J$5,3,FALSE),1,0)</f>
        <v>0</v>
      </c>
      <c r="U1344" s="9">
        <f>IF($A1344=VLOOKUP(YEAR($A1344),'Festive dates'!$A$2:$J$5,4,FALSE),1,0)</f>
        <v>0</v>
      </c>
      <c r="V1344" s="9">
        <f>IF(AND($A1344&gt;=VLOOKUP(YEAR($A1344),'Festive dates'!$A$2:$J$5,9,FALSE),$A1344&lt;=VLOOKUP(YEAR($A1344),'Festive dates'!$A$2:$J$5,10,FALSE)),1,0)</f>
        <v>0</v>
      </c>
      <c r="W1344" s="9">
        <f>IF($A1344=VLOOKUP(YEAR($A1344),'Festive dates'!$A$2:$J$5,7,FALSE),1,0)</f>
        <v>0</v>
      </c>
      <c r="X1344" s="1"/>
      <c r="Y1344" s="1"/>
      <c r="Z1344" s="1"/>
      <c r="AA1344" s="1"/>
      <c r="AB1344" s="1"/>
      <c r="AC1344" s="1"/>
      <c r="AD1344" s="1"/>
      <c r="AE1344" s="1"/>
      <c r="AF1344" s="1"/>
      <c r="AG1344" s="1"/>
      <c r="AH1344" s="1"/>
      <c r="AI1344" s="1"/>
      <c r="AJ1344" s="1"/>
      <c r="AK1344" s="1"/>
      <c r="AL1344" s="1"/>
      <c r="AM1344" s="1"/>
      <c r="AN1344" s="1"/>
      <c r="AO1344" s="1"/>
      <c r="AP1344" s="1"/>
      <c r="AQ1344" s="1"/>
      <c r="AR1344" s="1"/>
      <c r="AS1344" s="1"/>
      <c r="AT1344" s="1"/>
      <c r="AU1344" s="1"/>
      <c r="AV1344" s="1"/>
      <c r="AW1344" s="1"/>
      <c r="AX1344" s="1"/>
      <c r="AY1344" s="1"/>
    </row>
    <row r="1345" spans="1:51">
      <c r="A1345" s="8">
        <v>46360</v>
      </c>
      <c r="B1345" s="9">
        <v>0</v>
      </c>
      <c r="C1345" s="9">
        <v>0</v>
      </c>
      <c r="D1345" s="9">
        <v>0</v>
      </c>
      <c r="E1345" s="9">
        <v>0</v>
      </c>
      <c r="F1345" s="9">
        <v>0</v>
      </c>
      <c r="G1345" s="9">
        <v>0</v>
      </c>
      <c r="H1345" s="9">
        <v>0</v>
      </c>
      <c r="I1345" s="9">
        <v>0</v>
      </c>
      <c r="J1345" s="9">
        <v>0</v>
      </c>
      <c r="K1345" s="9">
        <v>0</v>
      </c>
      <c r="L1345" s="9">
        <v>0</v>
      </c>
      <c r="M1345" s="9">
        <v>0</v>
      </c>
      <c r="N1345" s="9">
        <v>0</v>
      </c>
      <c r="O1345" s="9">
        <v>0</v>
      </c>
      <c r="P1345" s="9">
        <v>1</v>
      </c>
      <c r="Q1345" s="9">
        <f>MAX(-20,MIN(10,$A1345-VLOOKUP(YEAR($A1345),'Festive dates'!$A$2:$J$5,8,FALSE)))</f>
        <v>10</v>
      </c>
      <c r="R1345" s="9">
        <f>IF(AND($A1345&gt;VLOOKUP(YEAR($A1345),'Festive dates'!$A$2:$J$5,2,FALSE),$A1345&lt;VLOOKUP(YEAR($A1345),'Festive dates'!$A$2:$J$5,3,FALSE)),1,0)</f>
        <v>0</v>
      </c>
      <c r="S1345" s="9">
        <f>IF($A1345=VLOOKUP(YEAR($A1345),'Festive dates'!$A$2:$J$5,2,FALSE),1,0)</f>
        <v>0</v>
      </c>
      <c r="T1345" s="9">
        <f>IF($A1345=VLOOKUP(YEAR($A1345),'Festive dates'!$A$2:$J$5,3,FALSE),1,0)</f>
        <v>0</v>
      </c>
      <c r="U1345" s="9">
        <f>IF($A1345=VLOOKUP(YEAR($A1345),'Festive dates'!$A$2:$J$5,4,FALSE),1,0)</f>
        <v>0</v>
      </c>
      <c r="V1345" s="9">
        <f>IF(AND($A1345&gt;=VLOOKUP(YEAR($A1345),'Festive dates'!$A$2:$J$5,9,FALSE),$A1345&lt;=VLOOKUP(YEAR($A1345),'Festive dates'!$A$2:$J$5,10,FALSE)),1,0)</f>
        <v>0</v>
      </c>
      <c r="W1345" s="9">
        <f>IF($A1345=VLOOKUP(YEAR($A1345),'Festive dates'!$A$2:$J$5,7,FALSE),1,0)</f>
        <v>0</v>
      </c>
      <c r="X1345" s="1"/>
      <c r="Y1345" s="1"/>
      <c r="Z1345" s="1"/>
      <c r="AA1345" s="1"/>
      <c r="AB1345" s="1"/>
      <c r="AC1345" s="1"/>
      <c r="AD1345" s="1"/>
      <c r="AE1345" s="1"/>
      <c r="AF1345" s="1"/>
      <c r="AG1345" s="1"/>
      <c r="AH1345" s="1"/>
      <c r="AI1345" s="1"/>
      <c r="AJ1345" s="1"/>
      <c r="AK1345" s="1"/>
      <c r="AL1345" s="1"/>
      <c r="AM1345" s="1"/>
      <c r="AN1345" s="1"/>
      <c r="AO1345" s="1"/>
      <c r="AP1345" s="1"/>
      <c r="AQ1345" s="1"/>
      <c r="AR1345" s="1"/>
      <c r="AS1345" s="1"/>
      <c r="AT1345" s="1"/>
      <c r="AU1345" s="1"/>
      <c r="AV1345" s="1"/>
      <c r="AW1345" s="1"/>
      <c r="AX1345" s="1"/>
      <c r="AY1345" s="1"/>
    </row>
    <row r="1346" spans="1:51">
      <c r="A1346" s="8">
        <v>46361</v>
      </c>
      <c r="B1346" s="9">
        <v>0</v>
      </c>
      <c r="C1346" s="9">
        <v>0</v>
      </c>
      <c r="D1346" s="9">
        <v>0</v>
      </c>
      <c r="E1346" s="9">
        <v>0</v>
      </c>
      <c r="F1346" s="9">
        <v>0</v>
      </c>
      <c r="G1346" s="9">
        <v>0</v>
      </c>
      <c r="H1346" s="9">
        <v>0</v>
      </c>
      <c r="I1346" s="9">
        <v>0</v>
      </c>
      <c r="J1346" s="9">
        <v>0</v>
      </c>
      <c r="K1346" s="9">
        <v>0</v>
      </c>
      <c r="L1346" s="9">
        <v>0</v>
      </c>
      <c r="M1346" s="9">
        <v>0</v>
      </c>
      <c r="N1346" s="9">
        <v>0</v>
      </c>
      <c r="O1346" s="9">
        <v>0</v>
      </c>
      <c r="P1346" s="9">
        <v>1</v>
      </c>
      <c r="Q1346" s="9">
        <f>MAX(-20,MIN(10,$A1346-VLOOKUP(YEAR($A1346),'Festive dates'!$A$2:$J$5,8,FALSE)))</f>
        <v>10</v>
      </c>
      <c r="R1346" s="9">
        <f>IF(AND($A1346&gt;VLOOKUP(YEAR($A1346),'Festive dates'!$A$2:$J$5,2,FALSE),$A1346&lt;VLOOKUP(YEAR($A1346),'Festive dates'!$A$2:$J$5,3,FALSE)),1,0)</f>
        <v>0</v>
      </c>
      <c r="S1346" s="9">
        <f>IF($A1346=VLOOKUP(YEAR($A1346),'Festive dates'!$A$2:$J$5,2,FALSE),1,0)</f>
        <v>0</v>
      </c>
      <c r="T1346" s="9">
        <f>IF($A1346=VLOOKUP(YEAR($A1346),'Festive dates'!$A$2:$J$5,3,FALSE),1,0)</f>
        <v>0</v>
      </c>
      <c r="U1346" s="9">
        <f>IF($A1346=VLOOKUP(YEAR($A1346),'Festive dates'!$A$2:$J$5,4,FALSE),1,0)</f>
        <v>0</v>
      </c>
      <c r="V1346" s="9">
        <f>IF(AND($A1346&gt;=VLOOKUP(YEAR($A1346),'Festive dates'!$A$2:$J$5,9,FALSE),$A1346&lt;=VLOOKUP(YEAR($A1346),'Festive dates'!$A$2:$J$5,10,FALSE)),1,0)</f>
        <v>0</v>
      </c>
      <c r="W1346" s="9">
        <f>IF($A1346=VLOOKUP(YEAR($A1346),'Festive dates'!$A$2:$J$5,7,FALSE),1,0)</f>
        <v>0</v>
      </c>
      <c r="X1346" s="1"/>
      <c r="Y1346" s="1"/>
      <c r="Z1346" s="1"/>
      <c r="AA1346" s="1"/>
      <c r="AB1346" s="1"/>
      <c r="AC1346" s="1"/>
      <c r="AD1346" s="1"/>
      <c r="AE1346" s="1"/>
      <c r="AF1346" s="1"/>
      <c r="AG1346" s="1"/>
      <c r="AH1346" s="1"/>
      <c r="AI1346" s="1"/>
      <c r="AJ1346" s="1"/>
      <c r="AK1346" s="1"/>
      <c r="AL1346" s="1"/>
      <c r="AM1346" s="1"/>
      <c r="AN1346" s="1"/>
      <c r="AO1346" s="1"/>
      <c r="AP1346" s="1"/>
      <c r="AQ1346" s="1"/>
      <c r="AR1346" s="1"/>
      <c r="AS1346" s="1"/>
      <c r="AT1346" s="1"/>
      <c r="AU1346" s="1"/>
      <c r="AV1346" s="1"/>
      <c r="AW1346" s="1"/>
      <c r="AX1346" s="1"/>
      <c r="AY1346" s="1"/>
    </row>
    <row r="1347" spans="1:51">
      <c r="A1347" s="8">
        <v>46362</v>
      </c>
      <c r="B1347" s="9">
        <v>0</v>
      </c>
      <c r="C1347" s="9">
        <v>0</v>
      </c>
      <c r="D1347" s="9">
        <v>0</v>
      </c>
      <c r="E1347" s="9">
        <v>0</v>
      </c>
      <c r="F1347" s="9">
        <v>0</v>
      </c>
      <c r="G1347" s="9">
        <v>0</v>
      </c>
      <c r="H1347" s="9">
        <v>0</v>
      </c>
      <c r="I1347" s="9">
        <v>0</v>
      </c>
      <c r="J1347" s="9">
        <v>0</v>
      </c>
      <c r="K1347" s="9">
        <v>0</v>
      </c>
      <c r="L1347" s="9">
        <v>0</v>
      </c>
      <c r="M1347" s="9">
        <v>0</v>
      </c>
      <c r="N1347" s="9">
        <v>0</v>
      </c>
      <c r="O1347" s="9">
        <v>0</v>
      </c>
      <c r="P1347" s="9">
        <v>0</v>
      </c>
      <c r="Q1347" s="9">
        <f>MAX(-20,MIN(10,$A1347-VLOOKUP(YEAR($A1347),'Festive dates'!$A$2:$J$5,8,FALSE)))</f>
        <v>10</v>
      </c>
      <c r="R1347" s="9">
        <f>IF(AND($A1347&gt;VLOOKUP(YEAR($A1347),'Festive dates'!$A$2:$J$5,2,FALSE),$A1347&lt;VLOOKUP(YEAR($A1347),'Festive dates'!$A$2:$J$5,3,FALSE)),1,0)</f>
        <v>0</v>
      </c>
      <c r="S1347" s="9">
        <f>IF($A1347=VLOOKUP(YEAR($A1347),'Festive dates'!$A$2:$J$5,2,FALSE),1,0)</f>
        <v>0</v>
      </c>
      <c r="T1347" s="9">
        <f>IF($A1347=VLOOKUP(YEAR($A1347),'Festive dates'!$A$2:$J$5,3,FALSE),1,0)</f>
        <v>0</v>
      </c>
      <c r="U1347" s="9">
        <f>IF($A1347=VLOOKUP(YEAR($A1347),'Festive dates'!$A$2:$J$5,4,FALSE),1,0)</f>
        <v>0</v>
      </c>
      <c r="V1347" s="9">
        <f>IF(AND($A1347&gt;=VLOOKUP(YEAR($A1347),'Festive dates'!$A$2:$J$5,9,FALSE),$A1347&lt;=VLOOKUP(YEAR($A1347),'Festive dates'!$A$2:$J$5,10,FALSE)),1,0)</f>
        <v>0</v>
      </c>
      <c r="W1347" s="9">
        <f>IF($A1347=VLOOKUP(YEAR($A1347),'Festive dates'!$A$2:$J$5,7,FALSE),1,0)</f>
        <v>0</v>
      </c>
      <c r="X1347" s="1"/>
      <c r="Y1347" s="1"/>
      <c r="Z1347" s="1"/>
      <c r="AA1347" s="1"/>
      <c r="AB1347" s="1"/>
      <c r="AC1347" s="1"/>
      <c r="AD1347" s="1"/>
      <c r="AE1347" s="1"/>
      <c r="AF1347" s="1"/>
      <c r="AG1347" s="1"/>
      <c r="AH1347" s="1"/>
      <c r="AI1347" s="1"/>
      <c r="AJ1347" s="1"/>
      <c r="AK1347" s="1"/>
      <c r="AL1347" s="1"/>
      <c r="AM1347" s="1"/>
      <c r="AN1347" s="1"/>
      <c r="AO1347" s="1"/>
      <c r="AP1347" s="1"/>
      <c r="AQ1347" s="1"/>
      <c r="AR1347" s="1"/>
      <c r="AS1347" s="1"/>
      <c r="AT1347" s="1"/>
      <c r="AU1347" s="1"/>
      <c r="AV1347" s="1"/>
      <c r="AW1347" s="1"/>
      <c r="AX1347" s="1"/>
      <c r="AY1347" s="1"/>
    </row>
    <row r="1348" spans="1:51">
      <c r="A1348" s="8">
        <v>46363</v>
      </c>
      <c r="B1348" s="9">
        <v>0</v>
      </c>
      <c r="C1348" s="9">
        <v>0</v>
      </c>
      <c r="D1348" s="9">
        <v>0</v>
      </c>
      <c r="E1348" s="9">
        <v>0</v>
      </c>
      <c r="F1348" s="9">
        <v>0</v>
      </c>
      <c r="G1348" s="9">
        <v>0</v>
      </c>
      <c r="H1348" s="9">
        <v>0</v>
      </c>
      <c r="I1348" s="9">
        <v>0</v>
      </c>
      <c r="J1348" s="9">
        <v>0</v>
      </c>
      <c r="K1348" s="9">
        <v>0</v>
      </c>
      <c r="L1348" s="9">
        <v>0</v>
      </c>
      <c r="M1348" s="9">
        <v>0</v>
      </c>
      <c r="N1348" s="9">
        <v>0</v>
      </c>
      <c r="O1348" s="9">
        <v>0</v>
      </c>
      <c r="P1348" s="9">
        <v>0</v>
      </c>
      <c r="Q1348" s="9">
        <f>MAX(-20,MIN(10,$A1348-VLOOKUP(YEAR($A1348),'Festive dates'!$A$2:$J$5,8,FALSE)))</f>
        <v>10</v>
      </c>
      <c r="R1348" s="9">
        <f>IF(AND($A1348&gt;VLOOKUP(YEAR($A1348),'Festive dates'!$A$2:$J$5,2,FALSE),$A1348&lt;VLOOKUP(YEAR($A1348),'Festive dates'!$A$2:$J$5,3,FALSE)),1,0)</f>
        <v>0</v>
      </c>
      <c r="S1348" s="9">
        <f>IF($A1348=VLOOKUP(YEAR($A1348),'Festive dates'!$A$2:$J$5,2,FALSE),1,0)</f>
        <v>0</v>
      </c>
      <c r="T1348" s="9">
        <f>IF($A1348=VLOOKUP(YEAR($A1348),'Festive dates'!$A$2:$J$5,3,FALSE),1,0)</f>
        <v>0</v>
      </c>
      <c r="U1348" s="9">
        <f>IF($A1348=VLOOKUP(YEAR($A1348),'Festive dates'!$A$2:$J$5,4,FALSE),1,0)</f>
        <v>0</v>
      </c>
      <c r="V1348" s="9">
        <f>IF(AND($A1348&gt;=VLOOKUP(YEAR($A1348),'Festive dates'!$A$2:$J$5,9,FALSE),$A1348&lt;=VLOOKUP(YEAR($A1348),'Festive dates'!$A$2:$J$5,10,FALSE)),1,0)</f>
        <v>0</v>
      </c>
      <c r="W1348" s="9">
        <f>IF($A1348=VLOOKUP(YEAR($A1348),'Festive dates'!$A$2:$J$5,7,FALSE),1,0)</f>
        <v>0</v>
      </c>
      <c r="X1348" s="1"/>
      <c r="Y1348" s="1"/>
      <c r="Z1348" s="1"/>
      <c r="AA1348" s="1"/>
      <c r="AB1348" s="1"/>
      <c r="AC1348" s="1"/>
      <c r="AD1348" s="1"/>
      <c r="AE1348" s="1"/>
      <c r="AF1348" s="1"/>
      <c r="AG1348" s="1"/>
      <c r="AH1348" s="1"/>
      <c r="AI1348" s="1"/>
      <c r="AJ1348" s="1"/>
      <c r="AK1348" s="1"/>
      <c r="AL1348" s="1"/>
      <c r="AM1348" s="1"/>
      <c r="AN1348" s="1"/>
      <c r="AO1348" s="1"/>
      <c r="AP1348" s="1"/>
      <c r="AQ1348" s="1"/>
      <c r="AR1348" s="1"/>
      <c r="AS1348" s="1"/>
      <c r="AT1348" s="1"/>
      <c r="AU1348" s="1"/>
      <c r="AV1348" s="1"/>
      <c r="AW1348" s="1"/>
      <c r="AX1348" s="1"/>
      <c r="AY1348" s="1"/>
    </row>
    <row r="1349" spans="1:51">
      <c r="A1349" s="8">
        <v>46364</v>
      </c>
      <c r="B1349" s="9">
        <v>0</v>
      </c>
      <c r="C1349" s="9">
        <v>0</v>
      </c>
      <c r="D1349" s="9">
        <v>0</v>
      </c>
      <c r="E1349" s="9">
        <v>0</v>
      </c>
      <c r="F1349" s="9">
        <v>0</v>
      </c>
      <c r="G1349" s="9">
        <v>0</v>
      </c>
      <c r="H1349" s="9">
        <v>0</v>
      </c>
      <c r="I1349" s="9">
        <v>0</v>
      </c>
      <c r="J1349" s="9">
        <v>0</v>
      </c>
      <c r="K1349" s="9">
        <v>0</v>
      </c>
      <c r="L1349" s="9">
        <v>0</v>
      </c>
      <c r="M1349" s="9">
        <v>0</v>
      </c>
      <c r="N1349" s="9">
        <v>0</v>
      </c>
      <c r="O1349" s="9">
        <v>0</v>
      </c>
      <c r="P1349" s="9">
        <v>0</v>
      </c>
      <c r="Q1349" s="9">
        <f>MAX(-20,MIN(10,$A1349-VLOOKUP(YEAR($A1349),'Festive dates'!$A$2:$J$5,8,FALSE)))</f>
        <v>10</v>
      </c>
      <c r="R1349" s="9">
        <f>IF(AND($A1349&gt;VLOOKUP(YEAR($A1349),'Festive dates'!$A$2:$J$5,2,FALSE),$A1349&lt;VLOOKUP(YEAR($A1349),'Festive dates'!$A$2:$J$5,3,FALSE)),1,0)</f>
        <v>0</v>
      </c>
      <c r="S1349" s="9">
        <f>IF($A1349=VLOOKUP(YEAR($A1349),'Festive dates'!$A$2:$J$5,2,FALSE),1,0)</f>
        <v>0</v>
      </c>
      <c r="T1349" s="9">
        <f>IF($A1349=VLOOKUP(YEAR($A1349),'Festive dates'!$A$2:$J$5,3,FALSE),1,0)</f>
        <v>0</v>
      </c>
      <c r="U1349" s="9">
        <f>IF($A1349=VLOOKUP(YEAR($A1349),'Festive dates'!$A$2:$J$5,4,FALSE),1,0)</f>
        <v>0</v>
      </c>
      <c r="V1349" s="9">
        <f>IF(AND($A1349&gt;=VLOOKUP(YEAR($A1349),'Festive dates'!$A$2:$J$5,9,FALSE),$A1349&lt;=VLOOKUP(YEAR($A1349),'Festive dates'!$A$2:$J$5,10,FALSE)),1,0)</f>
        <v>0</v>
      </c>
      <c r="W1349" s="9">
        <f>IF($A1349=VLOOKUP(YEAR($A1349),'Festive dates'!$A$2:$J$5,7,FALSE),1,0)</f>
        <v>0</v>
      </c>
    </row>
    <row r="1350" spans="1:51">
      <c r="A1350" s="8">
        <v>46365</v>
      </c>
      <c r="B1350" s="9">
        <v>0</v>
      </c>
      <c r="C1350" s="9">
        <v>0</v>
      </c>
      <c r="D1350" s="9">
        <v>0</v>
      </c>
      <c r="E1350" s="9">
        <v>0</v>
      </c>
      <c r="F1350" s="9">
        <v>0</v>
      </c>
      <c r="G1350" s="9">
        <v>0</v>
      </c>
      <c r="H1350" s="9">
        <v>0</v>
      </c>
      <c r="I1350" s="9">
        <v>0</v>
      </c>
      <c r="J1350" s="9">
        <v>0</v>
      </c>
      <c r="K1350" s="9">
        <v>0</v>
      </c>
      <c r="L1350" s="9">
        <v>0</v>
      </c>
      <c r="M1350" s="9">
        <v>0</v>
      </c>
      <c r="N1350" s="9">
        <v>0</v>
      </c>
      <c r="O1350" s="9">
        <v>0</v>
      </c>
      <c r="P1350" s="9">
        <v>0</v>
      </c>
      <c r="Q1350" s="9">
        <f>MAX(-20,MIN(10,$A1350-VLOOKUP(YEAR($A1350),'Festive dates'!$A$2:$J$5,8,FALSE)))</f>
        <v>10</v>
      </c>
      <c r="R1350" s="9">
        <f>IF(AND($A1350&gt;VLOOKUP(YEAR($A1350),'Festive dates'!$A$2:$J$5,2,FALSE),$A1350&lt;VLOOKUP(YEAR($A1350),'Festive dates'!$A$2:$J$5,3,FALSE)),1,0)</f>
        <v>0</v>
      </c>
      <c r="S1350" s="9">
        <f>IF($A1350=VLOOKUP(YEAR($A1350),'Festive dates'!$A$2:$J$5,2,FALSE),1,0)</f>
        <v>0</v>
      </c>
      <c r="T1350" s="9">
        <f>IF($A1350=VLOOKUP(YEAR($A1350),'Festive dates'!$A$2:$J$5,3,FALSE),1,0)</f>
        <v>0</v>
      </c>
      <c r="U1350" s="9">
        <f>IF($A1350=VLOOKUP(YEAR($A1350),'Festive dates'!$A$2:$J$5,4,FALSE),1,0)</f>
        <v>0</v>
      </c>
      <c r="V1350" s="9">
        <f>IF(AND($A1350&gt;=VLOOKUP(YEAR($A1350),'Festive dates'!$A$2:$J$5,9,FALSE),$A1350&lt;=VLOOKUP(YEAR($A1350),'Festive dates'!$A$2:$J$5,10,FALSE)),1,0)</f>
        <v>0</v>
      </c>
      <c r="W1350" s="9">
        <f>IF($A1350=VLOOKUP(YEAR($A1350),'Festive dates'!$A$2:$J$5,7,FALSE),1,0)</f>
        <v>0</v>
      </c>
    </row>
    <row r="1351" spans="1:51">
      <c r="A1351" s="8">
        <v>46366</v>
      </c>
      <c r="B1351" s="9">
        <v>0</v>
      </c>
      <c r="C1351" s="9">
        <v>0</v>
      </c>
      <c r="D1351" s="9">
        <v>0</v>
      </c>
      <c r="E1351" s="9">
        <v>0</v>
      </c>
      <c r="F1351" s="9">
        <v>0</v>
      </c>
      <c r="G1351" s="9">
        <v>0</v>
      </c>
      <c r="H1351" s="9">
        <v>0</v>
      </c>
      <c r="I1351" s="9">
        <v>0</v>
      </c>
      <c r="J1351" s="9">
        <v>0</v>
      </c>
      <c r="K1351" s="9">
        <v>0</v>
      </c>
      <c r="L1351" s="9">
        <v>0</v>
      </c>
      <c r="M1351" s="9">
        <v>0</v>
      </c>
      <c r="N1351" s="9">
        <v>0</v>
      </c>
      <c r="O1351" s="9">
        <v>0</v>
      </c>
      <c r="P1351" s="9">
        <v>0</v>
      </c>
      <c r="Q1351" s="9">
        <f>MAX(-20,MIN(10,$A1351-VLOOKUP(YEAR($A1351),'Festive dates'!$A$2:$J$5,8,FALSE)))</f>
        <v>10</v>
      </c>
      <c r="R1351" s="9">
        <f>IF(AND($A1351&gt;VLOOKUP(YEAR($A1351),'Festive dates'!$A$2:$J$5,2,FALSE),$A1351&lt;VLOOKUP(YEAR($A1351),'Festive dates'!$A$2:$J$5,3,FALSE)),1,0)</f>
        <v>0</v>
      </c>
      <c r="S1351" s="9">
        <f>IF($A1351=VLOOKUP(YEAR($A1351),'Festive dates'!$A$2:$J$5,2,FALSE),1,0)</f>
        <v>0</v>
      </c>
      <c r="T1351" s="9">
        <f>IF($A1351=VLOOKUP(YEAR($A1351),'Festive dates'!$A$2:$J$5,3,FALSE),1,0)</f>
        <v>0</v>
      </c>
      <c r="U1351" s="9">
        <f>IF($A1351=VLOOKUP(YEAR($A1351),'Festive dates'!$A$2:$J$5,4,FALSE),1,0)</f>
        <v>0</v>
      </c>
      <c r="V1351" s="9">
        <f>IF(AND($A1351&gt;=VLOOKUP(YEAR($A1351),'Festive dates'!$A$2:$J$5,9,FALSE),$A1351&lt;=VLOOKUP(YEAR($A1351),'Festive dates'!$A$2:$J$5,10,FALSE)),1,0)</f>
        <v>0</v>
      </c>
      <c r="W1351" s="9">
        <f>IF($A1351=VLOOKUP(YEAR($A1351),'Festive dates'!$A$2:$J$5,7,FALSE),1,0)</f>
        <v>0</v>
      </c>
    </row>
  </sheetData>
  <autoFilter ref="A1:W134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" customWidth="1"/>
    <col min="2" max="10" width="23" customWidth="1"/>
  </cols>
  <sheetData>
    <row r="1" spans="1:10" ht="48" customHeight="1">
      <c r="A1" s="2" t="s">
        <v>23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</row>
    <row r="2" spans="1:10">
      <c r="A2" s="1">
        <v>2023</v>
      </c>
      <c r="B2" s="3">
        <v>45214</v>
      </c>
      <c r="C2" s="3">
        <v>45222</v>
      </c>
      <c r="D2" s="3">
        <v>45223</v>
      </c>
      <c r="E2" s="3">
        <v>45198</v>
      </c>
      <c r="F2" s="3">
        <v>45213</v>
      </c>
      <c r="G2" s="3">
        <v>45240</v>
      </c>
      <c r="H2" s="3">
        <v>45242</v>
      </c>
      <c r="I2" s="3">
        <f>B2-16</f>
        <v>45198</v>
      </c>
      <c r="J2" s="3">
        <f>B2-1</f>
        <v>45213</v>
      </c>
    </row>
    <row r="3" spans="1:10">
      <c r="A3" s="1">
        <v>2024</v>
      </c>
      <c r="B3" s="3">
        <v>45568</v>
      </c>
      <c r="C3" s="3">
        <v>45577</v>
      </c>
      <c r="D3" s="3">
        <v>45577</v>
      </c>
      <c r="E3" s="3">
        <v>45552</v>
      </c>
      <c r="F3" s="3">
        <v>45567</v>
      </c>
      <c r="G3" s="3">
        <v>45594</v>
      </c>
      <c r="H3" s="3">
        <v>45596</v>
      </c>
      <c r="I3" s="3">
        <f>B3-16</f>
        <v>45552</v>
      </c>
      <c r="J3" s="3">
        <f>B3-1</f>
        <v>45567</v>
      </c>
    </row>
    <row r="4" spans="1:10">
      <c r="A4" s="1">
        <v>2025</v>
      </c>
      <c r="B4" s="3">
        <v>45922</v>
      </c>
      <c r="C4" s="3">
        <v>45931</v>
      </c>
      <c r="D4" s="3">
        <v>45932</v>
      </c>
      <c r="E4" s="3">
        <v>45907</v>
      </c>
      <c r="F4" s="3">
        <v>45921</v>
      </c>
      <c r="G4" s="3">
        <v>45948</v>
      </c>
      <c r="H4" s="3">
        <v>45950</v>
      </c>
      <c r="I4" s="3">
        <f>B4-16</f>
        <v>45906</v>
      </c>
      <c r="J4" s="3">
        <f>B4-1</f>
        <v>45921</v>
      </c>
    </row>
    <row r="5" spans="1:10">
      <c r="A5" s="1">
        <v>2026</v>
      </c>
      <c r="B5" s="3">
        <v>46306</v>
      </c>
      <c r="C5" s="3">
        <v>46314</v>
      </c>
      <c r="D5" s="3">
        <v>46315</v>
      </c>
      <c r="E5" s="3">
        <v>46292</v>
      </c>
      <c r="F5" s="3">
        <v>46305</v>
      </c>
      <c r="G5" s="3">
        <v>46332</v>
      </c>
      <c r="H5" s="3">
        <v>46334</v>
      </c>
      <c r="I5" s="3">
        <f>B5-16</f>
        <v>46290</v>
      </c>
      <c r="J5" s="3">
        <f>B5-1</f>
        <v>46305</v>
      </c>
    </row>
    <row r="6" spans="1:10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>
      <c r="A8" s="4" t="s">
        <v>33</v>
      </c>
      <c r="B8" s="1"/>
      <c r="C8" s="1"/>
      <c r="D8" s="1"/>
      <c r="E8" s="1"/>
      <c r="F8" s="1"/>
      <c r="G8" s="1"/>
      <c r="H8" s="1"/>
      <c r="I8" s="1"/>
      <c r="J8" s="1"/>
    </row>
    <row r="9" spans="1:10">
      <c r="A9" s="1" t="s">
        <v>34</v>
      </c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 t="s">
        <v>35</v>
      </c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 t="s">
        <v>36</v>
      </c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 t="s">
        <v>37</v>
      </c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 t="s">
        <v>38</v>
      </c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 t="s">
        <v>39</v>
      </c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 t="s">
        <v>40</v>
      </c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 t="s">
        <v>41</v>
      </c>
      <c r="B16" s="1"/>
      <c r="C16" s="1"/>
      <c r="D16" s="1"/>
      <c r="E16" s="1"/>
      <c r="F16" s="1"/>
      <c r="G16" s="1"/>
      <c r="H16" s="1"/>
      <c r="I16" s="1"/>
      <c r="J1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Pre_engineering_festive_matrix</vt:lpstr>
      <vt:lpstr>Festive 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YASH SAXENA</cp:lastModifiedBy>
  <dcterms:modified xsi:type="dcterms:W3CDTF">2026-09-18T13:51:39Z</dcterms:modified>
</cp:coreProperties>
</file>