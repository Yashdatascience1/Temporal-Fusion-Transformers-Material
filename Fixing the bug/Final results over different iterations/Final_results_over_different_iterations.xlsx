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0004878\Desktop\TFT_Data\6_month_horizon\Final output by iterations\"/>
    </mc:Choice>
  </mc:AlternateContent>
  <bookViews>
    <workbookView xWindow="0" yWindow="0" windowWidth="19200" windowHeight="6930" firstSheet="10" activeTab="10"/>
  </bookViews>
  <sheets>
    <sheet name="Iteration 1" sheetId="1" r:id="rId1"/>
    <sheet name="Iteration 2" sheetId="2" r:id="rId2"/>
    <sheet name="Iteration 2 details" sheetId="8" r:id="rId3"/>
    <sheet name="Iteration 3" sheetId="6" r:id="rId4"/>
    <sheet name="Iteration 3 details" sheetId="7" r:id="rId5"/>
    <sheet name="Iteration 4" sheetId="10" r:id="rId6"/>
    <sheet name="Iteration 4 details" sheetId="13" r:id="rId7"/>
    <sheet name="Pivot" sheetId="12" r:id="rId8"/>
    <sheet name="Iteration 5" sheetId="14" r:id="rId9"/>
    <sheet name="Iteration 5 details" sheetId="15" r:id="rId10"/>
    <sheet name="Iteration 6" sheetId="16" r:id="rId11"/>
    <sheet name="Iteration 6 details" sheetId="17" r:id="rId12"/>
    <sheet name="Iteration 7" sheetId="18" r:id="rId13"/>
    <sheet name="Iteration 7 details" sheetId="19" r:id="rId14"/>
    <sheet name="Iteration 8" sheetId="20" r:id="rId15"/>
    <sheet name="Iteration 8 details" sheetId="21" r:id="rId16"/>
    <sheet name="Actual sales over last 4 years" sheetId="3" r:id="rId17"/>
    <sheet name="Business Expectations" sheetId="22" r:id="rId18"/>
    <sheet name="Sheet9" sheetId="9" r:id="rId19"/>
  </sheets>
  <definedNames>
    <definedName name="_xlnm._FilterDatabase" localSheetId="16" hidden="1">'Actual sales over last 4 years'!$A$1:$B$25</definedName>
  </definedNames>
  <calcPr calcId="162913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2" i="10"/>
  <c r="E3" i="10"/>
  <c r="E4" i="10"/>
  <c r="E5" i="10"/>
  <c r="E6" i="10"/>
  <c r="E7" i="10"/>
  <c r="E2" i="10"/>
  <c r="J3" i="6" l="1"/>
  <c r="J4" i="6"/>
  <c r="J5" i="6"/>
  <c r="J6" i="6"/>
  <c r="J7" i="6"/>
  <c r="J2" i="6"/>
  <c r="I3" i="6"/>
  <c r="I4" i="6"/>
  <c r="I5" i="6"/>
  <c r="I6" i="6"/>
  <c r="I7" i="6"/>
  <c r="I2" i="6"/>
  <c r="H3" i="6"/>
  <c r="H4" i="6"/>
  <c r="H5" i="6"/>
  <c r="H6" i="6"/>
  <c r="H7" i="6"/>
  <c r="H2" i="6"/>
  <c r="G3" i="6"/>
  <c r="G4" i="6"/>
  <c r="G5" i="6"/>
  <c r="G6" i="6"/>
  <c r="G7" i="6"/>
  <c r="G2" i="6"/>
  <c r="F3" i="2"/>
  <c r="F4" i="2"/>
  <c r="F5" i="2"/>
  <c r="F6" i="2"/>
  <c r="F7" i="2"/>
  <c r="F2" i="2"/>
  <c r="E3" i="2"/>
  <c r="E4" i="2"/>
  <c r="E5" i="2"/>
  <c r="E6" i="2"/>
  <c r="E7" i="2"/>
  <c r="E2" i="2"/>
  <c r="E3" i="1"/>
  <c r="E2" i="1"/>
  <c r="E7" i="1"/>
  <c r="E6" i="1"/>
  <c r="E5" i="1"/>
  <c r="E4" i="1"/>
</calcChain>
</file>

<file path=xl/sharedStrings.xml><?xml version="1.0" encoding="utf-8"?>
<sst xmlns="http://schemas.openxmlformats.org/spreadsheetml/2006/main" count="175" uniqueCount="82">
  <si>
    <t>MONTH_NAME</t>
  </si>
  <si>
    <t>AVG_MONTHLY_SALES</t>
  </si>
  <si>
    <t>August</t>
  </si>
  <si>
    <t>July</t>
  </si>
  <si>
    <t>June</t>
  </si>
  <si>
    <t>November</t>
  </si>
  <si>
    <t>October</t>
  </si>
  <si>
    <t>September</t>
  </si>
  <si>
    <t>TFT_PREDICTED_MONTHLY_SALES</t>
  </si>
  <si>
    <t>MONTH_NUM</t>
  </si>
  <si>
    <t>Model location</t>
  </si>
  <si>
    <t>C:\Users\G0004878\Desktop\TFT_Data\darts_logs</t>
  </si>
  <si>
    <t>Model parameters</t>
  </si>
  <si>
    <t>1. In this version - Model is being trained from Apr'23 to Nov'25 
2. Validation set is - Dec'25 to May'26 
3. Engineered features are being used</t>
  </si>
  <si>
    <t>Final numbers</t>
  </si>
  <si>
    <t>C:\Users\G0004878\Desktop\TFT_Data\6_month_horizon\Output_of_June_to_Nov_forecast.csv</t>
  </si>
  <si>
    <t>Row Labels</t>
  </si>
  <si>
    <t>Grand Total</t>
  </si>
  <si>
    <t>Average of Actual sales</t>
  </si>
  <si>
    <t>LAST_YEAR_SALES</t>
  </si>
  <si>
    <t>TOTAL_MONTHLY_SALES_P10</t>
  </si>
  <si>
    <t>TOTAL_MONTHLY_SALES_P50</t>
  </si>
  <si>
    <t>TOTAL_MONTHLY_SALES_P90</t>
  </si>
  <si>
    <t>C:\Users\G0004878\Desktop\TFT_Data\6_month_horizon\darts_logs\tft_engineered_features_6_month_with_modifications_2026-06-15_16_27_54</t>
  </si>
  <si>
    <t>Raw forecast</t>
  </si>
  <si>
    <t>C:\Users\G0004878\Desktop\TFT_Data\6_month_horizon\Percentile_wise_output.csv</t>
  </si>
  <si>
    <t>Model is same as Iteration 3</t>
  </si>
  <si>
    <t>Model is same as Iteration 3 : The only difference is it is the mean prediction out of Iteration 3</t>
  </si>
  <si>
    <t>1. Train set : Apr'23 to May'25
2. Val set : June'24 to May'26
3. Lookback data : Feb'25 to May'26
4. Lookahead data : Feb'26 to Nov'26
5. Epochs increased from 100
6. Patience increased from 10 to 25
7. Loss updated from : MSELoss to QuantileLoss
8. Instead of point prediction, output yielded P10, P50, P90 forecasts
9. input_chunk_length increased from 12 to 16 
10. batch_size decreased from 512 to 128</t>
  </si>
  <si>
    <t>AVG_MONTHLY_SALES_OVER_LAST_4_YEARS</t>
  </si>
  <si>
    <t>PREDICTION_DEVIATION_FROM_AVERAGE</t>
  </si>
  <si>
    <t>PREDICTION_DEVIATION_FROM_LAST_YEAR</t>
  </si>
  <si>
    <t>P50_DEVIATION_FROM_AVERAGE_SALES</t>
  </si>
  <si>
    <t>P90_DEVIATION_FROM_AVERAGE_SALES</t>
  </si>
  <si>
    <t>P90_DEVIATON_FROM_LAST_MONTH_SALES</t>
  </si>
  <si>
    <t>P50_DEVIATON_FROM_LAST_YEAR_SALES</t>
  </si>
  <si>
    <t>DEVIATION_FROM_AVG_MONTHLY_SALES</t>
  </si>
  <si>
    <t>All configuratio parameters are same as Iteration 3. Only change is Loss function is Huber Loss</t>
  </si>
  <si>
    <t>C:\Users\G0004878\Desktop\TFT_Data\6_month_horizon\Huber loss\darts_logs\tft_engineered_features_6_month_horizon_with_modifications_huber_loss_2026-06-15_22_49_16</t>
  </si>
  <si>
    <t>C:\Users\G0004878\Desktop\TFT_Data\6_month_horizon\Huber loss\Final_output_Huber_Loss_June_to_November.csv</t>
  </si>
  <si>
    <t>TOTAL_PREDICTED_SALES</t>
  </si>
  <si>
    <t>DEVIATION_FROM_AVG_VALUE</t>
  </si>
  <si>
    <t>DEVIATION_FROM_LAST_YEAR_VALUE</t>
  </si>
  <si>
    <t>C:\Users\G0004878\Desktop\TFT_Data\6_month_horizon\Resolving_high_momentum_issue\With_festive_features_collapsed\darts_logs\tft_engineered_features_6_month_momentum_issue_fixing_2026-06-18_19_54_29</t>
  </si>
  <si>
    <t>input_chunk_length = 12
output_chunk_length = 6
Training data - Apr'23 to Sep'25
Val data - Oct'24 to May'26
Lookback data - Jun'25 to May'26
Lookahead data - June'26 to Nov'26
Loss - QuantileLoss
Epochs - 200
Patience - 25
Batch_size - 128
with festive features collapsed</t>
  </si>
  <si>
    <t>C:\Users\G0004878\Desktop\TFT_Data\6_month_horizon\Resolving_high_momentum_issue\With_festive_features_collapsed\Final_output_modified_timeframe_engineered_features.csv</t>
  </si>
  <si>
    <t>TFT_TOTAL_SALES</t>
  </si>
  <si>
    <t>ACTUAL_SALES</t>
  </si>
  <si>
    <t>TFT_SALES_SERIES_A</t>
  </si>
  <si>
    <t>AVG_TFT_SALES_SERIES_A</t>
  </si>
  <si>
    <t>ACTUAL_AVG_SALES</t>
  </si>
  <si>
    <t>C:\Users\G0004878\Desktop\TFT_Data\6_month_horizon\Modelling_after_updating_sales_numbers\Modelling\darts_logs\tft_uncollapsed_features_6_month_horizon_with_modifications_huber_loss_2026-06-24_23_27_49</t>
  </si>
  <si>
    <t>input_chunk_length = 16
output_chunk_length = 6
Training data - Apr'23 to Sep'25
Val data - Jun'24 to May'26
Lookback data - Feb'25 to May'26
Lookahead data - June'26 to Nov'26
Loss - HuberLoss
Epochs - 200
Patience - 25
Batch_size - 128
without festive features collapsed</t>
  </si>
  <si>
    <t>PREDICTED_SALES</t>
  </si>
  <si>
    <t>Predicted Sales by the model</t>
  </si>
  <si>
    <t>Total sales for the month from 2022 to 2025 as per actual data</t>
  </si>
  <si>
    <t>Total sales for the month from 2022 to 2025 for all series as per TFT data</t>
  </si>
  <si>
    <t>Total sales for the month from 2022 to 2025 for series A as per TFT data</t>
  </si>
  <si>
    <t>Average sales for the month for series A as per TFT data over the past 4 years i.e., 2022 to 2025</t>
  </si>
  <si>
    <t>Average sales for the month for series A as per actual data over the past 4 years i.e., 2022 to 2025</t>
  </si>
  <si>
    <t>C:\Users\G0004878\Desktop\TFT_Data\6_month_horizon\Modelling_after_updating_sales_numbers\Modelling\Final_output_corrected_sales_data_Huber_Loss_June_to_November.csv</t>
  </si>
  <si>
    <t>TOTAL_MONTHLY_SALES</t>
  </si>
  <si>
    <t>C:\Users\G0004878\Desktop\TFT_Data\6_month_horizon\Final output by iterations\Iteration7_series_A_output.csv</t>
  </si>
  <si>
    <t>C:\Users\G0004878\Desktop\TFT_Data\6_month_horizon\Updated_diwali_features\Modelling\darts_logs\tft_diwali_based_features_6_month_horizon_huber_loss_2026-06-25_19_49_15</t>
  </si>
  <si>
    <t>input_chunk_length = 16
output_chunk_length = 6
Training data - Apr'23 to Sep'25
Val data - Jun'24 to May'26
Lookback data - Feb'25 to May'26
Lookahead data - June'26 to Nov'26
Loss - HuberLoss
Epochs - 200
Patience - 25
Batch_size - 128
without festive features collapsed
with Diwali D-30 to D+7 features : Mistakenly all features were fed as 1 for months</t>
  </si>
  <si>
    <t>input_chunk_length = 16
output_chunk_length = 6
Training data - Apr'23 to Sep'25
Val data - Jun'24 to May'26
Lookback data - Feb'25 to May'26
Lookahead data - June'26 to Nov'26
Loss - HuberLoss
Epochs - 200
Patience - 25
Batch_size - 128
without festive features collapsed
with Diwali D-30 to D+7 features : Correctly fed features</t>
  </si>
  <si>
    <t>C:\Users\G0004878\Desktop\TFT_Data\6_month_horizon\Final output by iterations\Iteration8_series_A_output.csv</t>
  </si>
  <si>
    <t>C:\Users\G0004878\Desktop\TFT_Data\6_month_horizon\Updated_diwali_features\Modelling\darts_logs\tft_diwali_based_features_6_month_horizon_huber_loss_2026-06-26_15_04_06</t>
  </si>
  <si>
    <t>EXPECTED_SALES</t>
  </si>
  <si>
    <t xml:space="preserve">June </t>
  </si>
  <si>
    <t>4.45L</t>
  </si>
  <si>
    <t>3.9L</t>
  </si>
  <si>
    <t>Aug</t>
  </si>
  <si>
    <t>3.77L</t>
  </si>
  <si>
    <t>Sep</t>
  </si>
  <si>
    <t>3.67L</t>
  </si>
  <si>
    <t>Oct</t>
  </si>
  <si>
    <t>7.27L</t>
  </si>
  <si>
    <t>Nov</t>
  </si>
  <si>
    <t>13L</t>
  </si>
  <si>
    <t>Dec</t>
  </si>
  <si>
    <t>3.35L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</si>
</sst>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9" fontId="0" fillId="0" borderId="1" xfId="2" applyFont="1" applyBorder="1"/>
    <xf numFmtId="10" fontId="0" fillId="0" borderId="1" xfId="2" applyNumberFormat="1" applyFont="1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3" borderId="1" xfId="0" applyFill="1" applyBorder="1"/>
    <xf numFmtId="0" fontId="0" fillId="0" borderId="1" xfId="0" applyBorder="1" applyAlignment="1">
      <alignment vertical="center"/>
    </xf>
    <xf numFmtId="10" fontId="0" fillId="0" borderId="1" xfId="2" applyNumberFormat="1" applyFont="1" applyBorder="1" applyAlignment="1">
      <alignment vertical="center"/>
    </xf>
    <xf numFmtId="17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 applyAlignment="1"/>
    <xf numFmtId="0" fontId="0" fillId="0" borderId="0" xfId="0" applyAlignment="1"/>
    <xf numFmtId="164" fontId="0" fillId="0" borderId="1" xfId="1" applyNumberFormat="1" applyFont="1" applyBorder="1"/>
    <xf numFmtId="0" fontId="2" fillId="2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3" fillId="0" borderId="0" xfId="0" applyFont="1"/>
    <xf numFmtId="164" fontId="0" fillId="4" borderId="1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ASH SAXENA" refreshedDate="46189.694878587965" createdVersion="6" refreshedVersion="6" minRefreshableVersion="3" recordCount="24">
  <cacheSource type="worksheet">
    <worksheetSource ref="A1:B25" sheet="Actual sales over last 4 years"/>
  </cacheSource>
  <cacheFields count="4">
    <cacheField name="Month of sale" numFmtId="17">
      <sharedItems containsSemiMixedTypes="0" containsNonDate="0" containsDate="1" containsString="0" minDate="2022-06-01T00:00:00" maxDate="2025-11-02T00:00:00"/>
    </cacheField>
    <cacheField name="Actual sales" numFmtId="0">
      <sharedItems containsSemiMixedTypes="0" containsString="0" containsNumber="1" containsInteger="1" minValue="224866" maxValue="1451239"/>
    </cacheField>
    <cacheField name="Name of month" numFmtId="0">
      <sharedItems/>
    </cacheField>
    <cacheField name="MONTH_NUM" numFmtId="0">
      <sharedItems containsSemiMixedTypes="0" containsString="0" containsNumber="1" containsInteger="1" minValue="6" maxValue="11" count="6">
        <n v="6"/>
        <n v="7"/>
        <n v="8"/>
        <n v="9"/>
        <n v="10"/>
        <n v="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2-06-01T00:00:00"/>
    <n v="323008"/>
    <s v="June"/>
    <x v="0"/>
  </r>
  <r>
    <d v="2022-07-01T00:00:00"/>
    <n v="252443"/>
    <s v="July "/>
    <x v="1"/>
  </r>
  <r>
    <d v="2022-08-01T00:00:00"/>
    <n v="257380"/>
    <s v="August"/>
    <x v="2"/>
  </r>
  <r>
    <d v="2022-09-01T00:00:00"/>
    <n v="240072"/>
    <s v="September"/>
    <x v="3"/>
  </r>
  <r>
    <d v="2022-10-01T00:00:00"/>
    <n v="836463"/>
    <s v="October"/>
    <x v="4"/>
  </r>
  <r>
    <d v="2022-11-01T00:00:00"/>
    <n v="242653"/>
    <s v="November"/>
    <x v="5"/>
  </r>
  <r>
    <d v="2023-06-01T00:00:00"/>
    <n v="431597"/>
    <s v="June"/>
    <x v="0"/>
  </r>
  <r>
    <d v="2023-07-01T00:00:00"/>
    <n v="368892"/>
    <s v="July "/>
    <x v="1"/>
  </r>
  <r>
    <d v="2023-08-01T00:00:00"/>
    <n v="407427"/>
    <s v="August"/>
    <x v="2"/>
  </r>
  <r>
    <d v="2023-09-01T00:00:00"/>
    <n v="364989"/>
    <s v="September"/>
    <x v="3"/>
  </r>
  <r>
    <d v="2023-10-01T00:00:00"/>
    <n v="587473"/>
    <s v="October"/>
    <x v="4"/>
  </r>
  <r>
    <d v="2023-11-01T00:00:00"/>
    <n v="1298116"/>
    <s v="November"/>
    <x v="5"/>
  </r>
  <r>
    <d v="2024-06-01T00:00:00"/>
    <n v="493721"/>
    <s v="June"/>
    <x v="0"/>
  </r>
  <r>
    <d v="2024-07-01T00:00:00"/>
    <n v="450570"/>
    <s v="July "/>
    <x v="1"/>
  </r>
  <r>
    <d v="2024-08-01T00:00:00"/>
    <n v="396068"/>
    <s v="August"/>
    <x v="2"/>
  </r>
  <r>
    <d v="2024-09-01T00:00:00"/>
    <n v="224866"/>
    <s v="September"/>
    <x v="3"/>
  </r>
  <r>
    <d v="2024-10-01T00:00:00"/>
    <n v="1451239"/>
    <s v="October"/>
    <x v="4"/>
  </r>
  <r>
    <d v="2024-11-01T00:00:00"/>
    <n v="760666"/>
    <s v="November"/>
    <x v="5"/>
  </r>
  <r>
    <d v="2025-06-01T00:00:00"/>
    <n v="381884"/>
    <s v="June"/>
    <x v="0"/>
  </r>
  <r>
    <d v="2025-07-01T00:00:00"/>
    <n v="306235"/>
    <s v="July "/>
    <x v="1"/>
  </r>
  <r>
    <d v="2025-08-01T00:00:00"/>
    <n v="304119"/>
    <s v="August"/>
    <x v="2"/>
  </r>
  <r>
    <d v="2025-09-01T00:00:00"/>
    <n v="358049"/>
    <s v="September"/>
    <x v="3"/>
  </r>
  <r>
    <d v="2025-10-01T00:00:00"/>
    <n v="1255219"/>
    <s v="October"/>
    <x v="4"/>
  </r>
  <r>
    <d v="2025-11-01T00:00:00"/>
    <n v="411370"/>
    <s v="November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0" firstHeaderRow="1" firstDataRow="1" firstDataCol="1"/>
  <pivotFields count="4">
    <pivotField numFmtId="17" showAll="0"/>
    <pivotField dataField="1"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Actual sales" fld="1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opLeftCell="D1" workbookViewId="0">
      <selection activeCell="I3" sqref="I3"/>
    </sheetView>
  </sheetViews>
  <sheetFormatPr defaultColWidth="8.54296875" defaultRowHeight="14.5" x14ac:dyDescent="0.35"/>
  <cols>
    <col min="1" max="1" width="12.7265625" hidden="1" customWidth="1"/>
    <col min="2" max="2" width="13.7265625" bestFit="1" customWidth="1"/>
    <col min="3" max="3" width="29.7265625" bestFit="1" customWidth="1"/>
    <col min="4" max="4" width="19.81640625" bestFit="1" customWidth="1"/>
    <col min="5" max="5" width="20.1796875" bestFit="1" customWidth="1"/>
    <col min="8" max="8" width="16.453125" style="5" bestFit="1" customWidth="1"/>
    <col min="9" max="9" width="82.7265625" bestFit="1" customWidth="1"/>
  </cols>
  <sheetData>
    <row r="1" spans="1:9" ht="15" thickBot="1" x14ac:dyDescent="0.4">
      <c r="A1" s="2" t="s">
        <v>9</v>
      </c>
      <c r="B1" s="2" t="s">
        <v>0</v>
      </c>
      <c r="C1" s="2" t="s">
        <v>8</v>
      </c>
      <c r="D1" s="2" t="s">
        <v>1</v>
      </c>
      <c r="E1" s="2" t="s">
        <v>36</v>
      </c>
      <c r="H1" s="7" t="s">
        <v>10</v>
      </c>
      <c r="I1" s="1" t="s">
        <v>11</v>
      </c>
    </row>
    <row r="2" spans="1:9" ht="44" thickBot="1" x14ac:dyDescent="0.4">
      <c r="A2" s="1">
        <v>6</v>
      </c>
      <c r="B2" s="9" t="s">
        <v>4</v>
      </c>
      <c r="C2" s="9">
        <v>386790.75</v>
      </c>
      <c r="D2" s="9">
        <v>444836</v>
      </c>
      <c r="E2" s="10">
        <f t="shared" ref="E2:E7" si="0">(C2-D2)/D2</f>
        <v>-0.13048685358199427</v>
      </c>
      <c r="H2" s="7" t="s">
        <v>12</v>
      </c>
      <c r="I2" s="6" t="s">
        <v>13</v>
      </c>
    </row>
    <row r="3" spans="1:9" ht="15" thickBot="1" x14ac:dyDescent="0.4">
      <c r="A3" s="1">
        <v>7</v>
      </c>
      <c r="B3" s="1" t="s">
        <v>3</v>
      </c>
      <c r="C3" s="1">
        <v>350689.28000000003</v>
      </c>
      <c r="D3" s="1">
        <v>375676.75</v>
      </c>
      <c r="E3" s="4">
        <f t="shared" si="0"/>
        <v>-6.6513219143851651E-2</v>
      </c>
      <c r="H3" s="7" t="s">
        <v>14</v>
      </c>
      <c r="I3" s="1" t="s">
        <v>15</v>
      </c>
    </row>
    <row r="4" spans="1:9" ht="15" thickBot="1" x14ac:dyDescent="0.4">
      <c r="A4" s="1">
        <v>8</v>
      </c>
      <c r="B4" s="1" t="s">
        <v>2</v>
      </c>
      <c r="C4" s="1">
        <v>335238.94</v>
      </c>
      <c r="D4" s="1">
        <v>373306.5</v>
      </c>
      <c r="E4" s="4">
        <f t="shared" si="0"/>
        <v>-0.10197400795325021</v>
      </c>
    </row>
    <row r="5" spans="1:9" ht="15" thickBot="1" x14ac:dyDescent="0.4">
      <c r="A5" s="1">
        <v>9</v>
      </c>
      <c r="B5" s="1" t="s">
        <v>7</v>
      </c>
      <c r="C5" s="1">
        <v>316078.56</v>
      </c>
      <c r="D5" s="1">
        <v>327632</v>
      </c>
      <c r="E5" s="4">
        <f t="shared" si="0"/>
        <v>-3.5263466328075407E-2</v>
      </c>
    </row>
    <row r="6" spans="1:9" ht="15" thickBot="1" x14ac:dyDescent="0.4">
      <c r="A6" s="1">
        <v>10</v>
      </c>
      <c r="B6" s="1" t="s">
        <v>6</v>
      </c>
      <c r="C6" s="1">
        <v>635328.18999999994</v>
      </c>
      <c r="D6" s="8">
        <v>1121534.25</v>
      </c>
      <c r="E6" s="4">
        <f t="shared" si="0"/>
        <v>-0.43351869102526297</v>
      </c>
    </row>
    <row r="7" spans="1:9" ht="15" thickBot="1" x14ac:dyDescent="0.4">
      <c r="A7" s="1">
        <v>11</v>
      </c>
      <c r="B7" s="1" t="s">
        <v>5</v>
      </c>
      <c r="C7" s="1">
        <v>596278.99</v>
      </c>
      <c r="D7" s="1">
        <v>720126.75</v>
      </c>
      <c r="E7" s="4">
        <f t="shared" si="0"/>
        <v>-0.17198050204356388</v>
      </c>
    </row>
  </sheetData>
  <sortState ref="A2:E7">
    <sortCondition ref="A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B3" sqref="B3"/>
    </sheetView>
  </sheetViews>
  <sheetFormatPr defaultColWidth="8.6328125" defaultRowHeight="14.5" x14ac:dyDescent="0.35"/>
  <cols>
    <col min="1" max="1" width="13.7265625" bestFit="1" customWidth="1"/>
    <col min="2" max="2" width="13.26953125" customWidth="1"/>
    <col min="3" max="3" width="17.453125" customWidth="1"/>
    <col min="4" max="4" width="19.90625" customWidth="1"/>
    <col min="5" max="5" width="17.90625" customWidth="1"/>
    <col min="6" max="6" width="18.08984375" customWidth="1"/>
  </cols>
  <sheetData>
    <row r="1" spans="1:6" ht="15" thickBot="1" x14ac:dyDescent="0.4">
      <c r="A1" s="2" t="s">
        <v>0</v>
      </c>
      <c r="B1" s="2" t="s">
        <v>8</v>
      </c>
      <c r="C1" s="2" t="s">
        <v>29</v>
      </c>
      <c r="D1" s="2" t="s">
        <v>19</v>
      </c>
      <c r="E1" s="18" t="s">
        <v>30</v>
      </c>
      <c r="F1" s="18" t="s">
        <v>31</v>
      </c>
    </row>
    <row r="2" spans="1:6" ht="15" thickBot="1" x14ac:dyDescent="0.4">
      <c r="A2" s="9" t="s">
        <v>4</v>
      </c>
      <c r="B2" s="17">
        <v>416260</v>
      </c>
      <c r="C2" s="17">
        <v>444836</v>
      </c>
      <c r="D2" s="17">
        <v>401428</v>
      </c>
      <c r="E2" s="4">
        <f>(B2-C2)/C2</f>
        <v>-6.423940508412089E-2</v>
      </c>
      <c r="F2" s="4">
        <f>(B2-D2)/D2</f>
        <v>3.6948095299779785E-2</v>
      </c>
    </row>
    <row r="3" spans="1:6" ht="15" thickBot="1" x14ac:dyDescent="0.4">
      <c r="A3" s="1" t="s">
        <v>3</v>
      </c>
      <c r="B3" s="17">
        <v>335549</v>
      </c>
      <c r="C3" s="17">
        <v>375676.75</v>
      </c>
      <c r="D3" s="17">
        <v>328748</v>
      </c>
      <c r="E3" s="4">
        <f t="shared" ref="E3:E7" si="0">(B3-C3)/C3</f>
        <v>-0.10681456864179112</v>
      </c>
      <c r="F3" s="4">
        <f t="shared" ref="F3:F7" si="1">(B3-D3)/D3</f>
        <v>2.0687578327472714E-2</v>
      </c>
    </row>
    <row r="4" spans="1:6" ht="15" thickBot="1" x14ac:dyDescent="0.4">
      <c r="A4" s="1" t="s">
        <v>2</v>
      </c>
      <c r="B4" s="17">
        <v>294277.58</v>
      </c>
      <c r="C4" s="17">
        <v>373306.5</v>
      </c>
      <c r="D4" s="17">
        <v>331076</v>
      </c>
      <c r="E4" s="4">
        <f t="shared" si="0"/>
        <v>-0.2116998230676401</v>
      </c>
      <c r="F4" s="4">
        <f t="shared" si="1"/>
        <v>-0.11114795394410946</v>
      </c>
    </row>
    <row r="5" spans="1:6" ht="15" thickBot="1" x14ac:dyDescent="0.4">
      <c r="A5" s="1" t="s">
        <v>7</v>
      </c>
      <c r="B5" s="17">
        <v>264781.59000000003</v>
      </c>
      <c r="C5" s="17">
        <v>327632</v>
      </c>
      <c r="D5" s="17">
        <v>395829</v>
      </c>
      <c r="E5" s="4">
        <f t="shared" si="0"/>
        <v>-0.19183233017531856</v>
      </c>
      <c r="F5" s="4">
        <f t="shared" si="1"/>
        <v>-0.33107076540627384</v>
      </c>
    </row>
    <row r="6" spans="1:6" ht="15" thickBot="1" x14ac:dyDescent="0.4">
      <c r="A6" s="1" t="s">
        <v>6</v>
      </c>
      <c r="B6" s="17">
        <v>1234498.6299999999</v>
      </c>
      <c r="C6" s="17">
        <v>1121534.25</v>
      </c>
      <c r="D6" s="17">
        <v>1353626</v>
      </c>
      <c r="E6" s="4">
        <f t="shared" si="0"/>
        <v>0.10072307644639465</v>
      </c>
      <c r="F6" s="4">
        <f t="shared" si="1"/>
        <v>-8.8006118381295947E-2</v>
      </c>
    </row>
    <row r="7" spans="1:6" ht="15" thickBot="1" x14ac:dyDescent="0.4">
      <c r="A7" s="1" t="s">
        <v>5</v>
      </c>
      <c r="B7" s="17">
        <v>852511.24</v>
      </c>
      <c r="C7" s="17">
        <v>720126.75</v>
      </c>
      <c r="D7" s="17">
        <v>454356</v>
      </c>
      <c r="E7" s="4">
        <f t="shared" si="0"/>
        <v>0.18383498460514067</v>
      </c>
      <c r="F7" s="4">
        <f t="shared" si="1"/>
        <v>0.87630677266284585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3" sqref="B3"/>
    </sheetView>
  </sheetViews>
  <sheetFormatPr defaultRowHeight="14.5" x14ac:dyDescent="0.35"/>
  <cols>
    <col min="1" max="1" width="16.453125" bestFit="1" customWidth="1"/>
    <col min="2" max="2" width="82.7265625" bestFit="1" customWidth="1"/>
  </cols>
  <sheetData>
    <row r="1" spans="1:2" ht="14.5" customHeight="1" thickBot="1" x14ac:dyDescent="0.4">
      <c r="A1" s="7" t="s">
        <v>10</v>
      </c>
      <c r="B1" s="15" t="s">
        <v>26</v>
      </c>
    </row>
    <row r="2" spans="1:2" ht="15" thickBot="1" x14ac:dyDescent="0.4">
      <c r="A2" s="7" t="s">
        <v>12</v>
      </c>
      <c r="B2" s="15" t="s">
        <v>27</v>
      </c>
    </row>
    <row r="3" spans="1:2" ht="15" thickBot="1" x14ac:dyDescent="0.4">
      <c r="A3" s="7" t="s">
        <v>24</v>
      </c>
      <c r="B3" s="15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selection sqref="A1:D7"/>
    </sheetView>
  </sheetViews>
  <sheetFormatPr defaultColWidth="8.81640625" defaultRowHeight="14.5" x14ac:dyDescent="0.35"/>
  <cols>
    <col min="1" max="1" width="13.7265625" bestFit="1" customWidth="1"/>
    <col min="2" max="2" width="25.81640625" customWidth="1"/>
    <col min="3" max="3" width="25.81640625" bestFit="1" customWidth="1"/>
    <col min="4" max="4" width="25.81640625" customWidth="1"/>
    <col min="5" max="5" width="16.7265625" customWidth="1"/>
    <col min="6" max="6" width="15.90625" bestFit="1" customWidth="1"/>
    <col min="7" max="7" width="6.54296875" customWidth="1"/>
    <col min="8" max="8" width="10.54296875" customWidth="1"/>
    <col min="9" max="9" width="14.36328125" customWidth="1"/>
    <col min="10" max="10" width="23.54296875" customWidth="1"/>
  </cols>
  <sheetData>
    <row r="1" spans="1:10" ht="15" thickBot="1" x14ac:dyDescent="0.4">
      <c r="A1" s="2" t="s">
        <v>0</v>
      </c>
      <c r="B1" s="2" t="s">
        <v>20</v>
      </c>
      <c r="C1" s="2" t="s">
        <v>21</v>
      </c>
      <c r="D1" s="2" t="s">
        <v>22</v>
      </c>
      <c r="E1" s="2" t="s">
        <v>29</v>
      </c>
      <c r="F1" s="2" t="s">
        <v>19</v>
      </c>
      <c r="G1" s="2" t="s">
        <v>32</v>
      </c>
      <c r="H1" s="2" t="s">
        <v>35</v>
      </c>
      <c r="I1" s="2" t="s">
        <v>33</v>
      </c>
      <c r="J1" s="2" t="s">
        <v>34</v>
      </c>
    </row>
    <row r="2" spans="1:10" ht="15" thickBot="1" x14ac:dyDescent="0.4">
      <c r="A2" s="1" t="s">
        <v>4</v>
      </c>
      <c r="B2" s="17">
        <v>131204.63</v>
      </c>
      <c r="C2" s="17">
        <v>350815.9</v>
      </c>
      <c r="D2" s="17">
        <v>787673.46</v>
      </c>
      <c r="E2" s="17">
        <v>407552.5</v>
      </c>
      <c r="F2" s="17">
        <v>381884</v>
      </c>
      <c r="G2" s="3">
        <f>(C2-E2)/E2</f>
        <v>-0.13921298483017519</v>
      </c>
      <c r="H2" s="3">
        <f>(C2-F2)/F2</f>
        <v>-8.1354809313822982E-2</v>
      </c>
      <c r="I2" s="3">
        <f>(D2-E2)/E2</f>
        <v>0.93269200900497473</v>
      </c>
      <c r="J2" s="3">
        <f>(D2-F2)/F2</f>
        <v>1.062598747263567</v>
      </c>
    </row>
    <row r="3" spans="1:10" ht="15" thickBot="1" x14ac:dyDescent="0.4">
      <c r="A3" s="1" t="s">
        <v>3</v>
      </c>
      <c r="B3" s="17">
        <v>102561.08</v>
      </c>
      <c r="C3" s="17">
        <v>287514.03000000003</v>
      </c>
      <c r="D3" s="17">
        <v>636907.5</v>
      </c>
      <c r="E3" s="17">
        <v>344535</v>
      </c>
      <c r="F3" s="17">
        <v>306235</v>
      </c>
      <c r="G3" s="3">
        <f t="shared" ref="G3:G7" si="0">(C3-E3)/E3</f>
        <v>-0.16550124080282111</v>
      </c>
      <c r="H3" s="3">
        <f t="shared" ref="H3:H7" si="1">(C3-F3)/F3</f>
        <v>-6.1132692213496077E-2</v>
      </c>
      <c r="I3" s="3">
        <f t="shared" ref="I3:I7" si="2">(D3-E3)/E3</f>
        <v>0.84860028734381121</v>
      </c>
      <c r="J3" s="3">
        <f t="shared" ref="J3:J7" si="3">(D3-F3)/F3</f>
        <v>1.0797998269302986</v>
      </c>
    </row>
    <row r="4" spans="1:10" ht="15" thickBot="1" x14ac:dyDescent="0.4">
      <c r="A4" s="1" t="s">
        <v>2</v>
      </c>
      <c r="B4" s="17">
        <v>82101.070000000007</v>
      </c>
      <c r="C4" s="17">
        <v>247342.42</v>
      </c>
      <c r="D4" s="17">
        <v>571675.73</v>
      </c>
      <c r="E4" s="17">
        <v>341248.5</v>
      </c>
      <c r="F4" s="17">
        <v>304119</v>
      </c>
      <c r="G4" s="3">
        <f t="shared" si="0"/>
        <v>-0.27518386161404368</v>
      </c>
      <c r="H4" s="3">
        <f t="shared" si="1"/>
        <v>-0.18669198570296491</v>
      </c>
      <c r="I4" s="3">
        <f t="shared" si="2"/>
        <v>0.67524759815794055</v>
      </c>
      <c r="J4" s="3">
        <f t="shared" si="3"/>
        <v>0.87977643619767254</v>
      </c>
    </row>
    <row r="5" spans="1:10" ht="15" thickBot="1" x14ac:dyDescent="0.4">
      <c r="A5" s="1" t="s">
        <v>7</v>
      </c>
      <c r="B5" s="17">
        <v>79906.649999999994</v>
      </c>
      <c r="C5" s="17">
        <v>215034.39</v>
      </c>
      <c r="D5" s="17">
        <v>515230.48</v>
      </c>
      <c r="E5" s="17">
        <v>296994</v>
      </c>
      <c r="F5" s="17">
        <v>358049</v>
      </c>
      <c r="G5" s="3">
        <f t="shared" si="0"/>
        <v>-0.2759638578557142</v>
      </c>
      <c r="H5" s="3">
        <f t="shared" si="1"/>
        <v>-0.39942748059623118</v>
      </c>
      <c r="I5" s="3">
        <f t="shared" si="2"/>
        <v>0.73481780776716021</v>
      </c>
      <c r="J5" s="3">
        <f t="shared" si="3"/>
        <v>0.43899432759203344</v>
      </c>
    </row>
    <row r="6" spans="1:10" ht="15" thickBot="1" x14ac:dyDescent="0.4">
      <c r="A6" s="1" t="s">
        <v>6</v>
      </c>
      <c r="B6" s="17">
        <v>538560.4</v>
      </c>
      <c r="C6" s="17">
        <v>1303352.69</v>
      </c>
      <c r="D6" s="17">
        <v>1832653.55</v>
      </c>
      <c r="E6" s="17">
        <v>1032598.5</v>
      </c>
      <c r="F6" s="17">
        <v>1255219</v>
      </c>
      <c r="G6" s="3">
        <f t="shared" si="0"/>
        <v>0.26220664662983717</v>
      </c>
      <c r="H6" s="3">
        <f t="shared" si="1"/>
        <v>3.8346846247547195E-2</v>
      </c>
      <c r="I6" s="3">
        <f t="shared" si="2"/>
        <v>0.77479780379305219</v>
      </c>
      <c r="J6" s="3">
        <f t="shared" si="3"/>
        <v>0.46002693553873869</v>
      </c>
    </row>
    <row r="7" spans="1:10" ht="15" thickBot="1" x14ac:dyDescent="0.4">
      <c r="A7" s="1" t="s">
        <v>5</v>
      </c>
      <c r="B7" s="17">
        <v>209857.03</v>
      </c>
      <c r="C7" s="17">
        <v>724978.81</v>
      </c>
      <c r="D7" s="17">
        <v>1646160.12</v>
      </c>
      <c r="E7" s="17">
        <v>678201.25</v>
      </c>
      <c r="F7" s="17">
        <v>411370</v>
      </c>
      <c r="G7" s="3">
        <f t="shared" si="0"/>
        <v>6.8972978153608616E-2</v>
      </c>
      <c r="H7" s="3">
        <f t="shared" si="1"/>
        <v>0.76235216471789402</v>
      </c>
      <c r="I7" s="3">
        <f t="shared" si="2"/>
        <v>1.4272443024839605</v>
      </c>
      <c r="J7" s="3">
        <f t="shared" si="3"/>
        <v>3.0016533048107545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23</v>
      </c>
    </row>
    <row r="2" spans="1:2" ht="145.5" thickBot="1" x14ac:dyDescent="0.4">
      <c r="A2" s="7" t="s">
        <v>12</v>
      </c>
      <c r="B2" s="6" t="s">
        <v>28</v>
      </c>
    </row>
    <row r="3" spans="1:2" ht="15" thickBot="1" x14ac:dyDescent="0.4">
      <c r="A3" s="7" t="s">
        <v>24</v>
      </c>
      <c r="B3" s="15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sqref="A1:D7"/>
    </sheetView>
  </sheetViews>
  <sheetFormatPr defaultRowHeight="14.5" x14ac:dyDescent="0.35"/>
  <cols>
    <col min="1" max="1" width="13.7265625" bestFit="1" customWidth="1"/>
    <col min="2" max="2" width="22.54296875" bestFit="1" customWidth="1"/>
    <col min="3" max="3" width="14.453125" customWidth="1"/>
    <col min="4" max="4" width="15.90625" bestFit="1" customWidth="1"/>
    <col min="5" max="5" width="27.7265625" bestFit="1" customWidth="1"/>
    <col min="6" max="6" width="15.1796875" customWidth="1"/>
  </cols>
  <sheetData>
    <row r="1" spans="1:6" ht="15" thickBot="1" x14ac:dyDescent="0.4">
      <c r="A1" s="2" t="s">
        <v>0</v>
      </c>
      <c r="B1" s="2" t="s">
        <v>40</v>
      </c>
      <c r="C1" s="2" t="s">
        <v>29</v>
      </c>
      <c r="D1" s="2" t="s">
        <v>19</v>
      </c>
      <c r="E1" s="18" t="s">
        <v>41</v>
      </c>
      <c r="F1" s="18" t="s">
        <v>42</v>
      </c>
    </row>
    <row r="2" spans="1:6" ht="15" thickBot="1" x14ac:dyDescent="0.4">
      <c r="A2" s="1" t="s">
        <v>4</v>
      </c>
      <c r="B2" s="17">
        <v>507212.74</v>
      </c>
      <c r="C2" s="17">
        <v>407552.5</v>
      </c>
      <c r="D2" s="17">
        <v>381884</v>
      </c>
      <c r="E2" s="4">
        <f>(B2-C2)/C2</f>
        <v>0.24453350181878405</v>
      </c>
      <c r="F2" s="4">
        <f>(B2-D2)/D2</f>
        <v>0.3281853651894292</v>
      </c>
    </row>
    <row r="3" spans="1:6" ht="15" thickBot="1" x14ac:dyDescent="0.4">
      <c r="A3" s="1" t="s">
        <v>3</v>
      </c>
      <c r="B3" s="17">
        <v>404020.1</v>
      </c>
      <c r="C3" s="17">
        <v>344535</v>
      </c>
      <c r="D3" s="17">
        <v>306235</v>
      </c>
      <c r="E3" s="4">
        <f t="shared" ref="E3:E7" si="0">(B3-C3)/C3</f>
        <v>0.17265328631343688</v>
      </c>
      <c r="F3" s="4">
        <f t="shared" ref="F3:F7" si="1">(B3-D3)/D3</f>
        <v>0.31931392558002836</v>
      </c>
    </row>
    <row r="4" spans="1:6" ht="15" thickBot="1" x14ac:dyDescent="0.4">
      <c r="A4" s="1" t="s">
        <v>2</v>
      </c>
      <c r="B4" s="17">
        <v>368491.51</v>
      </c>
      <c r="C4" s="17">
        <v>341248.5</v>
      </c>
      <c r="D4" s="17">
        <v>304119</v>
      </c>
      <c r="E4" s="4">
        <f t="shared" si="0"/>
        <v>7.9833347252808468E-2</v>
      </c>
      <c r="F4" s="4">
        <f t="shared" si="1"/>
        <v>0.21166882042884533</v>
      </c>
    </row>
    <row r="5" spans="1:6" ht="15" thickBot="1" x14ac:dyDescent="0.4">
      <c r="A5" s="1" t="s">
        <v>7</v>
      </c>
      <c r="B5" s="17">
        <v>338404.08</v>
      </c>
      <c r="C5" s="17">
        <v>296994</v>
      </c>
      <c r="D5" s="17">
        <v>358049</v>
      </c>
      <c r="E5" s="4">
        <f t="shared" si="0"/>
        <v>0.13943069556960752</v>
      </c>
      <c r="F5" s="4">
        <f t="shared" si="1"/>
        <v>-5.4866568542294443E-2</v>
      </c>
    </row>
    <row r="6" spans="1:6" ht="15" thickBot="1" x14ac:dyDescent="0.4">
      <c r="A6" s="1" t="s">
        <v>6</v>
      </c>
      <c r="B6" s="17">
        <v>1283292.08</v>
      </c>
      <c r="C6" s="17">
        <v>1032598.5</v>
      </c>
      <c r="D6" s="17">
        <v>1255219</v>
      </c>
      <c r="E6" s="4">
        <f t="shared" si="0"/>
        <v>0.24277933775809288</v>
      </c>
      <c r="F6" s="4">
        <f t="shared" si="1"/>
        <v>2.2365085295872732E-2</v>
      </c>
    </row>
    <row r="7" spans="1:6" ht="15" thickBot="1" x14ac:dyDescent="0.4">
      <c r="A7" s="1" t="s">
        <v>5</v>
      </c>
      <c r="B7" s="17">
        <v>671600.19</v>
      </c>
      <c r="C7" s="17">
        <v>678201.25</v>
      </c>
      <c r="D7" s="17">
        <v>411370</v>
      </c>
      <c r="E7" s="4">
        <f t="shared" si="0"/>
        <v>-9.7331876047118109E-3</v>
      </c>
      <c r="F7" s="4">
        <f t="shared" si="1"/>
        <v>0.63259399081119172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sqref="A1:B3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38</v>
      </c>
    </row>
    <row r="2" spans="1:2" ht="15" thickBot="1" x14ac:dyDescent="0.4">
      <c r="A2" s="7" t="s">
        <v>12</v>
      </c>
      <c r="B2" s="6" t="s">
        <v>37</v>
      </c>
    </row>
    <row r="3" spans="1:2" ht="15" thickBot="1" x14ac:dyDescent="0.4">
      <c r="A3" s="7" t="s">
        <v>24</v>
      </c>
      <c r="B3" s="15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0"/>
  <sheetViews>
    <sheetView workbookViewId="0">
      <selection activeCell="B4" sqref="B4:B9"/>
    </sheetView>
  </sheetViews>
  <sheetFormatPr defaultRowHeight="14.5" x14ac:dyDescent="0.35"/>
  <cols>
    <col min="1" max="1" width="12.36328125" bestFit="1" customWidth="1"/>
    <col min="2" max="2" width="20.1796875" bestFit="1" customWidth="1"/>
  </cols>
  <sheetData>
    <row r="3" spans="1:2" x14ac:dyDescent="0.35">
      <c r="A3" s="12" t="s">
        <v>16</v>
      </c>
      <c r="B3" t="s">
        <v>18</v>
      </c>
    </row>
    <row r="4" spans="1:2" x14ac:dyDescent="0.35">
      <c r="A4" s="13">
        <v>6</v>
      </c>
      <c r="B4" s="14">
        <v>407552.5</v>
      </c>
    </row>
    <row r="5" spans="1:2" x14ac:dyDescent="0.35">
      <c r="A5" s="13">
        <v>7</v>
      </c>
      <c r="B5" s="14">
        <v>344535</v>
      </c>
    </row>
    <row r="6" spans="1:2" x14ac:dyDescent="0.35">
      <c r="A6" s="13">
        <v>8</v>
      </c>
      <c r="B6" s="14">
        <v>341248.5</v>
      </c>
    </row>
    <row r="7" spans="1:2" x14ac:dyDescent="0.35">
      <c r="A7" s="13">
        <v>9</v>
      </c>
      <c r="B7" s="14">
        <v>296994</v>
      </c>
    </row>
    <row r="8" spans="1:2" x14ac:dyDescent="0.35">
      <c r="A8" s="13">
        <v>10</v>
      </c>
      <c r="B8" s="14">
        <v>1032598.5</v>
      </c>
    </row>
    <row r="9" spans="1:2" x14ac:dyDescent="0.35">
      <c r="A9" s="13">
        <v>11</v>
      </c>
      <c r="B9" s="14">
        <v>678201.25</v>
      </c>
    </row>
    <row r="10" spans="1:2" x14ac:dyDescent="0.35">
      <c r="A10" s="13" t="s">
        <v>17</v>
      </c>
      <c r="B10" s="14">
        <v>516854.95833333331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B7"/>
    </sheetView>
  </sheetViews>
  <sheetFormatPr defaultColWidth="8.54296875" defaultRowHeight="14.5" x14ac:dyDescent="0.35"/>
  <cols>
    <col min="1" max="1" width="13.7265625" bestFit="1" customWidth="1"/>
    <col min="2" max="2" width="22.6328125" bestFit="1" customWidth="1"/>
    <col min="3" max="3" width="39.08984375" bestFit="1" customWidth="1"/>
    <col min="4" max="4" width="15.90625" bestFit="1" customWidth="1"/>
  </cols>
  <sheetData>
    <row r="1" spans="1:4" ht="15" thickBot="1" x14ac:dyDescent="0.4">
      <c r="A1" s="2" t="s">
        <v>0</v>
      </c>
      <c r="B1" s="2" t="s">
        <v>40</v>
      </c>
      <c r="C1" s="2" t="s">
        <v>29</v>
      </c>
      <c r="D1" s="2" t="s">
        <v>19</v>
      </c>
    </row>
    <row r="2" spans="1:4" ht="15" thickBot="1" x14ac:dyDescent="0.4">
      <c r="A2" s="1" t="s">
        <v>4</v>
      </c>
      <c r="B2" s="17">
        <v>334153.74</v>
      </c>
      <c r="C2" s="17">
        <v>407552.5</v>
      </c>
      <c r="D2" s="17">
        <v>381884</v>
      </c>
    </row>
    <row r="3" spans="1:4" ht="15" thickBot="1" x14ac:dyDescent="0.4">
      <c r="A3" s="1" t="s">
        <v>3</v>
      </c>
      <c r="B3" s="17">
        <v>303849.09999999998</v>
      </c>
      <c r="C3" s="17">
        <v>344535</v>
      </c>
      <c r="D3" s="17">
        <v>306235</v>
      </c>
    </row>
    <row r="4" spans="1:4" ht="15" thickBot="1" x14ac:dyDescent="0.4">
      <c r="A4" s="1" t="s">
        <v>2</v>
      </c>
      <c r="B4" s="17">
        <v>315653.51</v>
      </c>
      <c r="C4" s="17">
        <v>341248.5</v>
      </c>
      <c r="D4" s="17">
        <v>304119</v>
      </c>
    </row>
    <row r="5" spans="1:4" ht="15" thickBot="1" x14ac:dyDescent="0.4">
      <c r="A5" s="1" t="s">
        <v>7</v>
      </c>
      <c r="B5" s="17">
        <v>309522</v>
      </c>
      <c r="C5" s="17">
        <v>296994</v>
      </c>
      <c r="D5" s="17">
        <v>358049</v>
      </c>
    </row>
    <row r="6" spans="1:4" ht="15" thickBot="1" x14ac:dyDescent="0.4">
      <c r="A6" s="1" t="s">
        <v>6</v>
      </c>
      <c r="B6" s="17">
        <v>944853</v>
      </c>
      <c r="C6" s="17">
        <v>1032598.5</v>
      </c>
      <c r="D6" s="17">
        <v>1255219</v>
      </c>
    </row>
    <row r="7" spans="1:4" ht="15" thickBot="1" x14ac:dyDescent="0.4">
      <c r="A7" s="1" t="s">
        <v>5</v>
      </c>
      <c r="B7" s="17">
        <v>755166</v>
      </c>
      <c r="C7" s="17">
        <v>678201.25</v>
      </c>
      <c r="D7" s="17">
        <v>411370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A2" sqref="A2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43</v>
      </c>
    </row>
    <row r="2" spans="1:2" ht="160" thickBot="1" x14ac:dyDescent="0.4">
      <c r="A2" s="7" t="s">
        <v>12</v>
      </c>
      <c r="B2" s="6" t="s">
        <v>44</v>
      </c>
    </row>
    <row r="3" spans="1:2" ht="15" thickBot="1" x14ac:dyDescent="0.4">
      <c r="A3" s="7" t="s">
        <v>24</v>
      </c>
      <c r="B3" s="15" t="s">
        <v>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workbookViewId="0">
      <selection activeCell="E12" sqref="E12"/>
    </sheetView>
  </sheetViews>
  <sheetFormatPr defaultColWidth="22.54296875" defaultRowHeight="14.5" x14ac:dyDescent="0.35"/>
  <cols>
    <col min="1" max="1" width="23.08984375" style="5" bestFit="1" customWidth="1"/>
    <col min="2" max="2" width="24.90625" bestFit="1" customWidth="1"/>
    <col min="3" max="3" width="16" bestFit="1" customWidth="1"/>
    <col min="4" max="4" width="13.26953125" bestFit="1" customWidth="1"/>
    <col min="5" max="5" width="18.36328125" bestFit="1" customWidth="1"/>
    <col min="6" max="6" width="23.08984375" bestFit="1" customWidth="1"/>
    <col min="7" max="7" width="18" bestFit="1" customWidth="1"/>
  </cols>
  <sheetData>
    <row r="1" spans="1:7" ht="15" thickBot="1" x14ac:dyDescent="0.4">
      <c r="A1" s="7" t="s">
        <v>0</v>
      </c>
      <c r="B1" s="2" t="s">
        <v>53</v>
      </c>
      <c r="C1" s="2" t="s">
        <v>46</v>
      </c>
      <c r="D1" s="2" t="s">
        <v>47</v>
      </c>
      <c r="E1" s="2" t="s">
        <v>48</v>
      </c>
      <c r="F1" s="2" t="s">
        <v>49</v>
      </c>
      <c r="G1" s="2" t="s">
        <v>50</v>
      </c>
    </row>
    <row r="2" spans="1:7" ht="15" thickBot="1" x14ac:dyDescent="0.4">
      <c r="A2" s="9" t="s">
        <v>4</v>
      </c>
      <c r="B2" s="17">
        <v>345295.74</v>
      </c>
      <c r="C2" s="17">
        <v>1853233</v>
      </c>
      <c r="D2" s="17">
        <v>1528736</v>
      </c>
      <c r="E2" s="17">
        <v>1567474</v>
      </c>
      <c r="F2" s="17">
        <v>313494.8</v>
      </c>
      <c r="G2" s="17">
        <v>382184</v>
      </c>
    </row>
    <row r="3" spans="1:7" ht="15" thickBot="1" x14ac:dyDescent="0.4">
      <c r="A3" s="9" t="s">
        <v>3</v>
      </c>
      <c r="B3" s="22">
        <v>341688.8</v>
      </c>
      <c r="C3" s="17">
        <v>1271432</v>
      </c>
      <c r="D3" s="17">
        <v>1272270</v>
      </c>
      <c r="E3" s="17">
        <v>1088060</v>
      </c>
      <c r="F3" s="17">
        <v>217612</v>
      </c>
      <c r="G3" s="17">
        <v>318067.5</v>
      </c>
    </row>
    <row r="4" spans="1:7" ht="15" thickBot="1" x14ac:dyDescent="0.4">
      <c r="A4" s="9" t="s">
        <v>2</v>
      </c>
      <c r="B4" s="17">
        <v>298721.28999999998</v>
      </c>
      <c r="C4" s="17">
        <v>1265572</v>
      </c>
      <c r="D4" s="17">
        <v>1266366</v>
      </c>
      <c r="E4" s="17">
        <v>1083670</v>
      </c>
      <c r="F4" s="17">
        <v>216734</v>
      </c>
      <c r="G4" s="17">
        <v>316591.5</v>
      </c>
    </row>
    <row r="5" spans="1:7" ht="15" thickBot="1" x14ac:dyDescent="0.4">
      <c r="A5" s="9" t="s">
        <v>7</v>
      </c>
      <c r="B5" s="17">
        <v>277160.65000000002</v>
      </c>
      <c r="C5" s="17">
        <v>1137941</v>
      </c>
      <c r="D5" s="17">
        <v>1138987</v>
      </c>
      <c r="E5" s="17">
        <v>969897</v>
      </c>
      <c r="F5" s="17">
        <v>193979.4</v>
      </c>
      <c r="G5" s="17">
        <v>284746.75</v>
      </c>
    </row>
    <row r="6" spans="1:7" ht="15" thickBot="1" x14ac:dyDescent="0.4">
      <c r="A6" s="9" t="s">
        <v>6</v>
      </c>
      <c r="B6" s="17">
        <v>910397.69</v>
      </c>
      <c r="C6" s="17">
        <v>3917404</v>
      </c>
      <c r="D6" s="17">
        <v>3920695</v>
      </c>
      <c r="E6" s="17">
        <v>3408688</v>
      </c>
      <c r="F6" s="17">
        <v>681737.6</v>
      </c>
      <c r="G6" s="17">
        <v>980173.75</v>
      </c>
    </row>
    <row r="7" spans="1:7" ht="15" thickBot="1" x14ac:dyDescent="0.4">
      <c r="A7" s="9" t="s">
        <v>5</v>
      </c>
      <c r="B7" s="17">
        <v>630025.97</v>
      </c>
      <c r="C7" s="17">
        <v>2341347</v>
      </c>
      <c r="D7" s="17">
        <v>2342966</v>
      </c>
      <c r="E7" s="17">
        <v>2137643</v>
      </c>
      <c r="F7" s="17">
        <v>427528.6</v>
      </c>
      <c r="G7" s="17">
        <v>585741.5</v>
      </c>
    </row>
    <row r="10" spans="1:7" ht="15" thickBot="1" x14ac:dyDescent="0.4"/>
    <row r="11" spans="1:7" ht="15" thickBot="1" x14ac:dyDescent="0.4">
      <c r="A11" s="7" t="s">
        <v>40</v>
      </c>
      <c r="B11" s="1" t="s">
        <v>54</v>
      </c>
    </row>
    <row r="12" spans="1:7" ht="44" thickBot="1" x14ac:dyDescent="0.4">
      <c r="A12" s="7" t="s">
        <v>46</v>
      </c>
      <c r="B12" s="19" t="s">
        <v>56</v>
      </c>
    </row>
    <row r="13" spans="1:7" ht="44" thickBot="1" x14ac:dyDescent="0.4">
      <c r="A13" s="7" t="s">
        <v>47</v>
      </c>
      <c r="B13" s="19" t="s">
        <v>55</v>
      </c>
    </row>
    <row r="14" spans="1:7" ht="44" thickBot="1" x14ac:dyDescent="0.4">
      <c r="A14" s="7" t="s">
        <v>48</v>
      </c>
      <c r="B14" s="19" t="s">
        <v>57</v>
      </c>
    </row>
    <row r="15" spans="1:7" ht="58.5" thickBot="1" x14ac:dyDescent="0.4">
      <c r="A15" s="7" t="s">
        <v>49</v>
      </c>
      <c r="B15" s="20" t="s">
        <v>58</v>
      </c>
    </row>
    <row r="16" spans="1:7" ht="58.5" thickBot="1" x14ac:dyDescent="0.4">
      <c r="A16" s="7" t="s">
        <v>50</v>
      </c>
      <c r="B16" s="20" t="s">
        <v>59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2" sqref="B2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51</v>
      </c>
    </row>
    <row r="2" spans="1:2" ht="160" thickBot="1" x14ac:dyDescent="0.4">
      <c r="A2" s="7" t="s">
        <v>12</v>
      </c>
      <c r="B2" s="6" t="s">
        <v>52</v>
      </c>
    </row>
    <row r="3" spans="1:2" ht="15" thickBot="1" x14ac:dyDescent="0.4">
      <c r="A3" s="7" t="s">
        <v>24</v>
      </c>
      <c r="B3" s="15" t="s">
        <v>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/>
  </sheetViews>
  <sheetFormatPr defaultColWidth="22.54296875" defaultRowHeight="14.5" x14ac:dyDescent="0.35"/>
  <cols>
    <col min="1" max="1" width="23.08984375" style="5" bestFit="1" customWidth="1"/>
    <col min="2" max="2" width="24.90625" bestFit="1" customWidth="1"/>
    <col min="3" max="3" width="23.08984375" bestFit="1" customWidth="1"/>
    <col min="4" max="4" width="18" bestFit="1" customWidth="1"/>
  </cols>
  <sheetData>
    <row r="1" spans="1:4" ht="15" thickBot="1" x14ac:dyDescent="0.4">
      <c r="A1" s="7" t="s">
        <v>0</v>
      </c>
      <c r="B1" s="2" t="s">
        <v>53</v>
      </c>
      <c r="C1" s="2" t="s">
        <v>49</v>
      </c>
      <c r="D1" s="2" t="s">
        <v>50</v>
      </c>
    </row>
    <row r="2" spans="1:4" ht="15" thickBot="1" x14ac:dyDescent="0.4">
      <c r="A2" s="9" t="s">
        <v>4</v>
      </c>
      <c r="B2" s="17">
        <v>279002.52</v>
      </c>
      <c r="C2" s="17">
        <v>313494.8</v>
      </c>
      <c r="D2" s="17">
        <v>382184</v>
      </c>
    </row>
    <row r="3" spans="1:4" ht="15" thickBot="1" x14ac:dyDescent="0.4">
      <c r="A3" s="9" t="s">
        <v>3</v>
      </c>
      <c r="B3" s="17">
        <v>248578.27</v>
      </c>
      <c r="C3" s="17">
        <v>217612</v>
      </c>
      <c r="D3" s="17">
        <v>318067.5</v>
      </c>
    </row>
    <row r="4" spans="1:4" ht="15" thickBot="1" x14ac:dyDescent="0.4">
      <c r="A4" s="9" t="s">
        <v>2</v>
      </c>
      <c r="B4" s="17">
        <v>220481.99</v>
      </c>
      <c r="C4" s="17">
        <v>216734</v>
      </c>
      <c r="D4" s="17">
        <v>316591.5</v>
      </c>
    </row>
    <row r="5" spans="1:4" ht="15" thickBot="1" x14ac:dyDescent="0.4">
      <c r="A5" s="9" t="s">
        <v>7</v>
      </c>
      <c r="B5" s="17">
        <v>274768.95</v>
      </c>
      <c r="C5" s="17">
        <v>193979.4</v>
      </c>
      <c r="D5" s="17">
        <v>284746.75</v>
      </c>
    </row>
    <row r="6" spans="1:4" ht="15" thickBot="1" x14ac:dyDescent="0.4">
      <c r="A6" s="9" t="s">
        <v>6</v>
      </c>
      <c r="B6" s="17">
        <v>1059753.8</v>
      </c>
      <c r="C6" s="17">
        <v>681737.6</v>
      </c>
      <c r="D6" s="17">
        <v>980173.75</v>
      </c>
    </row>
    <row r="7" spans="1:4" ht="15" thickBot="1" x14ac:dyDescent="0.4">
      <c r="A7" s="9" t="s">
        <v>5</v>
      </c>
      <c r="B7" s="17">
        <v>987012.43</v>
      </c>
      <c r="C7" s="17">
        <v>427528.6</v>
      </c>
      <c r="D7" s="17">
        <v>585741.5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3" sqref="B3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63</v>
      </c>
    </row>
    <row r="2" spans="1:2" ht="174.5" thickBot="1" x14ac:dyDescent="0.4">
      <c r="A2" s="7" t="s">
        <v>12</v>
      </c>
      <c r="B2" s="6" t="s">
        <v>64</v>
      </c>
    </row>
    <row r="3" spans="1:2" ht="15" thickBot="1" x14ac:dyDescent="0.4">
      <c r="A3" s="7" t="s">
        <v>24</v>
      </c>
      <c r="B3" s="15" t="s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3" sqref="B3"/>
    </sheetView>
  </sheetViews>
  <sheetFormatPr defaultColWidth="22.54296875" defaultRowHeight="14.5" x14ac:dyDescent="0.35"/>
  <cols>
    <col min="1" max="1" width="23.08984375" style="5" bestFit="1" customWidth="1"/>
    <col min="2" max="2" width="24.90625" bestFit="1" customWidth="1"/>
    <col min="3" max="3" width="23.08984375" bestFit="1" customWidth="1"/>
    <col min="4" max="4" width="18" bestFit="1" customWidth="1"/>
  </cols>
  <sheetData>
    <row r="1" spans="1:4" ht="15" thickBot="1" x14ac:dyDescent="0.4">
      <c r="A1" s="7" t="s">
        <v>0</v>
      </c>
      <c r="B1" s="2" t="s">
        <v>53</v>
      </c>
      <c r="C1" s="2" t="s">
        <v>49</v>
      </c>
      <c r="D1" s="2" t="s">
        <v>50</v>
      </c>
    </row>
    <row r="2" spans="1:4" ht="15" thickBot="1" x14ac:dyDescent="0.4">
      <c r="A2" s="17" t="s">
        <v>4</v>
      </c>
      <c r="B2" s="17">
        <v>309546</v>
      </c>
      <c r="C2" s="17">
        <v>313494.8</v>
      </c>
      <c r="D2" s="17">
        <v>382184</v>
      </c>
    </row>
    <row r="3" spans="1:4" ht="15" thickBot="1" x14ac:dyDescent="0.4">
      <c r="A3" s="17" t="s">
        <v>3</v>
      </c>
      <c r="B3" s="17">
        <v>293439</v>
      </c>
      <c r="C3" s="17">
        <v>217612</v>
      </c>
      <c r="D3" s="17">
        <v>318067.5</v>
      </c>
    </row>
    <row r="4" spans="1:4" ht="15" thickBot="1" x14ac:dyDescent="0.4">
      <c r="A4" s="17" t="s">
        <v>2</v>
      </c>
      <c r="B4" s="17">
        <v>261861</v>
      </c>
      <c r="C4" s="17">
        <v>216734</v>
      </c>
      <c r="D4" s="17">
        <v>316591.5</v>
      </c>
    </row>
    <row r="5" spans="1:4" ht="15" thickBot="1" x14ac:dyDescent="0.4">
      <c r="A5" s="17" t="s">
        <v>7</v>
      </c>
      <c r="B5" s="17">
        <v>316906</v>
      </c>
      <c r="C5" s="17">
        <v>193979.4</v>
      </c>
      <c r="D5" s="17">
        <v>284746.75</v>
      </c>
    </row>
    <row r="6" spans="1:4" ht="15" thickBot="1" x14ac:dyDescent="0.4">
      <c r="A6" s="17" t="s">
        <v>6</v>
      </c>
      <c r="B6" s="17">
        <v>976048</v>
      </c>
      <c r="C6" s="17">
        <v>681737.6</v>
      </c>
      <c r="D6" s="17">
        <v>980173.75</v>
      </c>
    </row>
    <row r="7" spans="1:4" ht="15" thickBot="1" x14ac:dyDescent="0.4">
      <c r="A7" s="17" t="s">
        <v>5</v>
      </c>
      <c r="B7" s="17">
        <v>500643</v>
      </c>
      <c r="C7" s="17">
        <v>427528.6</v>
      </c>
      <c r="D7" s="17">
        <v>585741.5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1" sqref="B1"/>
    </sheetView>
  </sheetViews>
  <sheetFormatPr defaultRowHeight="14.5" x14ac:dyDescent="0.35"/>
  <cols>
    <col min="1" max="1" width="16.453125" style="16" bestFit="1" customWidth="1"/>
    <col min="2" max="2" width="126.6328125" style="16" customWidth="1"/>
    <col min="3" max="16384" width="8.7265625" style="16"/>
  </cols>
  <sheetData>
    <row r="1" spans="1:2" ht="15" thickBot="1" x14ac:dyDescent="0.4">
      <c r="A1" s="7" t="s">
        <v>10</v>
      </c>
      <c r="B1" s="15" t="s">
        <v>67</v>
      </c>
    </row>
    <row r="2" spans="1:2" ht="174.5" thickBot="1" x14ac:dyDescent="0.4">
      <c r="A2" s="7" t="s">
        <v>12</v>
      </c>
      <c r="B2" s="6" t="s">
        <v>65</v>
      </c>
    </row>
    <row r="3" spans="1:2" ht="15" thickBot="1" x14ac:dyDescent="0.4">
      <c r="A3" s="7" t="s">
        <v>24</v>
      </c>
      <c r="B3" s="15" t="s">
        <v>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workbookViewId="0"/>
  </sheetViews>
  <sheetFormatPr defaultRowHeight="14.5" x14ac:dyDescent="0.35"/>
  <cols>
    <col min="1" max="1" width="12.453125" bestFit="1" customWidth="1"/>
    <col min="2" max="2" width="21.7265625" bestFit="1" customWidth="1"/>
  </cols>
  <sheetData>
    <row r="1" spans="1:2" ht="15" thickBot="1" x14ac:dyDescent="0.4">
      <c r="A1" s="2" t="s">
        <v>0</v>
      </c>
      <c r="B1" s="2" t="s">
        <v>61</v>
      </c>
    </row>
    <row r="2" spans="1:2" ht="15" thickBot="1" x14ac:dyDescent="0.4">
      <c r="A2" s="11">
        <v>44652</v>
      </c>
      <c r="B2" s="1">
        <v>438522</v>
      </c>
    </row>
    <row r="3" spans="1:2" ht="15" thickBot="1" x14ac:dyDescent="0.4">
      <c r="A3" s="11">
        <v>44682</v>
      </c>
      <c r="B3" s="1">
        <v>490743</v>
      </c>
    </row>
    <row r="4" spans="1:2" ht="15" thickBot="1" x14ac:dyDescent="0.4">
      <c r="A4" s="11">
        <v>44713</v>
      </c>
      <c r="B4" s="1">
        <v>370885</v>
      </c>
    </row>
    <row r="5" spans="1:2" ht="15" thickBot="1" x14ac:dyDescent="0.4">
      <c r="A5" s="11">
        <v>44743</v>
      </c>
      <c r="B5" s="1">
        <v>283269</v>
      </c>
    </row>
    <row r="6" spans="1:2" ht="15" thickBot="1" x14ac:dyDescent="0.4">
      <c r="A6" s="11">
        <v>44774</v>
      </c>
      <c r="B6" s="1">
        <v>289058</v>
      </c>
    </row>
    <row r="7" spans="1:2" ht="15" thickBot="1" x14ac:dyDescent="0.4">
      <c r="A7" s="11">
        <v>44805</v>
      </c>
      <c r="B7" s="1">
        <v>267258</v>
      </c>
    </row>
    <row r="8" spans="1:2" ht="15" thickBot="1" x14ac:dyDescent="0.4">
      <c r="A8" s="11">
        <v>44835</v>
      </c>
      <c r="B8" s="1">
        <v>933981</v>
      </c>
    </row>
    <row r="9" spans="1:2" ht="15" thickBot="1" x14ac:dyDescent="0.4">
      <c r="A9" s="11">
        <v>44866</v>
      </c>
      <c r="B9" s="1">
        <v>265440</v>
      </c>
    </row>
    <row r="10" spans="1:2" ht="15" thickBot="1" x14ac:dyDescent="0.4">
      <c r="A10" s="11">
        <v>44896</v>
      </c>
      <c r="B10" s="1">
        <v>227350</v>
      </c>
    </row>
    <row r="11" spans="1:2" ht="15" thickBot="1" x14ac:dyDescent="0.4">
      <c r="A11" s="11">
        <v>44927</v>
      </c>
      <c r="B11" s="1">
        <v>329980</v>
      </c>
    </row>
    <row r="12" spans="1:2" ht="15" thickBot="1" x14ac:dyDescent="0.4">
      <c r="A12" s="11">
        <v>44958</v>
      </c>
      <c r="B12" s="1">
        <v>335275</v>
      </c>
    </row>
    <row r="13" spans="1:2" ht="15" thickBot="1" x14ac:dyDescent="0.4">
      <c r="A13" s="11">
        <v>44986</v>
      </c>
      <c r="B13" s="1">
        <v>455771</v>
      </c>
    </row>
    <row r="14" spans="1:2" ht="15" thickBot="1" x14ac:dyDescent="0.4">
      <c r="A14" s="11">
        <v>45017</v>
      </c>
      <c r="B14" s="1">
        <v>385724</v>
      </c>
    </row>
    <row r="15" spans="1:2" ht="15" thickBot="1" x14ac:dyDescent="0.4">
      <c r="A15" s="11">
        <v>45047</v>
      </c>
      <c r="B15" s="1">
        <v>488509</v>
      </c>
    </row>
    <row r="16" spans="1:2" ht="15" thickBot="1" x14ac:dyDescent="0.4">
      <c r="A16" s="11">
        <v>45078</v>
      </c>
      <c r="B16" s="1">
        <v>390658</v>
      </c>
    </row>
    <row r="17" spans="1:2" ht="15" thickBot="1" x14ac:dyDescent="0.4">
      <c r="A17" s="11">
        <v>45108</v>
      </c>
      <c r="B17" s="1">
        <v>313426</v>
      </c>
    </row>
    <row r="18" spans="1:2" ht="15" thickBot="1" x14ac:dyDescent="0.4">
      <c r="A18" s="11">
        <v>45139</v>
      </c>
      <c r="B18" s="1">
        <v>339708</v>
      </c>
    </row>
    <row r="19" spans="1:2" ht="15" thickBot="1" x14ac:dyDescent="0.4">
      <c r="A19" s="11">
        <v>45170</v>
      </c>
      <c r="B19" s="1">
        <v>298528</v>
      </c>
    </row>
    <row r="20" spans="1:2" ht="15" thickBot="1" x14ac:dyDescent="0.4">
      <c r="A20" s="11">
        <v>45200</v>
      </c>
      <c r="B20" s="1">
        <v>480276</v>
      </c>
    </row>
    <row r="21" spans="1:2" ht="15" thickBot="1" x14ac:dyDescent="0.4">
      <c r="A21" s="11">
        <v>45231</v>
      </c>
      <c r="B21" s="1">
        <v>1033206</v>
      </c>
    </row>
    <row r="22" spans="1:2" ht="15" thickBot="1" x14ac:dyDescent="0.4">
      <c r="A22" s="11">
        <v>45261</v>
      </c>
      <c r="B22" s="1">
        <v>242937</v>
      </c>
    </row>
    <row r="23" spans="1:2" ht="15" thickBot="1" x14ac:dyDescent="0.4">
      <c r="A23" s="11">
        <v>45292</v>
      </c>
      <c r="B23" s="1">
        <v>353608</v>
      </c>
    </row>
    <row r="24" spans="1:2" ht="15" thickBot="1" x14ac:dyDescent="0.4">
      <c r="A24" s="11">
        <v>45323</v>
      </c>
      <c r="B24" s="1">
        <v>373163</v>
      </c>
    </row>
    <row r="25" spans="1:2" ht="15" thickBot="1" x14ac:dyDescent="0.4">
      <c r="A25" s="11">
        <v>45352</v>
      </c>
      <c r="B25" s="1">
        <v>436902</v>
      </c>
    </row>
    <row r="26" spans="1:2" ht="15" thickBot="1" x14ac:dyDescent="0.4">
      <c r="A26" s="11">
        <v>45383</v>
      </c>
      <c r="B26" s="1">
        <v>499719</v>
      </c>
    </row>
    <row r="27" spans="1:2" ht="15" thickBot="1" x14ac:dyDescent="0.4">
      <c r="A27" s="11">
        <v>45413</v>
      </c>
      <c r="B27" s="1">
        <v>402173</v>
      </c>
    </row>
    <row r="28" spans="1:2" ht="15" thickBot="1" x14ac:dyDescent="0.4">
      <c r="A28" s="11">
        <v>45444</v>
      </c>
      <c r="B28" s="1">
        <v>394727</v>
      </c>
    </row>
    <row r="29" spans="1:2" ht="15" thickBot="1" x14ac:dyDescent="0.4">
      <c r="A29" s="11">
        <v>45474</v>
      </c>
      <c r="B29" s="1">
        <v>359215</v>
      </c>
    </row>
    <row r="30" spans="1:2" ht="15" thickBot="1" x14ac:dyDescent="0.4">
      <c r="A30" s="11">
        <v>45505</v>
      </c>
      <c r="B30" s="1">
        <v>314336</v>
      </c>
    </row>
    <row r="31" spans="1:2" ht="15" thickBot="1" x14ac:dyDescent="0.4">
      <c r="A31" s="11">
        <v>45536</v>
      </c>
      <c r="B31" s="1">
        <v>182060</v>
      </c>
    </row>
    <row r="32" spans="1:2" ht="15" thickBot="1" x14ac:dyDescent="0.4">
      <c r="A32" s="11">
        <v>45566</v>
      </c>
      <c r="B32" s="1">
        <v>1161951</v>
      </c>
    </row>
    <row r="33" spans="1:2" ht="15" thickBot="1" x14ac:dyDescent="0.4">
      <c r="A33" s="11">
        <v>45597</v>
      </c>
      <c r="B33" s="1">
        <v>591266</v>
      </c>
    </row>
    <row r="34" spans="1:2" ht="15" thickBot="1" x14ac:dyDescent="0.4">
      <c r="A34" s="11">
        <v>45627</v>
      </c>
      <c r="B34" s="1">
        <v>233667</v>
      </c>
    </row>
    <row r="35" spans="1:2" ht="15" thickBot="1" x14ac:dyDescent="0.4">
      <c r="A35" s="11">
        <v>45658</v>
      </c>
      <c r="B35" s="1">
        <v>357236</v>
      </c>
    </row>
    <row r="36" spans="1:2" ht="15" thickBot="1" x14ac:dyDescent="0.4">
      <c r="A36" s="11">
        <v>45689</v>
      </c>
      <c r="B36" s="1">
        <v>357233</v>
      </c>
    </row>
    <row r="37" spans="1:2" ht="15" thickBot="1" x14ac:dyDescent="0.4">
      <c r="A37" s="11">
        <v>45717</v>
      </c>
      <c r="B37" s="1">
        <v>409785</v>
      </c>
    </row>
    <row r="38" spans="1:2" ht="15" thickBot="1" x14ac:dyDescent="0.4">
      <c r="A38" s="11">
        <v>45748</v>
      </c>
      <c r="B38" s="1">
        <v>480802</v>
      </c>
    </row>
    <row r="39" spans="1:2" ht="15" thickBot="1" x14ac:dyDescent="0.4">
      <c r="A39" s="11">
        <v>45778</v>
      </c>
      <c r="B39" s="1">
        <v>459630</v>
      </c>
    </row>
    <row r="40" spans="1:2" ht="15" thickBot="1" x14ac:dyDescent="0.4">
      <c r="A40" s="11">
        <v>45809</v>
      </c>
      <c r="B40" s="1">
        <v>372466</v>
      </c>
    </row>
    <row r="41" spans="1:2" ht="15" thickBot="1" x14ac:dyDescent="0.4">
      <c r="A41" s="11">
        <v>45839</v>
      </c>
      <c r="B41" s="1">
        <v>316360</v>
      </c>
    </row>
    <row r="42" spans="1:2" ht="15" thickBot="1" x14ac:dyDescent="0.4">
      <c r="A42" s="11">
        <v>45870</v>
      </c>
      <c r="B42" s="1">
        <v>323264</v>
      </c>
    </row>
    <row r="43" spans="1:2" ht="15" thickBot="1" x14ac:dyDescent="0.4">
      <c r="A43" s="11">
        <v>45901</v>
      </c>
      <c r="B43" s="1">
        <v>391141</v>
      </c>
    </row>
    <row r="44" spans="1:2" ht="15" thickBot="1" x14ac:dyDescent="0.4">
      <c r="A44" s="11">
        <v>45931</v>
      </c>
      <c r="B44" s="1">
        <v>1344487</v>
      </c>
    </row>
    <row r="45" spans="1:2" ht="15" thickBot="1" x14ac:dyDescent="0.4">
      <c r="A45" s="11">
        <v>45962</v>
      </c>
      <c r="B45" s="1">
        <v>453054</v>
      </c>
    </row>
    <row r="46" spans="1:2" ht="15" thickBot="1" x14ac:dyDescent="0.4">
      <c r="A46" s="11">
        <v>45992</v>
      </c>
      <c r="B46" s="1">
        <v>286475</v>
      </c>
    </row>
    <row r="47" spans="1:2" ht="15" thickBot="1" x14ac:dyDescent="0.4">
      <c r="A47" s="11">
        <v>46023</v>
      </c>
      <c r="B47" s="1">
        <v>461703</v>
      </c>
    </row>
    <row r="48" spans="1:2" ht="15" thickBot="1" x14ac:dyDescent="0.4">
      <c r="A48" s="11">
        <v>46054</v>
      </c>
      <c r="B48" s="1">
        <v>433089</v>
      </c>
    </row>
    <row r="49" spans="1:2" ht="15" thickBot="1" x14ac:dyDescent="0.4">
      <c r="A49" s="11">
        <v>46082</v>
      </c>
      <c r="B49" s="1">
        <v>532533</v>
      </c>
    </row>
    <row r="50" spans="1:2" ht="15" thickBot="1" x14ac:dyDescent="0.4">
      <c r="A50" s="11">
        <v>46113</v>
      </c>
      <c r="B50" s="1">
        <v>556122</v>
      </c>
    </row>
    <row r="51" spans="1:2" ht="15" thickBot="1" x14ac:dyDescent="0.4">
      <c r="A51" s="11">
        <v>46143</v>
      </c>
      <c r="B51" s="1">
        <v>466601</v>
      </c>
    </row>
    <row r="52" spans="1:2" ht="15" thickBot="1" x14ac:dyDescent="0.4">
      <c r="A52" s="11">
        <v>46174</v>
      </c>
      <c r="B52" s="1">
        <v>343628</v>
      </c>
    </row>
  </sheetData>
  <sortState ref="A2:B52">
    <sortCondition ref="A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A9" sqref="A9"/>
    </sheetView>
  </sheetViews>
  <sheetFormatPr defaultRowHeight="14.5" x14ac:dyDescent="0.35"/>
  <cols>
    <col min="1" max="1" width="13.7265625" bestFit="1" customWidth="1"/>
    <col min="2" max="2" width="15.26953125" bestFit="1" customWidth="1"/>
  </cols>
  <sheetData>
    <row r="1" spans="1:2" x14ac:dyDescent="0.35">
      <c r="A1" s="21" t="s">
        <v>0</v>
      </c>
      <c r="B1" s="21" t="s">
        <v>68</v>
      </c>
    </row>
    <row r="2" spans="1:2" x14ac:dyDescent="0.35">
      <c r="A2" t="s">
        <v>69</v>
      </c>
      <c r="B2" t="s">
        <v>70</v>
      </c>
    </row>
    <row r="3" spans="1:2" x14ac:dyDescent="0.35">
      <c r="A3" t="s">
        <v>3</v>
      </c>
      <c r="B3" t="s">
        <v>71</v>
      </c>
    </row>
    <row r="4" spans="1:2" x14ac:dyDescent="0.35">
      <c r="A4" t="s">
        <v>72</v>
      </c>
      <c r="B4" t="s">
        <v>73</v>
      </c>
    </row>
    <row r="5" spans="1:2" x14ac:dyDescent="0.35">
      <c r="A5" t="s">
        <v>74</v>
      </c>
      <c r="B5" t="s">
        <v>75</v>
      </c>
    </row>
    <row r="6" spans="1:2" x14ac:dyDescent="0.35">
      <c r="A6" t="s">
        <v>76</v>
      </c>
      <c r="B6" t="s">
        <v>77</v>
      </c>
    </row>
    <row r="7" spans="1:2" x14ac:dyDescent="0.35">
      <c r="A7" t="s">
        <v>78</v>
      </c>
      <c r="B7" t="s">
        <v>79</v>
      </c>
    </row>
    <row r="8" spans="1:2" x14ac:dyDescent="0.35">
      <c r="A8" t="s">
        <v>80</v>
      </c>
      <c r="B8" t="s">
        <v>81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Iteration 1</vt:lpstr>
      <vt:lpstr>Iteration 2</vt:lpstr>
      <vt:lpstr>Iteration 2 details</vt:lpstr>
      <vt:lpstr>Iteration 3</vt:lpstr>
      <vt:lpstr>Iteration 3 details</vt:lpstr>
      <vt:lpstr>Iteration 4</vt:lpstr>
      <vt:lpstr>Iteration 4 details</vt:lpstr>
      <vt:lpstr>Pivot</vt:lpstr>
      <vt:lpstr>Iteration 5</vt:lpstr>
      <vt:lpstr>Iteration 5 details</vt:lpstr>
      <vt:lpstr>Iteration 6</vt:lpstr>
      <vt:lpstr>Iteration 6 details</vt:lpstr>
      <vt:lpstr>Iteration 7</vt:lpstr>
      <vt:lpstr>Iteration 7 details</vt:lpstr>
      <vt:lpstr>Iteration 8</vt:lpstr>
      <vt:lpstr>Iteration 8 details</vt:lpstr>
      <vt:lpstr>Actual sales over last 4 years</vt:lpstr>
      <vt:lpstr>Business Expectations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SAXENA</dc:creator>
  <cp:lastModifiedBy>YASH SAXENA</cp:lastModifiedBy>
  <dcterms:created xsi:type="dcterms:W3CDTF">2026-06-15T05:53:23Z</dcterms:created>
  <dcterms:modified xsi:type="dcterms:W3CDTF">2026-07-01T09:00:32Z</dcterms:modified>
</cp:coreProperties>
</file>