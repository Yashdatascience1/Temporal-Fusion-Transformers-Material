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6_month_horizon\"/>
    </mc:Choice>
  </mc:AlternateContent>
  <bookViews>
    <workbookView xWindow="0" yWindow="0" windowWidth="19200" windowHeight="6930" firstSheet="4" activeTab="5"/>
  </bookViews>
  <sheets>
    <sheet name="Iteration 1" sheetId="1" r:id="rId1"/>
    <sheet name="Iteration 2" sheetId="2" r:id="rId2"/>
    <sheet name="Iteration 2 details" sheetId="8" r:id="rId3"/>
    <sheet name="Iteration 3" sheetId="6" r:id="rId4"/>
    <sheet name="Iteration 3 details" sheetId="7" r:id="rId5"/>
    <sheet name="Iteration 4" sheetId="10" r:id="rId6"/>
    <sheet name="Iteration 4 details" sheetId="13" r:id="rId7"/>
    <sheet name="Pivot" sheetId="12" r:id="rId8"/>
    <sheet name="Actual sales over last 4 years" sheetId="3" r:id="rId9"/>
    <sheet name="Sheet9" sheetId="9" r:id="rId10"/>
  </sheets>
  <definedNames>
    <definedName name="_xlnm._FilterDatabase" localSheetId="8" hidden="1">'Actual sales over last 4 years'!$A$1:$D$25</definedName>
  </definedNames>
  <calcPr calcId="162913"/>
  <pivotCaches>
    <pivotCache cacheId="3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2" i="10"/>
  <c r="E3" i="10"/>
  <c r="E4" i="10"/>
  <c r="E5" i="10"/>
  <c r="E6" i="10"/>
  <c r="E7" i="10"/>
  <c r="E2" i="10"/>
  <c r="J3" i="6" l="1"/>
  <c r="J4" i="6"/>
  <c r="J5" i="6"/>
  <c r="J6" i="6"/>
  <c r="J7" i="6"/>
  <c r="J2" i="6"/>
  <c r="I3" i="6"/>
  <c r="I4" i="6"/>
  <c r="I5" i="6"/>
  <c r="I6" i="6"/>
  <c r="I7" i="6"/>
  <c r="I2" i="6"/>
  <c r="H3" i="6"/>
  <c r="H4" i="6"/>
  <c r="H5" i="6"/>
  <c r="H6" i="6"/>
  <c r="H7" i="6"/>
  <c r="H2" i="6"/>
  <c r="G3" i="6"/>
  <c r="G4" i="6"/>
  <c r="G5" i="6"/>
  <c r="G6" i="6"/>
  <c r="G7" i="6"/>
  <c r="G2" i="6"/>
  <c r="F3" i="2"/>
  <c r="F4" i="2"/>
  <c r="F5" i="2"/>
  <c r="F6" i="2"/>
  <c r="F7" i="2"/>
  <c r="F2" i="2"/>
  <c r="E3" i="2"/>
  <c r="E4" i="2"/>
  <c r="E5" i="2"/>
  <c r="E6" i="2"/>
  <c r="E7" i="2"/>
  <c r="E2" i="2"/>
  <c r="E3" i="1"/>
  <c r="E2" i="1"/>
  <c r="E7" i="1"/>
  <c r="E6" i="1"/>
  <c r="E5" i="1"/>
  <c r="E4" i="1"/>
</calcChain>
</file>

<file path=xl/sharedStrings.xml><?xml version="1.0" encoding="utf-8"?>
<sst xmlns="http://schemas.openxmlformats.org/spreadsheetml/2006/main" count="106" uniqueCount="47">
  <si>
    <t>MONTH_NAME</t>
  </si>
  <si>
    <t>AVG_MONTHLY_SALES</t>
  </si>
  <si>
    <t>August</t>
  </si>
  <si>
    <t>July</t>
  </si>
  <si>
    <t>June</t>
  </si>
  <si>
    <t>November</t>
  </si>
  <si>
    <t>October</t>
  </si>
  <si>
    <t>September</t>
  </si>
  <si>
    <t>TFT_PREDICTED_MONTHLY_SALES</t>
  </si>
  <si>
    <t>MONTH_NUM</t>
  </si>
  <si>
    <t>Model location</t>
  </si>
  <si>
    <t>C:\Users\G0004878\Desktop\TFT_Data\darts_logs</t>
  </si>
  <si>
    <t>Model parameters</t>
  </si>
  <si>
    <t>1. In this version - Model is being trained from Apr'23 to Nov'25 
2. Validation set is - Dec'25 to May'26 
3. Engineered features are being used</t>
  </si>
  <si>
    <t>Final numbers</t>
  </si>
  <si>
    <t>C:\Users\G0004878\Desktop\TFT_Data\6_month_horizon\Output_of_June_to_Nov_forecast.csv</t>
  </si>
  <si>
    <t>Month of sale</t>
  </si>
  <si>
    <t>Actual sales</t>
  </si>
  <si>
    <t>Name of month</t>
  </si>
  <si>
    <t xml:space="preserve">July </t>
  </si>
  <si>
    <t>Row Labels</t>
  </si>
  <si>
    <t>Grand Total</t>
  </si>
  <si>
    <t>Average of Actual sales</t>
  </si>
  <si>
    <t>LAST_YEAR_SALES</t>
  </si>
  <si>
    <t>TOTAL_MONTHLY_SALES_P10</t>
  </si>
  <si>
    <t>TOTAL_MONTHLY_SALES_P50</t>
  </si>
  <si>
    <t>TOTAL_MONTHLY_SALES_P90</t>
  </si>
  <si>
    <t>C:\Users\G0004878\Desktop\TFT_Data\6_month_horizon\darts_logs\tft_engineered_features_6_month_with_modifications_2026-06-15_16_27_54</t>
  </si>
  <si>
    <t>Raw forecast</t>
  </si>
  <si>
    <t>C:\Users\G0004878\Desktop\TFT_Data\6_month_horizon\Percentile_wise_output.csv</t>
  </si>
  <si>
    <t>Model is same as Iteration 3</t>
  </si>
  <si>
    <t>Model is same as Iteration 3 : The only difference is it is the mean prediction out of Iteration 3</t>
  </si>
  <si>
    <t>1. Train set : Apr'23 to May'25
2. Val set : June'24 to May'26
3. Lookback data : Feb'25 to May'26
4. Lookahead data : Feb'26 to Nov'26
5. Epochs increased from 100
6. Patience increased from 10 to 25
7. Loss updated from : MSELoss to QuantileLoss
8. Instead of point prediction, output yielded P10, P50, P90 forecasts
9. input_chunk_length increased from 12 to 16 
10. batch_size decreased from 512 to 128</t>
  </si>
  <si>
    <t>AVG_MONTHLY_SALES_OVER_LAST_4_YEARS</t>
  </si>
  <si>
    <t>PREDICTION_DEVIATION_FROM_AVERAGE</t>
  </si>
  <si>
    <t>PREDICTION_DEVIATION_FROM_LAST_YEAR</t>
  </si>
  <si>
    <t>P50_DEVIATION_FROM_AVERAGE_SALES</t>
  </si>
  <si>
    <t>P90_DEVIATION_FROM_AVERAGE_SALES</t>
  </si>
  <si>
    <t>P90_DEVIATON_FROM_LAST_MONTH_SALES</t>
  </si>
  <si>
    <t>P50_DEVIATON_FROM_LAST_YEAR_SALES</t>
  </si>
  <si>
    <t>DEVIATION_FROM_AVG_MONTHLY_SALES</t>
  </si>
  <si>
    <t>All configuratio parameters are same as Iteration 3. Only change is Loss function is Huber Loss</t>
  </si>
  <si>
    <t>C:\Users\G0004878\Desktop\TFT_Data\6_month_horizon\Huber loss\darts_logs\tft_engineered_features_6_month_horizon_with_modifications_huber_loss_2026-06-15_22_49_16</t>
  </si>
  <si>
    <t>C:\Users\G0004878\Desktop\TFT_Data\6_month_horizon\Huber loss\Final_output_Huber_Loss_June_to_November.csv</t>
  </si>
  <si>
    <t>TOTAL_PREDICTED_SALES</t>
  </si>
  <si>
    <t>DEVIATION_FROM_AVG_VALUE</t>
  </si>
  <si>
    <t>DEVIATION_FROM_LAST_YEAR_VALUE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</si>
</sst>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9" fontId="0" fillId="0" borderId="1" xfId="2" applyFont="1" applyBorder="1"/>
    <xf numFmtId="10" fontId="0" fillId="0" borderId="1" xfId="2" applyNumberFormat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7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/>
    <xf numFmtId="0" fontId="0" fillId="0" borderId="0" xfId="0" applyAlignment="1"/>
    <xf numFmtId="164" fontId="0" fillId="0" borderId="1" xfId="1" applyNumberFormat="1" applyFont="1" applyBorder="1"/>
    <xf numFmtId="0" fontId="2" fillId="2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SH SAXENA" refreshedDate="46189.694878587965" createdVersion="6" refreshedVersion="6" minRefreshableVersion="3" recordCount="24">
  <cacheSource type="worksheet">
    <worksheetSource ref="A1:D25" sheet="Actual sales over last 4 years"/>
  </cacheSource>
  <cacheFields count="4">
    <cacheField name="Month of sale" numFmtId="17">
      <sharedItems containsSemiMixedTypes="0" containsNonDate="0" containsDate="1" containsString="0" minDate="2022-06-01T00:00:00" maxDate="2025-11-02T00:00:00"/>
    </cacheField>
    <cacheField name="Actual sales" numFmtId="0">
      <sharedItems containsSemiMixedTypes="0" containsString="0" containsNumber="1" containsInteger="1" minValue="224866" maxValue="1451239"/>
    </cacheField>
    <cacheField name="Name of month" numFmtId="0">
      <sharedItems/>
    </cacheField>
    <cacheField name="MONTH_NUM" numFmtId="0">
      <sharedItems containsSemiMixedTypes="0" containsString="0" containsNumber="1" containsInteger="1" minValue="6" maxValue="11" count="6">
        <n v="6"/>
        <n v="7"/>
        <n v="8"/>
        <n v="9"/>
        <n v="10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d v="2022-06-01T00:00:00"/>
    <n v="323008"/>
    <s v="June"/>
    <x v="0"/>
  </r>
  <r>
    <d v="2022-07-01T00:00:00"/>
    <n v="252443"/>
    <s v="July "/>
    <x v="1"/>
  </r>
  <r>
    <d v="2022-08-01T00:00:00"/>
    <n v="257380"/>
    <s v="August"/>
    <x v="2"/>
  </r>
  <r>
    <d v="2022-09-01T00:00:00"/>
    <n v="240072"/>
    <s v="September"/>
    <x v="3"/>
  </r>
  <r>
    <d v="2022-10-01T00:00:00"/>
    <n v="836463"/>
    <s v="October"/>
    <x v="4"/>
  </r>
  <r>
    <d v="2022-11-01T00:00:00"/>
    <n v="242653"/>
    <s v="November"/>
    <x v="5"/>
  </r>
  <r>
    <d v="2023-06-01T00:00:00"/>
    <n v="431597"/>
    <s v="June"/>
    <x v="0"/>
  </r>
  <r>
    <d v="2023-07-01T00:00:00"/>
    <n v="368892"/>
    <s v="July "/>
    <x v="1"/>
  </r>
  <r>
    <d v="2023-08-01T00:00:00"/>
    <n v="407427"/>
    <s v="August"/>
    <x v="2"/>
  </r>
  <r>
    <d v="2023-09-01T00:00:00"/>
    <n v="364989"/>
    <s v="September"/>
    <x v="3"/>
  </r>
  <r>
    <d v="2023-10-01T00:00:00"/>
    <n v="587473"/>
    <s v="October"/>
    <x v="4"/>
  </r>
  <r>
    <d v="2023-11-01T00:00:00"/>
    <n v="1298116"/>
    <s v="November"/>
    <x v="5"/>
  </r>
  <r>
    <d v="2024-06-01T00:00:00"/>
    <n v="493721"/>
    <s v="June"/>
    <x v="0"/>
  </r>
  <r>
    <d v="2024-07-01T00:00:00"/>
    <n v="450570"/>
    <s v="July "/>
    <x v="1"/>
  </r>
  <r>
    <d v="2024-08-01T00:00:00"/>
    <n v="396068"/>
    <s v="August"/>
    <x v="2"/>
  </r>
  <r>
    <d v="2024-09-01T00:00:00"/>
    <n v="224866"/>
    <s v="September"/>
    <x v="3"/>
  </r>
  <r>
    <d v="2024-10-01T00:00:00"/>
    <n v="1451239"/>
    <s v="October"/>
    <x v="4"/>
  </r>
  <r>
    <d v="2024-11-01T00:00:00"/>
    <n v="760666"/>
    <s v="November"/>
    <x v="5"/>
  </r>
  <r>
    <d v="2025-06-01T00:00:00"/>
    <n v="381884"/>
    <s v="June"/>
    <x v="0"/>
  </r>
  <r>
    <d v="2025-07-01T00:00:00"/>
    <n v="306235"/>
    <s v="July "/>
    <x v="1"/>
  </r>
  <r>
    <d v="2025-08-01T00:00:00"/>
    <n v="304119"/>
    <s v="August"/>
    <x v="2"/>
  </r>
  <r>
    <d v="2025-09-01T00:00:00"/>
    <n v="358049"/>
    <s v="September"/>
    <x v="3"/>
  </r>
  <r>
    <d v="2025-10-01T00:00:00"/>
    <n v="1255219"/>
    <s v="October"/>
    <x v="4"/>
  </r>
  <r>
    <d v="2025-11-01T00:00:00"/>
    <n v="411370"/>
    <s v="November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4">
    <pivotField numFmtId="17"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 sales" fld="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B1" workbookViewId="0">
      <selection activeCell="E2" sqref="E2"/>
    </sheetView>
  </sheetViews>
  <sheetFormatPr defaultColWidth="8.54296875" defaultRowHeight="14.5" x14ac:dyDescent="0.35"/>
  <cols>
    <col min="1" max="1" width="12.7265625" hidden="1" customWidth="1"/>
    <col min="2" max="2" width="13.7265625" bestFit="1" customWidth="1"/>
    <col min="3" max="3" width="29.7265625" bestFit="1" customWidth="1"/>
    <col min="4" max="4" width="19.81640625" bestFit="1" customWidth="1"/>
    <col min="5" max="5" width="20.1796875" bestFit="1" customWidth="1"/>
    <col min="8" max="8" width="16.453125" style="5" bestFit="1" customWidth="1"/>
    <col min="9" max="9" width="82.7265625" bestFit="1" customWidth="1"/>
  </cols>
  <sheetData>
    <row r="1" spans="1:9" ht="15" thickBot="1" x14ac:dyDescent="0.4">
      <c r="A1" s="2" t="s">
        <v>9</v>
      </c>
      <c r="B1" s="2" t="s">
        <v>0</v>
      </c>
      <c r="C1" s="2" t="s">
        <v>8</v>
      </c>
      <c r="D1" s="2" t="s">
        <v>1</v>
      </c>
      <c r="E1" s="2" t="s">
        <v>40</v>
      </c>
      <c r="H1" s="7" t="s">
        <v>10</v>
      </c>
      <c r="I1" s="1" t="s">
        <v>11</v>
      </c>
    </row>
    <row r="2" spans="1:9" ht="44" thickBot="1" x14ac:dyDescent="0.4">
      <c r="A2" s="1">
        <v>6</v>
      </c>
      <c r="B2" s="9" t="s">
        <v>4</v>
      </c>
      <c r="C2" s="9">
        <v>386790.75</v>
      </c>
      <c r="D2" s="9">
        <v>444836</v>
      </c>
      <c r="E2" s="10">
        <f t="shared" ref="E2:E7" si="0">(C2-D2)/D2</f>
        <v>-0.13048685358199427</v>
      </c>
      <c r="H2" s="7" t="s">
        <v>12</v>
      </c>
      <c r="I2" s="6" t="s">
        <v>13</v>
      </c>
    </row>
    <row r="3" spans="1:9" ht="15" thickBot="1" x14ac:dyDescent="0.4">
      <c r="A3" s="1">
        <v>7</v>
      </c>
      <c r="B3" s="1" t="s">
        <v>3</v>
      </c>
      <c r="C3" s="1">
        <v>350689.28000000003</v>
      </c>
      <c r="D3" s="1">
        <v>375676.75</v>
      </c>
      <c r="E3" s="4">
        <f t="shared" si="0"/>
        <v>-6.6513219143851651E-2</v>
      </c>
      <c r="H3" s="7" t="s">
        <v>14</v>
      </c>
      <c r="I3" s="1" t="s">
        <v>15</v>
      </c>
    </row>
    <row r="4" spans="1:9" ht="15" thickBot="1" x14ac:dyDescent="0.4">
      <c r="A4" s="1">
        <v>8</v>
      </c>
      <c r="B4" s="1" t="s">
        <v>2</v>
      </c>
      <c r="C4" s="1">
        <v>335238.94</v>
      </c>
      <c r="D4" s="1">
        <v>373306.5</v>
      </c>
      <c r="E4" s="4">
        <f t="shared" si="0"/>
        <v>-0.10197400795325021</v>
      </c>
    </row>
    <row r="5" spans="1:9" ht="15" thickBot="1" x14ac:dyDescent="0.4">
      <c r="A5" s="1">
        <v>9</v>
      </c>
      <c r="B5" s="1" t="s">
        <v>7</v>
      </c>
      <c r="C5" s="1">
        <v>316078.56</v>
      </c>
      <c r="D5" s="1">
        <v>327632</v>
      </c>
      <c r="E5" s="4">
        <f t="shared" si="0"/>
        <v>-3.5263466328075407E-2</v>
      </c>
    </row>
    <row r="6" spans="1:9" ht="15" thickBot="1" x14ac:dyDescent="0.4">
      <c r="A6" s="1">
        <v>10</v>
      </c>
      <c r="B6" s="1" t="s">
        <v>6</v>
      </c>
      <c r="C6" s="1">
        <v>635328.18999999994</v>
      </c>
      <c r="D6" s="8">
        <v>1121534.25</v>
      </c>
      <c r="E6" s="4">
        <f t="shared" si="0"/>
        <v>-0.43351869102526297</v>
      </c>
    </row>
    <row r="7" spans="1:9" ht="15" thickBot="1" x14ac:dyDescent="0.4">
      <c r="A7" s="1">
        <v>11</v>
      </c>
      <c r="B7" s="1" t="s">
        <v>5</v>
      </c>
      <c r="C7" s="1">
        <v>596278.99</v>
      </c>
      <c r="D7" s="1">
        <v>720126.75</v>
      </c>
      <c r="E7" s="4">
        <f t="shared" si="0"/>
        <v>-0.17198050204356388</v>
      </c>
    </row>
  </sheetData>
  <sortState ref="A2:E7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2" sqref="F2:F7"/>
    </sheetView>
  </sheetViews>
  <sheetFormatPr defaultColWidth="8.6328125" defaultRowHeight="14.5" x14ac:dyDescent="0.35"/>
  <cols>
    <col min="1" max="1" width="13.7265625" bestFit="1" customWidth="1"/>
    <col min="2" max="2" width="13.26953125" customWidth="1"/>
    <col min="3" max="3" width="17.453125" customWidth="1"/>
    <col min="4" max="4" width="19.90625" customWidth="1"/>
    <col min="5" max="5" width="17.90625" customWidth="1"/>
    <col min="6" max="6" width="18.08984375" customWidth="1"/>
  </cols>
  <sheetData>
    <row r="1" spans="1:6" ht="15" thickBot="1" x14ac:dyDescent="0.4">
      <c r="A1" s="2" t="s">
        <v>0</v>
      </c>
      <c r="B1" s="2" t="s">
        <v>8</v>
      </c>
      <c r="C1" s="2" t="s">
        <v>33</v>
      </c>
      <c r="D1" s="2" t="s">
        <v>23</v>
      </c>
      <c r="E1" s="18" t="s">
        <v>34</v>
      </c>
      <c r="F1" s="18" t="s">
        <v>35</v>
      </c>
    </row>
    <row r="2" spans="1:6" ht="15" thickBot="1" x14ac:dyDescent="0.4">
      <c r="A2" s="9" t="s">
        <v>4</v>
      </c>
      <c r="B2" s="17">
        <v>416260</v>
      </c>
      <c r="C2" s="17">
        <v>444836</v>
      </c>
      <c r="D2" s="17">
        <v>401428</v>
      </c>
      <c r="E2" s="4">
        <f>(B2-C2)/C2</f>
        <v>-6.423940508412089E-2</v>
      </c>
      <c r="F2" s="4">
        <f>(B2-D2)/D2</f>
        <v>3.6948095299779785E-2</v>
      </c>
    </row>
    <row r="3" spans="1:6" ht="15" thickBot="1" x14ac:dyDescent="0.4">
      <c r="A3" s="1" t="s">
        <v>3</v>
      </c>
      <c r="B3" s="17">
        <v>335549</v>
      </c>
      <c r="C3" s="17">
        <v>375676.75</v>
      </c>
      <c r="D3" s="17">
        <v>328748</v>
      </c>
      <c r="E3" s="4">
        <f t="shared" ref="E3:E7" si="0">(B3-C3)/C3</f>
        <v>-0.10681456864179112</v>
      </c>
      <c r="F3" s="4">
        <f t="shared" ref="F3:F7" si="1">(B3-D3)/D3</f>
        <v>2.0687578327472714E-2</v>
      </c>
    </row>
    <row r="4" spans="1:6" ht="15" thickBot="1" x14ac:dyDescent="0.4">
      <c r="A4" s="1" t="s">
        <v>2</v>
      </c>
      <c r="B4" s="17">
        <v>294277.58</v>
      </c>
      <c r="C4" s="17">
        <v>373306.5</v>
      </c>
      <c r="D4" s="17">
        <v>331076</v>
      </c>
      <c r="E4" s="4">
        <f t="shared" si="0"/>
        <v>-0.2116998230676401</v>
      </c>
      <c r="F4" s="4">
        <f t="shared" si="1"/>
        <v>-0.11114795394410946</v>
      </c>
    </row>
    <row r="5" spans="1:6" ht="15" thickBot="1" x14ac:dyDescent="0.4">
      <c r="A5" s="1" t="s">
        <v>7</v>
      </c>
      <c r="B5" s="17">
        <v>264781.59000000003</v>
      </c>
      <c r="C5" s="17">
        <v>327632</v>
      </c>
      <c r="D5" s="17">
        <v>395829</v>
      </c>
      <c r="E5" s="4">
        <f t="shared" si="0"/>
        <v>-0.19183233017531856</v>
      </c>
      <c r="F5" s="4">
        <f t="shared" si="1"/>
        <v>-0.33107076540627384</v>
      </c>
    </row>
    <row r="6" spans="1:6" ht="15" thickBot="1" x14ac:dyDescent="0.4">
      <c r="A6" s="1" t="s">
        <v>6</v>
      </c>
      <c r="B6" s="17">
        <v>1234498.6299999999</v>
      </c>
      <c r="C6" s="17">
        <v>1121534.25</v>
      </c>
      <c r="D6" s="17">
        <v>1353626</v>
      </c>
      <c r="E6" s="4">
        <f t="shared" si="0"/>
        <v>0.10072307644639465</v>
      </c>
      <c r="F6" s="4">
        <f t="shared" si="1"/>
        <v>-8.8006118381295947E-2</v>
      </c>
    </row>
    <row r="7" spans="1:6" ht="15" thickBot="1" x14ac:dyDescent="0.4">
      <c r="A7" s="1" t="s">
        <v>5</v>
      </c>
      <c r="B7" s="17">
        <v>852511.24</v>
      </c>
      <c r="C7" s="17">
        <v>720126.75</v>
      </c>
      <c r="D7" s="17">
        <v>454356</v>
      </c>
      <c r="E7" s="4">
        <f t="shared" si="0"/>
        <v>0.18383498460514067</v>
      </c>
      <c r="F7" s="4">
        <f t="shared" si="1"/>
        <v>0.87630677266284585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82.7265625" bestFit="1" customWidth="1"/>
  </cols>
  <sheetData>
    <row r="1" spans="1:2" ht="14.5" customHeight="1" thickBot="1" x14ac:dyDescent="0.4">
      <c r="A1" s="7" t="s">
        <v>10</v>
      </c>
      <c r="B1" s="15" t="s">
        <v>30</v>
      </c>
    </row>
    <row r="2" spans="1:2" ht="15" thickBot="1" x14ac:dyDescent="0.4">
      <c r="A2" s="7" t="s">
        <v>12</v>
      </c>
      <c r="B2" s="15" t="s">
        <v>31</v>
      </c>
    </row>
    <row r="3" spans="1:2" ht="15" thickBot="1" x14ac:dyDescent="0.4">
      <c r="A3" s="7" t="s">
        <v>28</v>
      </c>
      <c r="B3" s="1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G2" sqref="G2"/>
    </sheetView>
  </sheetViews>
  <sheetFormatPr defaultColWidth="8.81640625" defaultRowHeight="14.5" x14ac:dyDescent="0.35"/>
  <cols>
    <col min="1" max="1" width="13.7265625" bestFit="1" customWidth="1"/>
    <col min="2" max="2" width="25.81640625" customWidth="1"/>
    <col min="3" max="3" width="25.81640625" bestFit="1" customWidth="1"/>
    <col min="4" max="4" width="25.81640625" customWidth="1"/>
    <col min="5" max="5" width="16.7265625" customWidth="1"/>
    <col min="6" max="6" width="15.90625" bestFit="1" customWidth="1"/>
    <col min="7" max="7" width="6.54296875" customWidth="1"/>
    <col min="8" max="8" width="10.54296875" customWidth="1"/>
    <col min="9" max="9" width="14.36328125" customWidth="1"/>
    <col min="10" max="10" width="23.54296875" customWidth="1"/>
  </cols>
  <sheetData>
    <row r="1" spans="1:10" ht="15" thickBot="1" x14ac:dyDescent="0.4">
      <c r="A1" s="2" t="s">
        <v>0</v>
      </c>
      <c r="B1" s="2" t="s">
        <v>24</v>
      </c>
      <c r="C1" s="2" t="s">
        <v>25</v>
      </c>
      <c r="D1" s="2" t="s">
        <v>26</v>
      </c>
      <c r="E1" s="2" t="s">
        <v>33</v>
      </c>
      <c r="F1" s="2" t="s">
        <v>23</v>
      </c>
      <c r="G1" s="2" t="s">
        <v>36</v>
      </c>
      <c r="H1" s="2" t="s">
        <v>39</v>
      </c>
      <c r="I1" s="2" t="s">
        <v>37</v>
      </c>
      <c r="J1" s="2" t="s">
        <v>38</v>
      </c>
    </row>
    <row r="2" spans="1:10" ht="15" thickBot="1" x14ac:dyDescent="0.4">
      <c r="A2" s="1" t="s">
        <v>4</v>
      </c>
      <c r="B2" s="17">
        <v>131204.63</v>
      </c>
      <c r="C2" s="17">
        <v>350815.9</v>
      </c>
      <c r="D2" s="17">
        <v>787673.46</v>
      </c>
      <c r="E2" s="17">
        <v>407552.5</v>
      </c>
      <c r="F2" s="17">
        <v>381884</v>
      </c>
      <c r="G2" s="3">
        <f>(C2-E2)/E2</f>
        <v>-0.13921298483017519</v>
      </c>
      <c r="H2" s="3">
        <f>(C2-F2)/F2</f>
        <v>-8.1354809313822982E-2</v>
      </c>
      <c r="I2" s="3">
        <f>(D2-E2)/E2</f>
        <v>0.93269200900497473</v>
      </c>
      <c r="J2" s="3">
        <f>(D2-F2)/F2</f>
        <v>1.062598747263567</v>
      </c>
    </row>
    <row r="3" spans="1:10" ht="15" thickBot="1" x14ac:dyDescent="0.4">
      <c r="A3" s="1" t="s">
        <v>3</v>
      </c>
      <c r="B3" s="17">
        <v>102561.08</v>
      </c>
      <c r="C3" s="17">
        <v>287514.03000000003</v>
      </c>
      <c r="D3" s="17">
        <v>636907.5</v>
      </c>
      <c r="E3" s="17">
        <v>344535</v>
      </c>
      <c r="F3" s="17">
        <v>306235</v>
      </c>
      <c r="G3" s="3">
        <f t="shared" ref="G3:G7" si="0">(C3-E3)/E3</f>
        <v>-0.16550124080282111</v>
      </c>
      <c r="H3" s="3">
        <f t="shared" ref="H3:H7" si="1">(C3-F3)/F3</f>
        <v>-6.1132692213496077E-2</v>
      </c>
      <c r="I3" s="3">
        <f t="shared" ref="I3:I7" si="2">(D3-E3)/E3</f>
        <v>0.84860028734381121</v>
      </c>
      <c r="J3" s="3">
        <f t="shared" ref="J3:J7" si="3">(D3-F3)/F3</f>
        <v>1.0797998269302986</v>
      </c>
    </row>
    <row r="4" spans="1:10" ht="15" thickBot="1" x14ac:dyDescent="0.4">
      <c r="A4" s="1" t="s">
        <v>2</v>
      </c>
      <c r="B4" s="17">
        <v>82101.070000000007</v>
      </c>
      <c r="C4" s="17">
        <v>247342.42</v>
      </c>
      <c r="D4" s="17">
        <v>571675.73</v>
      </c>
      <c r="E4" s="17">
        <v>341248.5</v>
      </c>
      <c r="F4" s="17">
        <v>304119</v>
      </c>
      <c r="G4" s="3">
        <f t="shared" si="0"/>
        <v>-0.27518386161404368</v>
      </c>
      <c r="H4" s="3">
        <f t="shared" si="1"/>
        <v>-0.18669198570296491</v>
      </c>
      <c r="I4" s="3">
        <f t="shared" si="2"/>
        <v>0.67524759815794055</v>
      </c>
      <c r="J4" s="3">
        <f t="shared" si="3"/>
        <v>0.87977643619767254</v>
      </c>
    </row>
    <row r="5" spans="1:10" ht="15" thickBot="1" x14ac:dyDescent="0.4">
      <c r="A5" s="1" t="s">
        <v>7</v>
      </c>
      <c r="B5" s="17">
        <v>79906.649999999994</v>
      </c>
      <c r="C5" s="17">
        <v>215034.39</v>
      </c>
      <c r="D5" s="17">
        <v>515230.48</v>
      </c>
      <c r="E5" s="17">
        <v>296994</v>
      </c>
      <c r="F5" s="17">
        <v>358049</v>
      </c>
      <c r="G5" s="3">
        <f t="shared" si="0"/>
        <v>-0.2759638578557142</v>
      </c>
      <c r="H5" s="3">
        <f t="shared" si="1"/>
        <v>-0.39942748059623118</v>
      </c>
      <c r="I5" s="3">
        <f t="shared" si="2"/>
        <v>0.73481780776716021</v>
      </c>
      <c r="J5" s="3">
        <f t="shared" si="3"/>
        <v>0.43899432759203344</v>
      </c>
    </row>
    <row r="6" spans="1:10" ht="15" thickBot="1" x14ac:dyDescent="0.4">
      <c r="A6" s="1" t="s">
        <v>6</v>
      </c>
      <c r="B6" s="17">
        <v>538560.4</v>
      </c>
      <c r="C6" s="17">
        <v>1303352.69</v>
      </c>
      <c r="D6" s="17">
        <v>1832653.55</v>
      </c>
      <c r="E6" s="17">
        <v>1032598.5</v>
      </c>
      <c r="F6" s="17">
        <v>1255219</v>
      </c>
      <c r="G6" s="3">
        <f t="shared" si="0"/>
        <v>0.26220664662983717</v>
      </c>
      <c r="H6" s="3">
        <f t="shared" si="1"/>
        <v>3.8346846247547195E-2</v>
      </c>
      <c r="I6" s="3">
        <f t="shared" si="2"/>
        <v>0.77479780379305219</v>
      </c>
      <c r="J6" s="3">
        <f t="shared" si="3"/>
        <v>0.46002693553873869</v>
      </c>
    </row>
    <row r="7" spans="1:10" ht="15" thickBot="1" x14ac:dyDescent="0.4">
      <c r="A7" s="1" t="s">
        <v>5</v>
      </c>
      <c r="B7" s="17">
        <v>209857.03</v>
      </c>
      <c r="C7" s="17">
        <v>724978.81</v>
      </c>
      <c r="D7" s="17">
        <v>1646160.12</v>
      </c>
      <c r="E7" s="17">
        <v>678201.25</v>
      </c>
      <c r="F7" s="17">
        <v>411370</v>
      </c>
      <c r="G7" s="3">
        <f t="shared" si="0"/>
        <v>6.8972978153608616E-2</v>
      </c>
      <c r="H7" s="3">
        <f t="shared" si="1"/>
        <v>0.76235216471789402</v>
      </c>
      <c r="I7" s="3">
        <f t="shared" si="2"/>
        <v>1.4272443024839605</v>
      </c>
      <c r="J7" s="3">
        <f t="shared" si="3"/>
        <v>3.0016533048107545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RowHeight="14.5" x14ac:dyDescent="0.35"/>
  <cols>
    <col min="1" max="1" width="16.453125" style="16" bestFit="1" customWidth="1"/>
    <col min="2" max="2" width="126.6328125" style="16" customWidth="1"/>
    <col min="3" max="16384" width="8.7265625" style="16"/>
  </cols>
  <sheetData>
    <row r="1" spans="1:2" ht="15" thickBot="1" x14ac:dyDescent="0.4">
      <c r="A1" s="7" t="s">
        <v>10</v>
      </c>
      <c r="B1" s="15" t="s">
        <v>27</v>
      </c>
    </row>
    <row r="2" spans="1:2" ht="145.5" thickBot="1" x14ac:dyDescent="0.4">
      <c r="A2" s="7" t="s">
        <v>12</v>
      </c>
      <c r="B2" s="6" t="s">
        <v>32</v>
      </c>
    </row>
    <row r="3" spans="1:2" ht="15" thickBot="1" x14ac:dyDescent="0.4">
      <c r="A3" s="7" t="s">
        <v>28</v>
      </c>
      <c r="B3" s="1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" sqref="C1:D7"/>
    </sheetView>
  </sheetViews>
  <sheetFormatPr defaultRowHeight="14.5" x14ac:dyDescent="0.35"/>
  <cols>
    <col min="1" max="1" width="13.7265625" bestFit="1" customWidth="1"/>
    <col min="2" max="2" width="22.54296875" bestFit="1" customWidth="1"/>
    <col min="3" max="3" width="14.453125" customWidth="1"/>
    <col min="4" max="4" width="15.90625" bestFit="1" customWidth="1"/>
    <col min="5" max="5" width="27.7265625" bestFit="1" customWidth="1"/>
    <col min="6" max="6" width="15.1796875" customWidth="1"/>
  </cols>
  <sheetData>
    <row r="1" spans="1:6" ht="15" thickBot="1" x14ac:dyDescent="0.4">
      <c r="A1" s="2" t="s">
        <v>0</v>
      </c>
      <c r="B1" s="2" t="s">
        <v>44</v>
      </c>
      <c r="C1" s="2" t="s">
        <v>33</v>
      </c>
      <c r="D1" s="2" t="s">
        <v>23</v>
      </c>
      <c r="E1" s="18" t="s">
        <v>45</v>
      </c>
      <c r="F1" s="18" t="s">
        <v>46</v>
      </c>
    </row>
    <row r="2" spans="1:6" ht="15" thickBot="1" x14ac:dyDescent="0.4">
      <c r="A2" s="1" t="s">
        <v>4</v>
      </c>
      <c r="B2" s="17">
        <v>507212.74</v>
      </c>
      <c r="C2" s="17">
        <v>407552.5</v>
      </c>
      <c r="D2" s="17">
        <v>381884</v>
      </c>
      <c r="E2" s="4">
        <f>(B2-C2)/C2</f>
        <v>0.24453350181878405</v>
      </c>
      <c r="F2" s="4">
        <f>(B2-D2)/D2</f>
        <v>0.3281853651894292</v>
      </c>
    </row>
    <row r="3" spans="1:6" ht="15" thickBot="1" x14ac:dyDescent="0.4">
      <c r="A3" s="1" t="s">
        <v>3</v>
      </c>
      <c r="B3" s="17">
        <v>404020.1</v>
      </c>
      <c r="C3" s="17">
        <v>344535</v>
      </c>
      <c r="D3" s="17">
        <v>306235</v>
      </c>
      <c r="E3" s="4">
        <f t="shared" ref="E3:E7" si="0">(B3-C3)/C3</f>
        <v>0.17265328631343688</v>
      </c>
      <c r="F3" s="4">
        <f t="shared" ref="F3:F7" si="1">(B3-D3)/D3</f>
        <v>0.31931392558002836</v>
      </c>
    </row>
    <row r="4" spans="1:6" ht="15" thickBot="1" x14ac:dyDescent="0.4">
      <c r="A4" s="1" t="s">
        <v>2</v>
      </c>
      <c r="B4" s="17">
        <v>368491.51</v>
      </c>
      <c r="C4" s="17">
        <v>341248.5</v>
      </c>
      <c r="D4" s="17">
        <v>304119</v>
      </c>
      <c r="E4" s="4">
        <f t="shared" si="0"/>
        <v>7.9833347252808468E-2</v>
      </c>
      <c r="F4" s="4">
        <f t="shared" si="1"/>
        <v>0.21166882042884533</v>
      </c>
    </row>
    <row r="5" spans="1:6" ht="15" thickBot="1" x14ac:dyDescent="0.4">
      <c r="A5" s="1" t="s">
        <v>7</v>
      </c>
      <c r="B5" s="17">
        <v>338404.08</v>
      </c>
      <c r="C5" s="17">
        <v>296994</v>
      </c>
      <c r="D5" s="17">
        <v>358049</v>
      </c>
      <c r="E5" s="4">
        <f t="shared" si="0"/>
        <v>0.13943069556960752</v>
      </c>
      <c r="F5" s="4">
        <f t="shared" si="1"/>
        <v>-5.4866568542294443E-2</v>
      </c>
    </row>
    <row r="6" spans="1:6" ht="15" thickBot="1" x14ac:dyDescent="0.4">
      <c r="A6" s="1" t="s">
        <v>6</v>
      </c>
      <c r="B6" s="17">
        <v>1283292.08</v>
      </c>
      <c r="C6" s="17">
        <v>1032598.5</v>
      </c>
      <c r="D6" s="17">
        <v>1255219</v>
      </c>
      <c r="E6" s="4">
        <f t="shared" si="0"/>
        <v>0.24277933775809288</v>
      </c>
      <c r="F6" s="4">
        <f t="shared" si="1"/>
        <v>2.2365085295872732E-2</v>
      </c>
    </row>
    <row r="7" spans="1:6" ht="15" thickBot="1" x14ac:dyDescent="0.4">
      <c r="A7" s="1" t="s">
        <v>5</v>
      </c>
      <c r="B7" s="17">
        <v>671600.19</v>
      </c>
      <c r="C7" s="17">
        <v>678201.25</v>
      </c>
      <c r="D7" s="17">
        <v>411370</v>
      </c>
      <c r="E7" s="4">
        <f t="shared" si="0"/>
        <v>-9.7331876047118109E-3</v>
      </c>
      <c r="F7" s="4">
        <f t="shared" si="1"/>
        <v>0.63259399081119172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5" x14ac:dyDescent="0.35"/>
  <cols>
    <col min="1" max="1" width="16.453125" style="16" bestFit="1" customWidth="1"/>
    <col min="2" max="2" width="126.6328125" style="16" customWidth="1"/>
    <col min="3" max="16384" width="8.7265625" style="16"/>
  </cols>
  <sheetData>
    <row r="1" spans="1:2" ht="15" thickBot="1" x14ac:dyDescent="0.4">
      <c r="A1" s="7" t="s">
        <v>10</v>
      </c>
      <c r="B1" s="15" t="s">
        <v>42</v>
      </c>
    </row>
    <row r="2" spans="1:2" ht="15" thickBot="1" x14ac:dyDescent="0.4">
      <c r="A2" s="7" t="s">
        <v>12</v>
      </c>
      <c r="B2" s="6" t="s">
        <v>41</v>
      </c>
    </row>
    <row r="3" spans="1:2" ht="15" thickBot="1" x14ac:dyDescent="0.4">
      <c r="A3" s="7" t="s">
        <v>28</v>
      </c>
      <c r="B3" s="15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4" sqref="B4:B9"/>
    </sheetView>
  </sheetViews>
  <sheetFormatPr defaultRowHeight="14.5" x14ac:dyDescent="0.35"/>
  <cols>
    <col min="1" max="1" width="12.36328125" bestFit="1" customWidth="1"/>
    <col min="2" max="2" width="20.1796875" bestFit="1" customWidth="1"/>
  </cols>
  <sheetData>
    <row r="3" spans="1:2" x14ac:dyDescent="0.35">
      <c r="A3" s="12" t="s">
        <v>20</v>
      </c>
      <c r="B3" t="s">
        <v>22</v>
      </c>
    </row>
    <row r="4" spans="1:2" x14ac:dyDescent="0.35">
      <c r="A4" s="13">
        <v>6</v>
      </c>
      <c r="B4" s="14">
        <v>407552.5</v>
      </c>
    </row>
    <row r="5" spans="1:2" x14ac:dyDescent="0.35">
      <c r="A5" s="13">
        <v>7</v>
      </c>
      <c r="B5" s="14">
        <v>344535</v>
      </c>
    </row>
    <row r="6" spans="1:2" x14ac:dyDescent="0.35">
      <c r="A6" s="13">
        <v>8</v>
      </c>
      <c r="B6" s="14">
        <v>341248.5</v>
      </c>
    </row>
    <row r="7" spans="1:2" x14ac:dyDescent="0.35">
      <c r="A7" s="13">
        <v>9</v>
      </c>
      <c r="B7" s="14">
        <v>296994</v>
      </c>
    </row>
    <row r="8" spans="1:2" x14ac:dyDescent="0.35">
      <c r="A8" s="13">
        <v>10</v>
      </c>
      <c r="B8" s="14">
        <v>1032598.5</v>
      </c>
    </row>
    <row r="9" spans="1:2" x14ac:dyDescent="0.35">
      <c r="A9" s="13">
        <v>11</v>
      </c>
      <c r="B9" s="14">
        <v>678201.25</v>
      </c>
    </row>
    <row r="10" spans="1:2" x14ac:dyDescent="0.35">
      <c r="A10" s="13" t="s">
        <v>21</v>
      </c>
      <c r="B10" s="14">
        <v>516854.95833333331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"/>
  <sheetViews>
    <sheetView workbookViewId="0">
      <selection activeCell="B20" sqref="B20:B25"/>
    </sheetView>
  </sheetViews>
  <sheetFormatPr defaultRowHeight="14.5" x14ac:dyDescent="0.35"/>
  <cols>
    <col min="1" max="1" width="12.453125" bestFit="1" customWidth="1"/>
    <col min="2" max="2" width="10.6328125" bestFit="1" customWidth="1"/>
    <col min="3" max="3" width="14.08984375" bestFit="1" customWidth="1"/>
    <col min="4" max="4" width="12.7265625" bestFit="1" customWidth="1"/>
  </cols>
  <sheetData>
    <row r="1" spans="1:4" ht="15" thickBot="1" x14ac:dyDescent="0.4">
      <c r="A1" s="2" t="s">
        <v>16</v>
      </c>
      <c r="B1" s="2" t="s">
        <v>17</v>
      </c>
      <c r="C1" s="2" t="s">
        <v>18</v>
      </c>
      <c r="D1" s="2" t="s">
        <v>9</v>
      </c>
    </row>
    <row r="2" spans="1:4" ht="15" hidden="1" thickBot="1" x14ac:dyDescent="0.4">
      <c r="A2" s="11">
        <v>44713</v>
      </c>
      <c r="B2" s="1">
        <v>323008</v>
      </c>
      <c r="C2" s="1" t="s">
        <v>4</v>
      </c>
      <c r="D2" s="1">
        <v>6</v>
      </c>
    </row>
    <row r="3" spans="1:4" ht="15" hidden="1" thickBot="1" x14ac:dyDescent="0.4">
      <c r="A3" s="11">
        <v>44743</v>
      </c>
      <c r="B3" s="1">
        <v>252443</v>
      </c>
      <c r="C3" s="1" t="s">
        <v>19</v>
      </c>
      <c r="D3" s="1">
        <v>7</v>
      </c>
    </row>
    <row r="4" spans="1:4" ht="15" hidden="1" thickBot="1" x14ac:dyDescent="0.4">
      <c r="A4" s="11">
        <v>44774</v>
      </c>
      <c r="B4" s="1">
        <v>257380</v>
      </c>
      <c r="C4" s="1" t="s">
        <v>2</v>
      </c>
      <c r="D4" s="1">
        <v>8</v>
      </c>
    </row>
    <row r="5" spans="1:4" ht="15" hidden="1" thickBot="1" x14ac:dyDescent="0.4">
      <c r="A5" s="11">
        <v>44805</v>
      </c>
      <c r="B5" s="1">
        <v>240072</v>
      </c>
      <c r="C5" s="1" t="s">
        <v>7</v>
      </c>
      <c r="D5" s="1">
        <v>9</v>
      </c>
    </row>
    <row r="6" spans="1:4" ht="15" hidden="1" thickBot="1" x14ac:dyDescent="0.4">
      <c r="A6" s="11">
        <v>44835</v>
      </c>
      <c r="B6" s="1">
        <v>836463</v>
      </c>
      <c r="C6" s="1" t="s">
        <v>6</v>
      </c>
      <c r="D6" s="1">
        <v>10</v>
      </c>
    </row>
    <row r="7" spans="1:4" ht="15" hidden="1" thickBot="1" x14ac:dyDescent="0.4">
      <c r="A7" s="11">
        <v>44866</v>
      </c>
      <c r="B7" s="1">
        <v>242653</v>
      </c>
      <c r="C7" s="1" t="s">
        <v>5</v>
      </c>
      <c r="D7" s="1">
        <v>11</v>
      </c>
    </row>
    <row r="8" spans="1:4" ht="15" hidden="1" thickBot="1" x14ac:dyDescent="0.4">
      <c r="A8" s="11">
        <v>45078</v>
      </c>
      <c r="B8" s="1">
        <v>431597</v>
      </c>
      <c r="C8" s="1" t="s">
        <v>4</v>
      </c>
      <c r="D8" s="1">
        <v>6</v>
      </c>
    </row>
    <row r="9" spans="1:4" ht="15" hidden="1" thickBot="1" x14ac:dyDescent="0.4">
      <c r="A9" s="11">
        <v>45108</v>
      </c>
      <c r="B9" s="1">
        <v>368892</v>
      </c>
      <c r="C9" s="1" t="s">
        <v>19</v>
      </c>
      <c r="D9" s="1">
        <v>7</v>
      </c>
    </row>
    <row r="10" spans="1:4" ht="15" hidden="1" thickBot="1" x14ac:dyDescent="0.4">
      <c r="A10" s="11">
        <v>45139</v>
      </c>
      <c r="B10" s="1">
        <v>407427</v>
      </c>
      <c r="C10" s="1" t="s">
        <v>2</v>
      </c>
      <c r="D10" s="1">
        <v>8</v>
      </c>
    </row>
    <row r="11" spans="1:4" ht="15" hidden="1" thickBot="1" x14ac:dyDescent="0.4">
      <c r="A11" s="11">
        <v>45170</v>
      </c>
      <c r="B11" s="1">
        <v>364989</v>
      </c>
      <c r="C11" s="1" t="s">
        <v>7</v>
      </c>
      <c r="D11" s="1">
        <v>9</v>
      </c>
    </row>
    <row r="12" spans="1:4" ht="15" hidden="1" thickBot="1" x14ac:dyDescent="0.4">
      <c r="A12" s="11">
        <v>45200</v>
      </c>
      <c r="B12" s="1">
        <v>587473</v>
      </c>
      <c r="C12" s="1" t="s">
        <v>6</v>
      </c>
      <c r="D12" s="1">
        <v>10</v>
      </c>
    </row>
    <row r="13" spans="1:4" ht="15" hidden="1" thickBot="1" x14ac:dyDescent="0.4">
      <c r="A13" s="11">
        <v>45231</v>
      </c>
      <c r="B13" s="1">
        <v>1298116</v>
      </c>
      <c r="C13" s="1" t="s">
        <v>5</v>
      </c>
      <c r="D13" s="1">
        <v>11</v>
      </c>
    </row>
    <row r="14" spans="1:4" ht="15" hidden="1" thickBot="1" x14ac:dyDescent="0.4">
      <c r="A14" s="11">
        <v>45444</v>
      </c>
      <c r="B14" s="1">
        <v>493721</v>
      </c>
      <c r="C14" s="1" t="s">
        <v>4</v>
      </c>
      <c r="D14" s="1">
        <v>6</v>
      </c>
    </row>
    <row r="15" spans="1:4" ht="15" hidden="1" thickBot="1" x14ac:dyDescent="0.4">
      <c r="A15" s="11">
        <v>45474</v>
      </c>
      <c r="B15" s="1">
        <v>450570</v>
      </c>
      <c r="C15" s="1" t="s">
        <v>19</v>
      </c>
      <c r="D15" s="1">
        <v>7</v>
      </c>
    </row>
    <row r="16" spans="1:4" ht="15" hidden="1" thickBot="1" x14ac:dyDescent="0.4">
      <c r="A16" s="11">
        <v>45505</v>
      </c>
      <c r="B16" s="1">
        <v>396068</v>
      </c>
      <c r="C16" s="1" t="s">
        <v>2</v>
      </c>
      <c r="D16" s="1">
        <v>8</v>
      </c>
    </row>
    <row r="17" spans="1:4" ht="15" hidden="1" thickBot="1" x14ac:dyDescent="0.4">
      <c r="A17" s="11">
        <v>45536</v>
      </c>
      <c r="B17" s="1">
        <v>224866</v>
      </c>
      <c r="C17" s="1" t="s">
        <v>7</v>
      </c>
      <c r="D17" s="1">
        <v>9</v>
      </c>
    </row>
    <row r="18" spans="1:4" ht="15" hidden="1" thickBot="1" x14ac:dyDescent="0.4">
      <c r="A18" s="11">
        <v>45566</v>
      </c>
      <c r="B18" s="1">
        <v>1451239</v>
      </c>
      <c r="C18" s="1" t="s">
        <v>6</v>
      </c>
      <c r="D18" s="1">
        <v>10</v>
      </c>
    </row>
    <row r="19" spans="1:4" ht="15" hidden="1" thickBot="1" x14ac:dyDescent="0.4">
      <c r="A19" s="11">
        <v>45597</v>
      </c>
      <c r="B19" s="1">
        <v>760666</v>
      </c>
      <c r="C19" s="1" t="s">
        <v>5</v>
      </c>
      <c r="D19" s="1">
        <v>11</v>
      </c>
    </row>
    <row r="20" spans="1:4" ht="15" thickBot="1" x14ac:dyDescent="0.4">
      <c r="A20" s="11">
        <v>45809</v>
      </c>
      <c r="B20" s="1">
        <v>381884</v>
      </c>
      <c r="C20" s="1" t="s">
        <v>4</v>
      </c>
      <c r="D20" s="1">
        <v>6</v>
      </c>
    </row>
    <row r="21" spans="1:4" ht="15" thickBot="1" x14ac:dyDescent="0.4">
      <c r="A21" s="11">
        <v>45839</v>
      </c>
      <c r="B21" s="1">
        <v>306235</v>
      </c>
      <c r="C21" s="1" t="s">
        <v>19</v>
      </c>
      <c r="D21" s="1">
        <v>7</v>
      </c>
    </row>
    <row r="22" spans="1:4" ht="15" thickBot="1" x14ac:dyDescent="0.4">
      <c r="A22" s="11">
        <v>45870</v>
      </c>
      <c r="B22" s="1">
        <v>304119</v>
      </c>
      <c r="C22" s="1" t="s">
        <v>2</v>
      </c>
      <c r="D22" s="1">
        <v>8</v>
      </c>
    </row>
    <row r="23" spans="1:4" ht="15" thickBot="1" x14ac:dyDescent="0.4">
      <c r="A23" s="11">
        <v>45901</v>
      </c>
      <c r="B23" s="1">
        <v>358049</v>
      </c>
      <c r="C23" s="1" t="s">
        <v>7</v>
      </c>
      <c r="D23" s="1">
        <v>9</v>
      </c>
    </row>
    <row r="24" spans="1:4" ht="15" thickBot="1" x14ac:dyDescent="0.4">
      <c r="A24" s="11">
        <v>45931</v>
      </c>
      <c r="B24" s="1">
        <v>1255219</v>
      </c>
      <c r="C24" s="1" t="s">
        <v>6</v>
      </c>
      <c r="D24" s="1">
        <v>10</v>
      </c>
    </row>
    <row r="25" spans="1:4" ht="15" thickBot="1" x14ac:dyDescent="0.4">
      <c r="A25" s="11">
        <v>45962</v>
      </c>
      <c r="B25" s="1">
        <v>411370</v>
      </c>
      <c r="C25" s="1" t="s">
        <v>5</v>
      </c>
      <c r="D25" s="1">
        <v>11</v>
      </c>
    </row>
  </sheetData>
  <autoFilter ref="A1:D25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Iteration 1</vt:lpstr>
      <vt:lpstr>Iteration 2</vt:lpstr>
      <vt:lpstr>Iteration 2 details</vt:lpstr>
      <vt:lpstr>Iteration 3</vt:lpstr>
      <vt:lpstr>Iteration 3 details</vt:lpstr>
      <vt:lpstr>Iteration 4</vt:lpstr>
      <vt:lpstr>Iteration 4 details</vt:lpstr>
      <vt:lpstr>Pivot</vt:lpstr>
      <vt:lpstr>Actual sales over last 4 years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2026-06-15T05:53:23Z</dcterms:created>
  <dcterms:modified xsi:type="dcterms:W3CDTF">2026-06-16T11:33:36Z</dcterms:modified>
</cp:coreProperties>
</file>