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ourava\Downloads\"/>
    </mc:Choice>
  </mc:AlternateContent>
  <bookViews>
    <workbookView xWindow="0" yWindow="0" windowWidth="14380" windowHeight="384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4" l="1"/>
  <c r="D5" i="4"/>
  <c r="F3" i="3"/>
  <c r="F4" i="3"/>
  <c r="F5" i="3"/>
  <c r="F6" i="3"/>
  <c r="F7" i="3"/>
  <c r="F2" i="3"/>
  <c r="D3" i="3"/>
  <c r="D4" i="3"/>
  <c r="D5" i="3"/>
  <c r="D6" i="3"/>
  <c r="D7" i="3"/>
  <c r="D2" i="3"/>
  <c r="K2" i="1"/>
</calcChain>
</file>

<file path=xl/sharedStrings.xml><?xml version="1.0" encoding="utf-8"?>
<sst xmlns="http://schemas.openxmlformats.org/spreadsheetml/2006/main" count="36" uniqueCount="28">
  <si>
    <t>Dealer-SKU</t>
  </si>
  <si>
    <t>D1-S1</t>
  </si>
  <si>
    <t>Apr'23</t>
  </si>
  <si>
    <t>May'23</t>
  </si>
  <si>
    <t>Jul'26</t>
  </si>
  <si>
    <t>Aug'26</t>
  </si>
  <si>
    <t>Sep'26</t>
  </si>
  <si>
    <t>Oct'26</t>
  </si>
  <si>
    <t>Nov'26</t>
  </si>
  <si>
    <t>D1-sku1</t>
  </si>
  <si>
    <t>Month</t>
  </si>
  <si>
    <t>Xgboost</t>
  </si>
  <si>
    <t>TFT</t>
  </si>
  <si>
    <t>Jul</t>
  </si>
  <si>
    <t>Aug</t>
  </si>
  <si>
    <t>Sep</t>
  </si>
  <si>
    <t>Oct</t>
  </si>
  <si>
    <t>Nov</t>
  </si>
  <si>
    <t>Dec</t>
  </si>
  <si>
    <t>Ensemble</t>
  </si>
  <si>
    <t>Daily Level Forecast</t>
  </si>
  <si>
    <t>…</t>
  </si>
  <si>
    <t>July-D1S1</t>
  </si>
  <si>
    <t>Lag-Days</t>
  </si>
  <si>
    <t>D-45</t>
  </si>
  <si>
    <t>Year</t>
  </si>
  <si>
    <t>Vehicles Sold</t>
  </si>
  <si>
    <t>TFT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</si>
</sst>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Sheet4!$D$1</c:f>
              <c:strCache>
                <c:ptCount val="1"/>
                <c:pt idx="0">
                  <c:v>Vehicles Sold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/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Sheet4!$C$2:$C$4</c:f>
              <c:numCache>
                <c:formatCode>General</c:formatCode>
                <c:ptCount val="3"/>
                <c:pt idx="0">
                  <c:v>23</c:v>
                </c:pt>
                <c:pt idx="1">
                  <c:v>24</c:v>
                </c:pt>
                <c:pt idx="2">
                  <c:v>25</c:v>
                </c:pt>
              </c:numCache>
            </c:numRef>
          </c:xVal>
          <c:yVal>
            <c:numRef>
              <c:f>Sheet4!$D$2:$D$4</c:f>
              <c:numCache>
                <c:formatCode>General</c:formatCode>
                <c:ptCount val="3"/>
                <c:pt idx="0">
                  <c:v>200</c:v>
                </c:pt>
                <c:pt idx="1">
                  <c:v>250</c:v>
                </c:pt>
                <c:pt idx="2">
                  <c:v>275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E2-4994-AB47-94E97004C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947856"/>
        <c:axId val="1815951600"/>
      </c:scatterChart>
      <c:valAx>
        <c:axId val="181594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951600"/>
        <c:crosses val="autoZero"/>
        <c:crossBetween val="midCat"/>
      </c:valAx>
      <c:valAx>
        <c:axId val="181595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947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215900</xdr:colOff>
      <xdr:row>4</xdr:row>
      <xdr:rowOff>22225</xdr:rowOff>
    </xdr:from>
    <xdr:to>
      <xdr:col>15</xdr:col>
      <xdr:colOff>520700</xdr:colOff>
      <xdr:row>19</xdr:row>
      <xdr:rowOff>3175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F10" sqref="F10"/>
    </sheetView>
  </sheetViews>
  <sheetFormatPr defaultRowHeight="14.5" x14ac:dyDescent="0.35"/>
  <cols>
    <col min="1" max="1" width="10.08984375" bestFit="1" customWidth="1"/>
  </cols>
  <sheetData>
    <row r="1" spans="1:11" x14ac:dyDescent="0.35">
      <c r="A1" t="s">
        <v>0</v>
      </c>
      <c r="B1" t="s">
        <v>2</v>
      </c>
      <c r="C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5">
      <c r="A2" t="s">
        <v>1</v>
      </c>
      <c r="F2">
        <v>1000</v>
      </c>
      <c r="G2">
        <v>200</v>
      </c>
      <c r="H2">
        <v>2000</v>
      </c>
      <c r="I2">
        <v>8000</v>
      </c>
      <c r="J2">
        <v>10000</v>
      </c>
      <c r="K2">
        <f>SUM(F2:J2)</f>
        <v>21200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3"/>
  <sheetViews>
    <sheetView workbookViewId="0">
      <selection activeCell="B3" sqref="B3:Q3"/>
    </sheetView>
  </sheetViews>
  <sheetFormatPr defaultRowHeight="14.5" x14ac:dyDescent="0.35"/>
  <sheetData>
    <row r="2" spans="1:17" x14ac:dyDescent="0.35">
      <c r="B2" s="1">
        <v>46204</v>
      </c>
      <c r="C2" s="1">
        <v>46205</v>
      </c>
      <c r="D2" s="1">
        <v>46206</v>
      </c>
      <c r="E2" s="1">
        <v>46207</v>
      </c>
      <c r="F2" s="1">
        <v>46208</v>
      </c>
      <c r="G2" s="1">
        <v>46209</v>
      </c>
      <c r="H2" s="1">
        <v>46210</v>
      </c>
      <c r="I2" s="1">
        <v>46211</v>
      </c>
      <c r="J2" s="1">
        <v>46212</v>
      </c>
      <c r="K2" s="1">
        <v>46213</v>
      </c>
      <c r="L2" s="1">
        <v>46214</v>
      </c>
      <c r="M2" s="1">
        <v>46215</v>
      </c>
      <c r="N2" s="1">
        <v>46216</v>
      </c>
      <c r="O2" s="1">
        <v>46217</v>
      </c>
      <c r="P2" s="1">
        <v>46218</v>
      </c>
      <c r="Q2" s="1">
        <v>46219</v>
      </c>
    </row>
    <row r="3" spans="1:17" x14ac:dyDescent="0.35">
      <c r="A3" t="s">
        <v>9</v>
      </c>
      <c r="B3">
        <v>1</v>
      </c>
      <c r="C3">
        <v>0</v>
      </c>
      <c r="D3">
        <v>0</v>
      </c>
      <c r="E3">
        <v>0</v>
      </c>
      <c r="F3">
        <v>100</v>
      </c>
      <c r="G3">
        <v>0</v>
      </c>
      <c r="H3">
        <v>0</v>
      </c>
      <c r="I3">
        <v>0</v>
      </c>
      <c r="J3">
        <v>100</v>
      </c>
      <c r="K3">
        <v>20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workbookViewId="0">
      <selection activeCell="O12" sqref="O12"/>
    </sheetView>
  </sheetViews>
  <sheetFormatPr defaultRowHeight="14.5" x14ac:dyDescent="0.35"/>
  <sheetData>
    <row r="1" spans="1:14" x14ac:dyDescent="0.35">
      <c r="A1" t="s">
        <v>10</v>
      </c>
      <c r="B1" t="s">
        <v>11</v>
      </c>
      <c r="C1" t="s">
        <v>12</v>
      </c>
      <c r="D1" t="s">
        <v>19</v>
      </c>
      <c r="I1" t="s">
        <v>20</v>
      </c>
    </row>
    <row r="2" spans="1:14" x14ac:dyDescent="0.35">
      <c r="A2" t="s">
        <v>13</v>
      </c>
      <c r="B2">
        <v>3.6</v>
      </c>
      <c r="C2">
        <v>3.8</v>
      </c>
      <c r="D2">
        <f>AVERAGE(B2:C2)</f>
        <v>3.7</v>
      </c>
      <c r="F2">
        <f>D2/C2</f>
        <v>0.97368421052631593</v>
      </c>
      <c r="I2">
        <v>1</v>
      </c>
      <c r="J2">
        <v>2</v>
      </c>
      <c r="K2">
        <v>3</v>
      </c>
      <c r="L2" t="s">
        <v>21</v>
      </c>
      <c r="N2">
        <v>30</v>
      </c>
    </row>
    <row r="3" spans="1:14" x14ac:dyDescent="0.35">
      <c r="A3" t="s">
        <v>14</v>
      </c>
      <c r="B3">
        <v>3.2</v>
      </c>
      <c r="C3">
        <v>3.4</v>
      </c>
      <c r="D3">
        <f t="shared" ref="D3:D7" si="0">AVERAGE(B3:C3)</f>
        <v>3.3</v>
      </c>
      <c r="F3">
        <f t="shared" ref="F3:F7" si="1">D3/C3</f>
        <v>0.97058823529411764</v>
      </c>
      <c r="I3">
        <v>2.5</v>
      </c>
      <c r="J3">
        <v>4.2</v>
      </c>
      <c r="K3">
        <v>1.2</v>
      </c>
      <c r="N3">
        <v>4.5</v>
      </c>
    </row>
    <row r="4" spans="1:14" x14ac:dyDescent="0.35">
      <c r="A4" t="s">
        <v>15</v>
      </c>
      <c r="B4">
        <v>4.2</v>
      </c>
      <c r="C4">
        <v>5.2</v>
      </c>
      <c r="D4">
        <f t="shared" si="0"/>
        <v>4.7</v>
      </c>
      <c r="F4">
        <f t="shared" si="1"/>
        <v>0.90384615384615385</v>
      </c>
      <c r="H4" t="s">
        <v>22</v>
      </c>
      <c r="I4">
        <v>2.5</v>
      </c>
      <c r="J4">
        <v>4.2</v>
      </c>
      <c r="K4">
        <v>1.2</v>
      </c>
      <c r="N4">
        <v>4.5</v>
      </c>
    </row>
    <row r="5" spans="1:14" x14ac:dyDescent="0.35">
      <c r="A5" t="s">
        <v>16</v>
      </c>
      <c r="B5">
        <v>5</v>
      </c>
      <c r="C5">
        <v>4</v>
      </c>
      <c r="D5">
        <f t="shared" si="0"/>
        <v>4.5</v>
      </c>
      <c r="F5">
        <f t="shared" si="1"/>
        <v>1.125</v>
      </c>
    </row>
    <row r="6" spans="1:14" x14ac:dyDescent="0.35">
      <c r="A6" t="s">
        <v>17</v>
      </c>
      <c r="B6">
        <v>13</v>
      </c>
      <c r="C6">
        <v>10</v>
      </c>
      <c r="D6">
        <f t="shared" si="0"/>
        <v>11.5</v>
      </c>
      <c r="F6">
        <f t="shared" si="1"/>
        <v>1.1499999999999999</v>
      </c>
    </row>
    <row r="7" spans="1:14" x14ac:dyDescent="0.35">
      <c r="A7" t="s">
        <v>18</v>
      </c>
      <c r="B7">
        <v>3</v>
      </c>
      <c r="C7">
        <v>4</v>
      </c>
      <c r="D7">
        <f t="shared" si="0"/>
        <v>3.5</v>
      </c>
      <c r="F7">
        <f t="shared" si="1"/>
        <v>0.875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F5" sqref="F5"/>
    </sheetView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23</v>
      </c>
      <c r="C1" t="s">
        <v>25</v>
      </c>
      <c r="D1" t="s">
        <v>26</v>
      </c>
      <c r="E1" t="s">
        <v>27</v>
      </c>
    </row>
    <row r="2" spans="1:6" x14ac:dyDescent="0.35">
      <c r="A2" t="s">
        <v>1</v>
      </c>
      <c r="B2" t="s">
        <v>24</v>
      </c>
      <c r="C2">
        <v>23</v>
      </c>
      <c r="D2">
        <v>200</v>
      </c>
    </row>
    <row r="3" spans="1:6" x14ac:dyDescent="0.35">
      <c r="A3" t="s">
        <v>1</v>
      </c>
      <c r="B3" t="s">
        <v>24</v>
      </c>
      <c r="C3">
        <v>24</v>
      </c>
      <c r="D3">
        <v>250</v>
      </c>
    </row>
    <row r="4" spans="1:6" x14ac:dyDescent="0.35">
      <c r="A4" t="s">
        <v>1</v>
      </c>
      <c r="B4" t="s">
        <v>24</v>
      </c>
      <c r="C4">
        <v>25</v>
      </c>
      <c r="D4">
        <v>275</v>
      </c>
    </row>
    <row r="5" spans="1:6" s="2" customFormat="1" x14ac:dyDescent="0.35">
      <c r="A5" s="2" t="s">
        <v>1</v>
      </c>
      <c r="B5" s="2" t="s">
        <v>24</v>
      </c>
      <c r="C5" s="2">
        <v>26</v>
      </c>
      <c r="D5" s="2">
        <f>37.5*C5-658.33</f>
        <v>316.66999999999996</v>
      </c>
      <c r="E5" s="2">
        <v>180</v>
      </c>
      <c r="F5" s="2">
        <f>AVERAGE(D5:E5)</f>
        <v>248.33499999999998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GOURAV  AWASTHI</dc:creator>
  <cp:lastModifiedBy>GOURAV  AWASTHI</cp:lastModifiedBy>
  <dcterms:created xsi:type="dcterms:W3CDTF">2026-07-23T06:35:03Z</dcterms:created>
  <dcterms:modified xsi:type="dcterms:W3CDTF">2026-07-23T07:36:06Z</dcterms:modified>
</cp:coreProperties>
</file>